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Volumes/Datos/diegofdez/OneDrive - UNED/ASIR/Modulos/Gestión bases de datos/PEC/"/>
    </mc:Choice>
  </mc:AlternateContent>
  <bookViews>
    <workbookView xWindow="0" yWindow="0" windowWidth="25600" windowHeight="16000" tabRatio="500"/>
  </bookViews>
  <sheets>
    <sheet name="FH" sheetId="6" r:id="rId1"/>
  </sheets>
  <definedNames>
    <definedName name="_xlnm.Print_Area" localSheetId="0">FH!$B$1:$H$70</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575" i="6" l="1"/>
  <c r="H557" i="6"/>
  <c r="H551" i="6"/>
  <c r="H542" i="6"/>
  <c r="H534" i="6"/>
  <c r="H528" i="6"/>
  <c r="G398" i="6"/>
  <c r="H272" i="6"/>
  <c r="H273" i="6"/>
  <c r="H278" i="6"/>
  <c r="H279" i="6"/>
  <c r="H284" i="6"/>
  <c r="H285" i="6"/>
  <c r="H290" i="6"/>
  <c r="H291" i="6"/>
  <c r="H296" i="6"/>
  <c r="H297" i="6"/>
  <c r="H302" i="6"/>
  <c r="H303" i="6"/>
  <c r="H308" i="6"/>
  <c r="H309" i="6"/>
  <c r="H314" i="6"/>
  <c r="H315" i="6"/>
  <c r="H320" i="6"/>
  <c r="H321" i="6"/>
  <c r="H326" i="6"/>
  <c r="H146" i="6"/>
  <c r="H147" i="6"/>
  <c r="H145" i="6"/>
  <c r="H127" i="6"/>
  <c r="H103" i="6"/>
  <c r="H62" i="6"/>
  <c r="H56" i="6"/>
  <c r="H50" i="6"/>
  <c r="H44" i="6"/>
  <c r="H38" i="6"/>
  <c r="H32" i="6"/>
  <c r="H26" i="6"/>
  <c r="H20" i="6"/>
  <c r="H14" i="6"/>
  <c r="H8" i="6"/>
  <c r="H440" i="6"/>
  <c r="H441" i="6"/>
  <c r="H446" i="6"/>
  <c r="H447" i="6"/>
  <c r="H452" i="6"/>
  <c r="H453" i="6"/>
  <c r="H458" i="6"/>
  <c r="H459" i="6"/>
  <c r="H464" i="6"/>
  <c r="H465" i="6"/>
  <c r="H470" i="6"/>
  <c r="H471" i="6"/>
  <c r="H476" i="6"/>
  <c r="H477" i="6"/>
  <c r="H482" i="6"/>
  <c r="H483" i="6"/>
  <c r="H488" i="6"/>
  <c r="H489" i="6"/>
  <c r="H494" i="6"/>
  <c r="H495" i="6"/>
  <c r="H500" i="6"/>
  <c r="H501" i="6"/>
  <c r="H506" i="6"/>
  <c r="H507" i="6"/>
  <c r="F512" i="6"/>
  <c r="H647" i="6"/>
  <c r="H648" i="6"/>
  <c r="H640" i="6"/>
  <c r="H641" i="6"/>
  <c r="H635" i="6"/>
  <c r="H636" i="6"/>
  <c r="H629" i="6"/>
  <c r="H630" i="6"/>
  <c r="H622" i="6"/>
  <c r="H623" i="6"/>
  <c r="H617" i="6"/>
  <c r="H618" i="6"/>
  <c r="H611" i="6"/>
  <c r="H612" i="6"/>
  <c r="H605" i="6"/>
  <c r="H606" i="6"/>
  <c r="H599" i="6"/>
  <c r="H600" i="6"/>
  <c r="H593" i="6"/>
  <c r="H594" i="6"/>
  <c r="F656" i="6"/>
  <c r="F657" i="6"/>
  <c r="G656" i="6"/>
  <c r="H646" i="6"/>
  <c r="H639" i="6"/>
  <c r="H634" i="6"/>
  <c r="H628" i="6"/>
  <c r="H621" i="6"/>
  <c r="H616" i="6"/>
  <c r="H610" i="6"/>
  <c r="H604" i="6"/>
  <c r="H598" i="6"/>
  <c r="H592" i="6"/>
  <c r="H543" i="6"/>
  <c r="H544" i="6"/>
  <c r="H522" i="6"/>
  <c r="H523" i="6"/>
  <c r="H524" i="6"/>
  <c r="H529" i="6"/>
  <c r="H530" i="6"/>
  <c r="H535" i="6"/>
  <c r="H536" i="6"/>
  <c r="H517" i="6"/>
  <c r="H516" i="6"/>
  <c r="H518" i="6"/>
  <c r="H552" i="6"/>
  <c r="H553" i="6"/>
  <c r="H558" i="6"/>
  <c r="H559" i="6"/>
  <c r="H563" i="6"/>
  <c r="H564" i="6"/>
  <c r="H565" i="6"/>
  <c r="H569" i="6"/>
  <c r="H570" i="6"/>
  <c r="H571" i="6"/>
  <c r="H576" i="6"/>
  <c r="H577" i="6"/>
  <c r="H582" i="6"/>
  <c r="H581" i="6"/>
  <c r="F571" i="6"/>
  <c r="F570" i="6"/>
  <c r="H583" i="6"/>
  <c r="F588" i="6"/>
  <c r="G588" i="6"/>
  <c r="F589" i="6"/>
  <c r="F583" i="6"/>
  <c r="F582" i="6"/>
  <c r="F577" i="6"/>
  <c r="F576" i="6"/>
  <c r="F565" i="6"/>
  <c r="F564" i="6"/>
  <c r="F559" i="6"/>
  <c r="F558" i="6"/>
  <c r="F553" i="6"/>
  <c r="F552" i="6"/>
  <c r="F544" i="6"/>
  <c r="F543" i="6"/>
  <c r="F536" i="6"/>
  <c r="F535" i="6"/>
  <c r="F530" i="6"/>
  <c r="F529" i="6"/>
  <c r="F524" i="6"/>
  <c r="F523" i="6"/>
  <c r="F518" i="6"/>
  <c r="F517" i="6"/>
  <c r="G435" i="6"/>
  <c r="G512" i="6"/>
  <c r="H505" i="6"/>
  <c r="H499" i="6"/>
  <c r="H493" i="6"/>
  <c r="H487" i="6"/>
  <c r="H481" i="6"/>
  <c r="H475" i="6"/>
  <c r="H469" i="6"/>
  <c r="H463" i="6"/>
  <c r="H457" i="6"/>
  <c r="H451" i="6"/>
  <c r="H445" i="6"/>
  <c r="H439" i="6"/>
  <c r="F507" i="6"/>
  <c r="F506" i="6"/>
  <c r="H429" i="6"/>
  <c r="H430" i="6"/>
  <c r="H421" i="6"/>
  <c r="H422" i="6"/>
  <c r="H415" i="6"/>
  <c r="H416" i="6"/>
  <c r="H409" i="6"/>
  <c r="H410" i="6"/>
  <c r="H403" i="6"/>
  <c r="H404" i="6"/>
  <c r="F435" i="6"/>
  <c r="H428" i="6"/>
  <c r="H420" i="6"/>
  <c r="H414" i="6"/>
  <c r="H408" i="6"/>
  <c r="H402" i="6"/>
  <c r="H391" i="6"/>
  <c r="H385" i="6"/>
  <c r="H379" i="6"/>
  <c r="H373" i="6"/>
  <c r="H367" i="6"/>
  <c r="H361" i="6"/>
  <c r="H355" i="6"/>
  <c r="H349" i="6"/>
  <c r="H343" i="6"/>
  <c r="H337" i="6"/>
  <c r="H327" i="6"/>
  <c r="F331" i="6"/>
  <c r="H325" i="6"/>
  <c r="H319" i="6"/>
  <c r="H313" i="6"/>
  <c r="H307" i="6"/>
  <c r="H301" i="6"/>
  <c r="H295" i="6"/>
  <c r="H289" i="6"/>
  <c r="H283" i="6"/>
  <c r="H277" i="6"/>
  <c r="H271" i="6"/>
  <c r="F327" i="6"/>
  <c r="F326" i="6"/>
  <c r="H257" i="6"/>
  <c r="H251" i="6"/>
  <c r="H245" i="6"/>
  <c r="H239" i="6"/>
  <c r="H233" i="6"/>
  <c r="H227" i="6"/>
  <c r="H221" i="6"/>
  <c r="H215" i="6"/>
  <c r="H209" i="6"/>
  <c r="H203" i="6"/>
  <c r="G134" i="6"/>
  <c r="H128" i="6"/>
  <c r="H129" i="6"/>
  <c r="H122" i="6"/>
  <c r="H123" i="6"/>
  <c r="H116" i="6"/>
  <c r="H117" i="6"/>
  <c r="H110" i="6"/>
  <c r="H111" i="6"/>
  <c r="H104" i="6"/>
  <c r="H105" i="6"/>
  <c r="H98" i="6"/>
  <c r="H99" i="6"/>
  <c r="H92" i="6"/>
  <c r="H93" i="6"/>
  <c r="H86" i="6"/>
  <c r="H87" i="6"/>
  <c r="H80" i="6"/>
  <c r="H81" i="6"/>
  <c r="H74" i="6"/>
  <c r="H75" i="6"/>
  <c r="F134" i="6"/>
  <c r="H192" i="6"/>
  <c r="H186" i="6"/>
  <c r="H180" i="6"/>
  <c r="H174" i="6"/>
  <c r="H168" i="6"/>
  <c r="H162" i="6"/>
  <c r="H156" i="6"/>
  <c r="H150" i="6"/>
  <c r="H144" i="6"/>
  <c r="H138" i="6"/>
  <c r="H121" i="6"/>
  <c r="H115" i="6"/>
  <c r="H109" i="6"/>
  <c r="H97" i="6"/>
  <c r="H91" i="6"/>
  <c r="H85" i="6"/>
  <c r="H79" i="6"/>
  <c r="H73" i="6"/>
  <c r="H392" i="6"/>
  <c r="H393" i="6"/>
  <c r="H386" i="6"/>
  <c r="H387" i="6"/>
  <c r="H380" i="6"/>
  <c r="H381" i="6"/>
  <c r="H374" i="6"/>
  <c r="H375" i="6"/>
  <c r="H368" i="6"/>
  <c r="H369" i="6"/>
  <c r="H362" i="6"/>
  <c r="H363" i="6"/>
  <c r="H356" i="6"/>
  <c r="H357" i="6"/>
  <c r="H350" i="6"/>
  <c r="H351" i="6"/>
  <c r="H344" i="6"/>
  <c r="H345" i="6"/>
  <c r="H338" i="6"/>
  <c r="H339" i="6"/>
  <c r="F398" i="6"/>
  <c r="G331" i="6"/>
  <c r="G264" i="6"/>
  <c r="H258" i="6"/>
  <c r="H259" i="6"/>
  <c r="H252" i="6"/>
  <c r="H253" i="6"/>
  <c r="H246" i="6"/>
  <c r="H247" i="6"/>
  <c r="H240" i="6"/>
  <c r="H241" i="6"/>
  <c r="H234" i="6"/>
  <c r="H235" i="6"/>
  <c r="H228" i="6"/>
  <c r="H229" i="6"/>
  <c r="H222" i="6"/>
  <c r="H223" i="6"/>
  <c r="H216" i="6"/>
  <c r="H217" i="6"/>
  <c r="H210" i="6"/>
  <c r="H211" i="6"/>
  <c r="H204" i="6"/>
  <c r="H205" i="6"/>
  <c r="F264" i="6"/>
  <c r="G199" i="6"/>
  <c r="H193" i="6"/>
  <c r="H194" i="6"/>
  <c r="H187" i="6"/>
  <c r="H188" i="6"/>
  <c r="H181" i="6"/>
  <c r="H182" i="6"/>
  <c r="H175" i="6"/>
  <c r="H176" i="6"/>
  <c r="H169" i="6"/>
  <c r="H170" i="6"/>
  <c r="H163" i="6"/>
  <c r="H164" i="6"/>
  <c r="H157" i="6"/>
  <c r="H158" i="6"/>
  <c r="H151" i="6"/>
  <c r="H152" i="6"/>
  <c r="H139" i="6"/>
  <c r="H140" i="6"/>
  <c r="F199" i="6"/>
  <c r="H63" i="6"/>
  <c r="H64" i="6"/>
  <c r="H57" i="6"/>
  <c r="H58" i="6"/>
  <c r="H51" i="6"/>
  <c r="H52" i="6"/>
  <c r="H45" i="6"/>
  <c r="H46" i="6"/>
  <c r="H39" i="6"/>
  <c r="H40" i="6"/>
  <c r="H33" i="6"/>
  <c r="H34" i="6"/>
  <c r="H27" i="6"/>
  <c r="H28" i="6"/>
  <c r="H21" i="6"/>
  <c r="H22" i="6"/>
  <c r="H15" i="6"/>
  <c r="H16" i="6"/>
  <c r="H9" i="6"/>
  <c r="H10" i="6"/>
  <c r="F69" i="6"/>
  <c r="G69" i="6"/>
  <c r="F436" i="6"/>
  <c r="F430" i="6"/>
  <c r="F429" i="6"/>
  <c r="F422" i="6"/>
  <c r="F421" i="6"/>
  <c r="F416" i="6"/>
  <c r="F415" i="6"/>
  <c r="F410" i="6"/>
  <c r="F409" i="6"/>
  <c r="F404" i="6"/>
  <c r="F403" i="6"/>
  <c r="F399" i="6"/>
  <c r="F393" i="6"/>
  <c r="F392" i="6"/>
  <c r="F387" i="6"/>
  <c r="F386" i="6"/>
  <c r="F381" i="6"/>
  <c r="F380" i="6"/>
  <c r="F375" i="6"/>
  <c r="F374" i="6"/>
  <c r="F369" i="6"/>
  <c r="F368" i="6"/>
  <c r="F363" i="6"/>
  <c r="F362" i="6"/>
  <c r="F357" i="6"/>
  <c r="F356" i="6"/>
  <c r="F351" i="6"/>
  <c r="F350" i="6"/>
  <c r="F345" i="6"/>
  <c r="F344" i="6"/>
  <c r="F339" i="6"/>
  <c r="F338" i="6"/>
  <c r="F332" i="6"/>
  <c r="F321" i="6"/>
  <c r="F320" i="6"/>
  <c r="F315" i="6"/>
  <c r="F314" i="6"/>
  <c r="F309" i="6"/>
  <c r="F308" i="6"/>
  <c r="F303" i="6"/>
  <c r="F302" i="6"/>
  <c r="F297" i="6"/>
  <c r="F296" i="6"/>
  <c r="F291" i="6"/>
  <c r="F290" i="6"/>
  <c r="F285" i="6"/>
  <c r="F284" i="6"/>
  <c r="F279" i="6"/>
  <c r="F278" i="6"/>
  <c r="F273" i="6"/>
  <c r="F272" i="6"/>
  <c r="F265" i="6"/>
  <c r="F259" i="6"/>
  <c r="F258" i="6"/>
  <c r="F253" i="6"/>
  <c r="F252" i="6"/>
  <c r="F247" i="6"/>
  <c r="F246" i="6"/>
  <c r="F241" i="6"/>
  <c r="F240" i="6"/>
  <c r="F235" i="6"/>
  <c r="F234" i="6"/>
  <c r="F229" i="6"/>
  <c r="F228" i="6"/>
  <c r="F223" i="6"/>
  <c r="F222" i="6"/>
  <c r="F217" i="6"/>
  <c r="F216" i="6"/>
  <c r="F211" i="6"/>
  <c r="F210" i="6"/>
  <c r="F205" i="6"/>
  <c r="F204" i="6"/>
  <c r="F200" i="6"/>
  <c r="F194" i="6"/>
  <c r="F193" i="6"/>
  <c r="F188" i="6"/>
  <c r="F187" i="6"/>
  <c r="F182" i="6"/>
  <c r="F181" i="6"/>
  <c r="F176" i="6"/>
  <c r="F175" i="6"/>
  <c r="F170" i="6"/>
  <c r="F169" i="6"/>
  <c r="F164" i="6"/>
  <c r="F163" i="6"/>
  <c r="F158" i="6"/>
  <c r="F157" i="6"/>
  <c r="F152" i="6"/>
  <c r="F151" i="6"/>
  <c r="F146" i="6"/>
  <c r="F145" i="6"/>
  <c r="F140" i="6"/>
  <c r="F139" i="6"/>
  <c r="F135" i="6"/>
  <c r="F129" i="6"/>
  <c r="F128" i="6"/>
  <c r="F123" i="6"/>
  <c r="F122" i="6"/>
  <c r="F117" i="6"/>
  <c r="F116" i="6"/>
  <c r="F111" i="6"/>
  <c r="F110" i="6"/>
  <c r="F105" i="6"/>
  <c r="F104" i="6"/>
  <c r="F99" i="6"/>
  <c r="F98" i="6"/>
  <c r="F93" i="6"/>
  <c r="F92" i="6"/>
  <c r="F87" i="6"/>
  <c r="F86" i="6"/>
  <c r="F81" i="6"/>
  <c r="F80" i="6"/>
  <c r="F75" i="6"/>
  <c r="F74" i="6"/>
  <c r="F70" i="6"/>
  <c r="F64" i="6"/>
  <c r="F63" i="6"/>
  <c r="F58" i="6"/>
  <c r="F57" i="6"/>
  <c r="F52" i="6"/>
  <c r="F51" i="6"/>
  <c r="F46" i="6"/>
  <c r="F45" i="6"/>
  <c r="F40" i="6"/>
  <c r="F39" i="6"/>
  <c r="F34" i="6"/>
  <c r="F33" i="6"/>
  <c r="F28" i="6"/>
  <c r="F27" i="6"/>
  <c r="F22" i="6"/>
  <c r="F21" i="6"/>
  <c r="F16" i="6"/>
  <c r="F15" i="6"/>
  <c r="F10" i="6"/>
  <c r="F9" i="6"/>
  <c r="F471" i="6"/>
  <c r="F470" i="6"/>
  <c r="F513" i="6"/>
  <c r="F501" i="6"/>
  <c r="F500" i="6"/>
  <c r="F495" i="6"/>
  <c r="F494" i="6"/>
  <c r="F489" i="6"/>
  <c r="F488" i="6"/>
  <c r="F483" i="6"/>
  <c r="F482" i="6"/>
  <c r="F477" i="6"/>
  <c r="F476" i="6"/>
  <c r="F465" i="6"/>
  <c r="F464" i="6"/>
  <c r="F459" i="6"/>
  <c r="F458" i="6"/>
  <c r="F453" i="6"/>
  <c r="F452" i="6"/>
  <c r="F447" i="6"/>
  <c r="F446" i="6"/>
  <c r="F441" i="6"/>
  <c r="F440" i="6"/>
</calcChain>
</file>

<file path=xl/sharedStrings.xml><?xml version="1.0" encoding="utf-8"?>
<sst xmlns="http://schemas.openxmlformats.org/spreadsheetml/2006/main" count="1049" uniqueCount="447">
  <si>
    <t>TEMA 1</t>
  </si>
  <si>
    <t>Marca con una X la respuesta correcta</t>
  </si>
  <si>
    <t>CORRECTO</t>
  </si>
  <si>
    <t>Preguntas correctas = 1 punto</t>
  </si>
  <si>
    <t>Preguntas falladas = -0.33 puntos</t>
  </si>
  <si>
    <t>Preguntas no respondida = 0 puntos</t>
  </si>
  <si>
    <t>APROBADO</t>
  </si>
  <si>
    <t>SUSPENDIDO</t>
  </si>
  <si>
    <t>NOTA</t>
  </si>
  <si>
    <t>TEMA 2</t>
  </si>
  <si>
    <t>TEMA 3</t>
  </si>
  <si>
    <t>TEMA 4</t>
  </si>
  <si>
    <t>TEMA 5</t>
  </si>
  <si>
    <t>TEMA 6</t>
  </si>
  <si>
    <t>TEMA  7</t>
  </si>
  <si>
    <t>a</t>
  </si>
  <si>
    <t>b</t>
  </si>
  <si>
    <t>c</t>
  </si>
  <si>
    <t>d</t>
  </si>
  <si>
    <t>e</t>
  </si>
  <si>
    <t>comprobar</t>
  </si>
  <si>
    <t>BBDD</t>
  </si>
  <si>
    <t>¿Cuál de las siguientes afirmaciones es cierta sobre los ficheros?</t>
  </si>
  <si>
    <t>I. Almacenan un vector de datos con los colores que tiene cada pixel que forma el fichero. / II. Son una serie de ceros y unos.</t>
  </si>
  <si>
    <t>I. Cierta, II. Cierta</t>
  </si>
  <si>
    <t>I. Falsa, II. Falsa</t>
  </si>
  <si>
    <t>I. Cierta, II. Falsa</t>
  </si>
  <si>
    <t>I. Falsa, II. Cierta</t>
  </si>
  <si>
    <t>En un fichero organizado secuencialmente se puede acceder a cualquier dato directamente, es decir, sin tener que recorrer los datos anteriores.</t>
  </si>
  <si>
    <t>Ninguna de las respuestas restantes.</t>
  </si>
  <si>
    <t>Los ficheros binarios se pueden leer como caracteres alfabéticos que entiende el ser humano.</t>
  </si>
  <si>
    <t>Los ficheros indexados permiten acceder a los datos rápidamente.</t>
  </si>
  <si>
    <t>Para representar un alfabeto con varios miles de símbolos distintos, como por ejemplo el japonés, ¿qué tabla de caracteres se podría utilizar?</t>
  </si>
  <si>
    <t>Tanto la tabla ASCII como la UNICODE servirían.</t>
  </si>
  <si>
    <t>La tabla UNICODE.</t>
  </si>
  <si>
    <t>La tabla ASCII</t>
  </si>
  <si>
    <t>Ni la tabla ASCII ni la UNICODE servirían.</t>
  </si>
  <si>
    <t>Si tenemos un archivo llamado archivo.sql, ¿qué tipo de archivo puede ser en función de su nombre?</t>
  </si>
  <si>
    <t>Un archivo de texto.</t>
  </si>
  <si>
    <t>Un archivo binario.</t>
  </si>
  <si>
    <t>Un archivo de acceso aleatorio.</t>
  </si>
  <si>
    <t>¿Cuál de las siguientes afirmaciones es cierta sobre los archivos?</t>
  </si>
  <si>
    <t>I. Los archivos de una base de datos son de tipo texto. / II. Los archivos de imagen o sonido son de tipo texto.</t>
  </si>
  <si>
    <t>I. Cierta, II. Cierta.</t>
  </si>
  <si>
    <t>I. Cierta, II. Falsa.</t>
  </si>
  <si>
    <t>I. Falsa, II. Cierta.</t>
  </si>
  <si>
    <t>¿Cuál de las siguientes afirmaciones es cierta sobre las bases de datos?</t>
  </si>
  <si>
    <t>Un registro está compuesto de tablas, que a su vez están compuestos de campos.</t>
  </si>
  <si>
    <t>Ninguna de las respuestas restantes</t>
  </si>
  <si>
    <t>Una tabla está compuesta de registros, que a su vez están compuestos de campos.</t>
  </si>
  <si>
    <t>Una tabla está compuesta de campos, que a su vez están compuestos de registros.</t>
  </si>
  <si>
    <t>La clave sirve para identificar los registros de una tabla.</t>
  </si>
  <si>
    <t>La clave sirve para identificar los datos de una base de datos.</t>
  </si>
  <si>
    <t>La clave sirve para identificar los campos de una base de datos.</t>
  </si>
  <si>
    <t>Si tenemos una tabla que almacena información de vehículos, y esta tabla tiene un campo llamado matrícula que almacena la matrícula de cada vehículo de nuestra tabla, ¿qué podremos decir de este campo matrícula?</t>
  </si>
  <si>
    <t>Este campo no serviría para ser la clave de esta tabla.</t>
  </si>
  <si>
    <t>Es un campo normal, no tiene nada especial.</t>
  </si>
  <si>
    <t>Este campo serviría para ser la clave de esta tabla.</t>
  </si>
  <si>
    <t>Supongamos que tenemos en nuestra empresa un esquema de base de datos con la tabla "Clientes", que tiene los campos NIF, Nombre, Apellidos, Teléfono, Dirección, CP, Población, Provincia, EstadoCivil, y ClientePreferente. Si deseamos que los empleados del departamento comercial de nuestra empresa tengan acceso al nombre, apellidos y teléfono de nuestros clientes, pero no a ninguno de los demás datos, ¿cuál de las siguientes afirmaciones es correcta?</t>
  </si>
  <si>
    <t>Crearemos una vista que incluya la información a la que los comerciales deben tener acceso.</t>
  </si>
  <si>
    <t>No se puede hacer, todos los empleados deberán tener acceso a todos los datos de todos los clientes.</t>
  </si>
  <si>
    <t>Debemos tener una tabla nueva que contenga la información a la que los comerciales puedan acceder.</t>
  </si>
  <si>
    <t>¿Cuál de las siguientes afirmaciones es cierta sobre los sistemas de bases de datos?</t>
  </si>
  <si>
    <t>I. Permiten varios usuarios accediendo concurrentemente a la base de datos.  /  II. No incluyen herramientas para salvaguardar los datos en caso de fallos.</t>
  </si>
  <si>
    <t>I. falso; II. correcto.</t>
  </si>
  <si>
    <t>I. correcto; II. falso.</t>
  </si>
  <si>
    <t>I. falso; II. falso.</t>
  </si>
  <si>
    <t>I. correcto; II. correcto.</t>
  </si>
  <si>
    <t>En el modelo Entidad-Relación, la cardinalidad de una relación:</t>
  </si>
  <si>
    <t>Depende de las claves de las entidades que relaciona.</t>
  </si>
  <si>
    <t>Todas las opciones restantes son falsas.</t>
  </si>
  <si>
    <t>Depende de los atributos de la relación.</t>
  </si>
  <si>
    <t>Depende de los atributos de las entidades que relaciona.</t>
  </si>
  <si>
    <t>En el modelo Entidad-Relación, una relación:</t>
  </si>
  <si>
    <t>Debe tener atributos clave.</t>
  </si>
  <si>
    <t>Entre dos entidades sólo puede existir una (relación).</t>
  </si>
  <si>
    <t>Puede establecerse entre una entidad  y ella misma (la entidad).</t>
  </si>
  <si>
    <t>Nunca puede tener atributos.</t>
  </si>
  <si>
    <t>En el modelo Entidad-Relación, grado de una relación:</t>
  </si>
  <si>
    <t>Es el número de ocurrencias de una entidad asociadas a una ocurrencia de otra o la misma entidad a través de la relación.</t>
  </si>
  <si>
    <t>Es el número de atributos que tiene una relación.</t>
  </si>
  <si>
    <t>Es el número de ocurrencias de una relación.</t>
  </si>
  <si>
    <t>Es el número de entidades sobre las que se realiza la asociación o relación.</t>
  </si>
  <si>
    <t>En el modelo relacional:</t>
  </si>
  <si>
    <t>Si una relación A está relacionada con otra relación B, entonces A debe tener al menos una clave ajena.</t>
  </si>
  <si>
    <t>Todas las afirmaciones restantes son ciertas.</t>
  </si>
  <si>
    <t>Dos atributos no pueden tener el mismo dominio.</t>
  </si>
  <si>
    <t>Una relación cualquiera puede tener dos tuplas iguales.</t>
  </si>
  <si>
    <t>En el paso del modelo Entidad-Relación al modelo relacional:</t>
  </si>
  <si>
    <t>Siempre, al pasar una entidad a relación, la relación resultante (modelo relacional), va a tener el mismo número de atributos que atributos tiene la entidad.</t>
  </si>
  <si>
    <t>Las relaciones n-arias no se pueden pasar a tablas (relaciones, modelo relacional).</t>
  </si>
  <si>
    <t>Una entidad débil, al pasar a relación (modelo relacional), siempre va a heredar como parte de la clave primaria, la clave primaria de la entidad fuerte de la que depende.</t>
  </si>
  <si>
    <t>Tenemos una BD relacional con dos relaciones R1 y R2. R1 tiene como clave primaria el atributo A, el cual también está en la relación R2. Conocemos que en R2 A es clave ajena. ¿Cuál es la opción correcta?</t>
  </si>
  <si>
    <t>Por  la restricción de integridad de dominio, podemos decir, que todos los valores de A de R2 están en A de R1.</t>
  </si>
  <si>
    <t>Por  la restricción de integridad referencial, podemos decir, que todos los valores de A de R2 están en A de R1.</t>
  </si>
  <si>
    <t>Por  la restricción de integridad referencial, podemos decir, que todos los valores de A de R1 están en A de R2.</t>
  </si>
  <si>
    <t>Por  la restricción de integridad de dominio, podemos decir, que todos los valores de A de R1 están en A de R2.</t>
  </si>
  <si>
    <t>En el modelo relacional, un atributo que forma parte de una clave ajena, su dominio tiene que ser igual al del atributo al que hace referencia:</t>
  </si>
  <si>
    <t>Siempre.</t>
  </si>
  <si>
    <t>Nunca.</t>
  </si>
  <si>
    <t>Dependiendo de la cardinalidad de la relación a la que pertenece.</t>
  </si>
  <si>
    <t>Ninguna de las opciones restantes es correcta.</t>
  </si>
  <si>
    <t>¿Cuál de las siguientes afirmaciones es correcta?</t>
  </si>
  <si>
    <t>Una clave ajena nunca es clave primaria.</t>
  </si>
  <si>
    <t>Una clave ajena puede ser clave primaria.</t>
  </si>
  <si>
    <t>Una clave ajena siempre es clave primaria.</t>
  </si>
  <si>
    <t>Al pasar del modelo Entidad-Relación, al modelo relacional, una relación binaria con cardinalidad máxima 1:1 generará una relación (modelo relacional):</t>
  </si>
  <si>
    <t>Dependiendo, entre otros casos, si la relación (modelo entidad-relación) tiene “muchos” atributos.</t>
  </si>
  <si>
    <t>Una relación (modelo relacional) que tiene un único atributo, ¿cuándo su cardinalidad será menor que su grado?</t>
  </si>
  <si>
    <t>Sólo cuando no haya ninguna tupla, cuando esté vacía.</t>
  </si>
  <si>
    <t>1 .-Dada la siguiente instrucción de SQL estándar:  CREATE TABLE  TablaA (AtributoA Varchar( 9 ), AtributoB Varchar( 9 ), AtributoC Varchar( 9 ), CONSTRAINT PK_TablaA PRIMARY KEY (AtributoA, AtributoB), CONSTRAINT FK_TA_TB FOREIGN KEY (AtributoB) REFERENCES TablaB (Atributo2) ON DELETE CASCADE);</t>
  </si>
  <si>
    <t>2 .-El lenguaje SQL estándar está formado por:</t>
  </si>
  <si>
    <t>3 .-La instrucción DROP TABLE:</t>
  </si>
  <si>
    <t>4 .-Señala la opción FALSA:</t>
  </si>
  <si>
    <t>5 .-Señala la opción INCORRECTA:</t>
  </si>
  <si>
    <t>6 .-Señala la opción CORRECTA:</t>
  </si>
  <si>
    <t>7 .-Señala la opción CORRECTA:</t>
  </si>
  <si>
    <t>8 .-Las constraints de tipo CHECK:</t>
  </si>
  <si>
    <t>9 .-Las constraints de tipo PRIMARY KEY:</t>
  </si>
  <si>
    <t>10 .-Las constraints de tipo FOREIGN KEY:</t>
  </si>
  <si>
    <r>
      <t>·</t>
    </r>
    <r>
      <rPr>
        <sz val="7"/>
        <rFont val="Times New Roman"/>
      </rPr>
      <t xml:space="preserve">       </t>
    </r>
    <r>
      <rPr>
        <sz val="9"/>
        <rFont val="Arial"/>
      </rPr>
      <t>Las otras opciones son falsas.</t>
    </r>
  </si>
  <si>
    <r>
      <t>·</t>
    </r>
    <r>
      <rPr>
        <sz val="14"/>
        <rFont val="Times New Roman"/>
      </rPr>
      <t xml:space="preserve">       </t>
    </r>
    <r>
      <rPr>
        <sz val="14"/>
        <rFont val="Arial"/>
      </rPr>
      <t>El atributoA es la clave primaria o principal de la tabla TablaA.</t>
    </r>
  </si>
  <si>
    <r>
      <t>·</t>
    </r>
    <r>
      <rPr>
        <sz val="14"/>
        <rFont val="Times New Roman"/>
      </rPr>
      <t xml:space="preserve">       </t>
    </r>
    <r>
      <rPr>
        <sz val="14"/>
        <rFont val="Arial"/>
      </rPr>
      <t>Cualquier valor del atributo Atributo2 de la tabla TablaB, deberá estar en el atributo AtributoB de la tabla TablaA.</t>
    </r>
  </si>
  <si>
    <r>
      <t>·</t>
    </r>
    <r>
      <rPr>
        <sz val="14"/>
        <rFont val="Times New Roman"/>
      </rPr>
      <t xml:space="preserve">       </t>
    </r>
    <r>
      <rPr>
        <sz val="14"/>
        <rFont val="Arial"/>
      </rPr>
      <t>Cualquier valor del atributo AtributoB de la tabla TablaA, deberá estar en el atributo Atributo2 de la tabla TablaB.</t>
    </r>
  </si>
  <si>
    <r>
      <t>·</t>
    </r>
    <r>
      <rPr>
        <sz val="14"/>
        <rFont val="Times New Roman"/>
      </rPr>
      <t xml:space="preserve">       </t>
    </r>
    <r>
      <rPr>
        <sz val="14"/>
        <rFont val="Arial"/>
      </rPr>
      <t>Las otras opciones son falsas.</t>
    </r>
  </si>
  <si>
    <r>
      <t>·</t>
    </r>
    <r>
      <rPr>
        <sz val="14"/>
        <rFont val="Times New Roman"/>
      </rPr>
      <t xml:space="preserve">       </t>
    </r>
    <r>
      <rPr>
        <sz val="14"/>
        <rFont val="Arial"/>
      </rPr>
      <t>Tres sublenguajes DLL, DML, DCL</t>
    </r>
  </si>
  <si>
    <r>
      <t>·</t>
    </r>
    <r>
      <rPr>
        <sz val="14"/>
        <rFont val="Times New Roman"/>
      </rPr>
      <t xml:space="preserve">       </t>
    </r>
    <r>
      <rPr>
        <sz val="14"/>
        <rFont val="Arial"/>
      </rPr>
      <t>Tres sublenguajes DDL, DML, DCL</t>
    </r>
  </si>
  <si>
    <r>
      <t>·</t>
    </r>
    <r>
      <rPr>
        <sz val="14"/>
        <rFont val="Times New Roman"/>
      </rPr>
      <t xml:space="preserve">       </t>
    </r>
    <r>
      <rPr>
        <sz val="14"/>
        <rFont val="Arial"/>
      </rPr>
      <t>Dos sublenguajes DLL, DML</t>
    </r>
  </si>
  <si>
    <r>
      <t>·</t>
    </r>
    <r>
      <rPr>
        <sz val="14"/>
        <rFont val="Times New Roman"/>
      </rPr>
      <t xml:space="preserve">       </t>
    </r>
    <r>
      <rPr>
        <sz val="14"/>
        <rFont val="Arial"/>
      </rPr>
      <t>Dos sublenguajes DDL, DML</t>
    </r>
  </si>
  <si>
    <r>
      <t>·</t>
    </r>
    <r>
      <rPr>
        <sz val="14"/>
        <rFont val="Times New Roman"/>
      </rPr>
      <t xml:space="preserve">       </t>
    </r>
    <r>
      <rPr>
        <sz val="14"/>
        <rFont val="Arial"/>
      </rPr>
      <t>Se utiliza para crear tablas.</t>
    </r>
  </si>
  <si>
    <r>
      <t>·</t>
    </r>
    <r>
      <rPr>
        <sz val="14"/>
        <rFont val="Times New Roman"/>
      </rPr>
      <t xml:space="preserve">       </t>
    </r>
    <r>
      <rPr>
        <sz val="14"/>
        <rFont val="Arial"/>
      </rPr>
      <t>Se utiliza para modificar tablas.</t>
    </r>
  </si>
  <si>
    <r>
      <t>·</t>
    </r>
    <r>
      <rPr>
        <sz val="14"/>
        <rFont val="Times New Roman"/>
      </rPr>
      <t xml:space="preserve">       </t>
    </r>
    <r>
      <rPr>
        <sz val="14"/>
        <rFont val="Arial"/>
      </rPr>
      <t>Se utiliza para eliminar tablas.</t>
    </r>
  </si>
  <si>
    <r>
      <t>·</t>
    </r>
    <r>
      <rPr>
        <sz val="14"/>
        <rFont val="Times New Roman"/>
      </rPr>
      <t xml:space="preserve">       </t>
    </r>
    <r>
      <rPr>
        <sz val="14"/>
        <rFont val="Arial"/>
      </rPr>
      <t>La instrucción DESCRIBE se utiliza para ver un listado con información sobre los atributos de una tabla o vista.</t>
    </r>
  </si>
  <si>
    <r>
      <t>·</t>
    </r>
    <r>
      <rPr>
        <sz val="14"/>
        <rFont val="Times New Roman"/>
      </rPr>
      <t xml:space="preserve">       </t>
    </r>
    <r>
      <rPr>
        <sz val="14"/>
        <rFont val="Arial"/>
      </rPr>
      <t>La instrucción DESCRIBE se puede simplificar en DESC.</t>
    </r>
  </si>
  <si>
    <r>
      <t>·</t>
    </r>
    <r>
      <rPr>
        <sz val="14"/>
        <rFont val="Times New Roman"/>
      </rPr>
      <t xml:space="preserve">       </t>
    </r>
    <r>
      <rPr>
        <sz val="14"/>
        <rFont val="Arial"/>
      </rPr>
      <t>La instrucción DESCRIBE se utiliza para definir restricciones.</t>
    </r>
  </si>
  <si>
    <r>
      <t>·</t>
    </r>
    <r>
      <rPr>
        <sz val="14"/>
        <rFont val="Times New Roman"/>
      </rPr>
      <t xml:space="preserve">       </t>
    </r>
    <r>
      <rPr>
        <sz val="14"/>
        <rFont val="Arial"/>
      </rPr>
      <t>La instrucción DESCRIBE se utiliza tanto en MySQL como en Oracle.</t>
    </r>
  </si>
  <si>
    <r>
      <t>·</t>
    </r>
    <r>
      <rPr>
        <sz val="14"/>
        <rFont val="Times New Roman"/>
      </rPr>
      <t xml:space="preserve">       </t>
    </r>
    <r>
      <rPr>
        <sz val="14"/>
        <rFont val="Arial"/>
      </rPr>
      <t>Mediante la instrucción ALTER TABLE se puede cambiar el nombre a un atributo.</t>
    </r>
  </si>
  <si>
    <r>
      <t>·</t>
    </r>
    <r>
      <rPr>
        <sz val="14"/>
        <rFont val="Times New Roman"/>
      </rPr>
      <t xml:space="preserve">       </t>
    </r>
    <r>
      <rPr>
        <sz val="14"/>
        <rFont val="Arial"/>
      </rPr>
      <t>Mediante la instrucción ALTER TABLE se puede cambiar el nombre de una tabla.</t>
    </r>
  </si>
  <si>
    <r>
      <t>·</t>
    </r>
    <r>
      <rPr>
        <sz val="14"/>
        <rFont val="Times New Roman"/>
      </rPr>
      <t xml:space="preserve">       </t>
    </r>
    <r>
      <rPr>
        <sz val="14"/>
        <rFont val="Arial"/>
      </rPr>
      <t>Mediante la instrucción ALTER TABLE se puede añadir un atributo a una tabla.</t>
    </r>
  </si>
  <si>
    <r>
      <t>·</t>
    </r>
    <r>
      <rPr>
        <sz val="14"/>
        <rFont val="Times New Roman"/>
      </rPr>
      <t xml:space="preserve">       </t>
    </r>
    <r>
      <rPr>
        <sz val="14"/>
        <rFont val="Arial"/>
      </rPr>
      <t>Mediante la instrucción ALTER TABLE se puede cambiar el tipo de dato de un atributo.</t>
    </r>
  </si>
  <si>
    <r>
      <t>·</t>
    </r>
    <r>
      <rPr>
        <sz val="14"/>
        <rFont val="Times New Roman"/>
      </rPr>
      <t xml:space="preserve">       </t>
    </r>
    <r>
      <rPr>
        <sz val="14"/>
        <rFont val="Arial"/>
      </rPr>
      <t>Mediante la instrucción CREATE TABLE se crea una nueva tabla o relación.</t>
    </r>
  </si>
  <si>
    <r>
      <t>·</t>
    </r>
    <r>
      <rPr>
        <sz val="14"/>
        <rFont val="Times New Roman"/>
      </rPr>
      <t xml:space="preserve">       </t>
    </r>
    <r>
      <rPr>
        <sz val="14"/>
        <rFont val="Arial"/>
      </rPr>
      <t>Mediante la instrucción DELETE TABLE se puede eliminar una tabla o relación.</t>
    </r>
  </si>
  <si>
    <r>
      <t>·</t>
    </r>
    <r>
      <rPr>
        <sz val="14"/>
        <rFont val="Times New Roman"/>
      </rPr>
      <t xml:space="preserve">       </t>
    </r>
    <r>
      <rPr>
        <sz val="14"/>
        <rFont val="Arial"/>
      </rPr>
      <t>Mediante la instrucción DROP CONSTRAINT se puede eliminar una restricción.</t>
    </r>
  </si>
  <si>
    <r>
      <t>·</t>
    </r>
    <r>
      <rPr>
        <sz val="14"/>
        <rFont val="Times New Roman"/>
      </rPr>
      <t xml:space="preserve">       </t>
    </r>
    <r>
      <rPr>
        <sz val="14"/>
        <rFont val="Arial"/>
      </rPr>
      <t>Mediante la instrucción ALTER TABLE se puede eliminar una tabla o relación.</t>
    </r>
  </si>
  <si>
    <r>
      <t>·</t>
    </r>
    <r>
      <rPr>
        <sz val="14"/>
        <rFont val="Times New Roman"/>
      </rPr>
      <t xml:space="preserve">       </t>
    </r>
    <r>
      <rPr>
        <sz val="14"/>
        <rFont val="Arial"/>
      </rPr>
      <t>En un atributo del tipo de dato TIMESTAMP sólo se puede almacenar la fecha.</t>
    </r>
  </si>
  <si>
    <r>
      <t>·</t>
    </r>
    <r>
      <rPr>
        <sz val="14"/>
        <rFont val="Times New Roman"/>
      </rPr>
      <t xml:space="preserve">       </t>
    </r>
    <r>
      <rPr>
        <sz val="14"/>
        <rFont val="Arial"/>
      </rPr>
      <t>En un atributo del tipo de dato TIMESTAMP se puede almacenar la fecha y la hora.</t>
    </r>
  </si>
  <si>
    <r>
      <t>·</t>
    </r>
    <r>
      <rPr>
        <sz val="14"/>
        <rFont val="Times New Roman"/>
      </rPr>
      <t xml:space="preserve">       </t>
    </r>
    <r>
      <rPr>
        <sz val="14"/>
        <rFont val="Arial"/>
      </rPr>
      <t>En un atributo del tipo de dato TIMESTAMP sólo se puede almacenar la hora.</t>
    </r>
  </si>
  <si>
    <r>
      <t>·</t>
    </r>
    <r>
      <rPr>
        <sz val="14"/>
        <rFont val="Times New Roman"/>
      </rPr>
      <t xml:space="preserve">       </t>
    </r>
    <r>
      <rPr>
        <sz val="14"/>
        <rFont val="Arial"/>
      </rPr>
      <t>En un atributo del tipo de dato TIMESTAMP se puede almacenar texto.</t>
    </r>
  </si>
  <si>
    <r>
      <t>·</t>
    </r>
    <r>
      <rPr>
        <sz val="14"/>
        <rFont val="Times New Roman"/>
      </rPr>
      <t xml:space="preserve">       </t>
    </r>
    <r>
      <rPr>
        <sz val="14"/>
        <rFont val="Arial"/>
      </rPr>
      <t>En MySQL no da error sintáctico pero no surgen efecto.</t>
    </r>
  </si>
  <si>
    <r>
      <t>·</t>
    </r>
    <r>
      <rPr>
        <sz val="14"/>
        <rFont val="Times New Roman"/>
      </rPr>
      <t xml:space="preserve">       </t>
    </r>
    <r>
      <rPr>
        <sz val="14"/>
        <rFont val="Arial"/>
      </rPr>
      <t>En MySQL da un error sintáctico.</t>
    </r>
  </si>
  <si>
    <r>
      <t>·</t>
    </r>
    <r>
      <rPr>
        <sz val="14"/>
        <rFont val="Times New Roman"/>
      </rPr>
      <t xml:space="preserve">       </t>
    </r>
    <r>
      <rPr>
        <sz val="14"/>
        <rFont val="Arial"/>
      </rPr>
      <t>En MySQL funcionan perfectamente.</t>
    </r>
  </si>
  <si>
    <r>
      <t>·</t>
    </r>
    <r>
      <rPr>
        <sz val="14"/>
        <rFont val="Times New Roman"/>
      </rPr>
      <t xml:space="preserve">       </t>
    </r>
    <r>
      <rPr>
        <sz val="14"/>
        <rFont val="Arial"/>
      </rPr>
      <t>Las otras opciones son correctas.</t>
    </r>
  </si>
  <si>
    <r>
      <t>·</t>
    </r>
    <r>
      <rPr>
        <sz val="14"/>
        <rFont val="Times New Roman"/>
      </rPr>
      <t xml:space="preserve">       </t>
    </r>
    <r>
      <rPr>
        <sz val="14"/>
        <rFont val="Arial"/>
      </rPr>
      <t>Sirven para definir las claves ajenas.</t>
    </r>
  </si>
  <si>
    <r>
      <t>·</t>
    </r>
    <r>
      <rPr>
        <sz val="14"/>
        <rFont val="Times New Roman"/>
      </rPr>
      <t xml:space="preserve">       </t>
    </r>
    <r>
      <rPr>
        <sz val="14"/>
        <rFont val="Arial"/>
      </rPr>
      <t>Sirven para definir los dominios de los atributos.</t>
    </r>
  </si>
  <si>
    <r>
      <t>·</t>
    </r>
    <r>
      <rPr>
        <sz val="14"/>
        <rFont val="Times New Roman"/>
      </rPr>
      <t xml:space="preserve">       </t>
    </r>
    <r>
      <rPr>
        <sz val="14"/>
        <rFont val="Arial"/>
      </rPr>
      <t>Sirven para definir las claves primarias y las claves ajenas.</t>
    </r>
  </si>
  <si>
    <r>
      <t>·</t>
    </r>
    <r>
      <rPr>
        <sz val="14"/>
        <rFont val="Times New Roman"/>
      </rPr>
      <t xml:space="preserve">       </t>
    </r>
    <r>
      <rPr>
        <sz val="14"/>
        <rFont val="Arial"/>
      </rPr>
      <t>Las otras opciones son incorrectas.</t>
    </r>
  </si>
  <si>
    <r>
      <t>·</t>
    </r>
    <r>
      <rPr>
        <sz val="14"/>
        <rFont val="Times New Roman"/>
      </rPr>
      <t xml:space="preserve">       </t>
    </r>
    <r>
      <rPr>
        <sz val="14"/>
        <rFont val="Arial"/>
      </rPr>
      <t>Las otras opciones son incorrectas</t>
    </r>
  </si>
  <si>
    <t>1 .-En el lenguaje de manipulación de datos (DML):</t>
  </si>
  <si>
    <t>2 .-En SQL estándar la restricción NOT NULL:</t>
  </si>
  <si>
    <t>3 .-En SQL estándar, en la sentencia se selección SELECT:</t>
  </si>
  <si>
    <t>4 .-En SQL estándar:</t>
  </si>
  <si>
    <t>5 .-En SQL estándar:</t>
  </si>
  <si>
    <t>6 .-En SQL estándar, la función de agregación AVG:</t>
  </si>
  <si>
    <t>7 .-En SQL estándar, el operador LIKE:</t>
  </si>
  <si>
    <t>8 .-En SQL estándar, la función MIN:</t>
  </si>
  <si>
    <t>9 .-En SQL estándar, la función SUM:</t>
  </si>
  <si>
    <t>10 .-En SQL estándar, los alias:</t>
  </si>
  <si>
    <r>
      <t>·</t>
    </r>
    <r>
      <rPr>
        <sz val="7"/>
        <rFont val="Times New Roman"/>
      </rPr>
      <t xml:space="preserve">       </t>
    </r>
    <r>
      <rPr>
        <sz val="9"/>
        <rFont val="Arial"/>
      </rPr>
      <t>Todas las operaciones pueden actuar sobre varias tablas a la vez.</t>
    </r>
  </si>
  <si>
    <r>
      <t>·</t>
    </r>
    <r>
      <rPr>
        <sz val="7"/>
        <rFont val="Times New Roman"/>
      </rPr>
      <t xml:space="preserve">       </t>
    </r>
    <r>
      <rPr>
        <sz val="9"/>
        <rFont val="Arial"/>
      </rPr>
      <t>Todas las operaciones únicamente pueden actuar sobre una única tabla.</t>
    </r>
  </si>
  <si>
    <r>
      <t>·</t>
    </r>
    <r>
      <rPr>
        <sz val="7"/>
        <rFont val="Times New Roman"/>
      </rPr>
      <t xml:space="preserve">       </t>
    </r>
    <r>
      <rPr>
        <sz val="9"/>
        <rFont val="Arial"/>
      </rPr>
      <t>Las otras opciones son falsas</t>
    </r>
  </si>
  <si>
    <r>
      <t>·</t>
    </r>
    <r>
      <rPr>
        <sz val="7"/>
        <rFont val="Times New Roman"/>
      </rPr>
      <t xml:space="preserve">       </t>
    </r>
    <r>
      <rPr>
        <sz val="9"/>
        <rFont val="Arial"/>
      </rPr>
      <t>Hay operaciones de consulta y de actualización de datos.</t>
    </r>
  </si>
  <si>
    <r>
      <t>·</t>
    </r>
    <r>
      <rPr>
        <sz val="14"/>
        <rFont val="Times New Roman"/>
      </rPr>
      <t xml:space="preserve">       </t>
    </r>
    <r>
      <rPr>
        <sz val="14"/>
        <rFont val="Arial"/>
      </rPr>
      <t>Todas las operaciones pueden actuar sobre varias tablas a la vez.</t>
    </r>
  </si>
  <si>
    <r>
      <t>·</t>
    </r>
    <r>
      <rPr>
        <sz val="14"/>
        <rFont val="Times New Roman"/>
      </rPr>
      <t xml:space="preserve">       </t>
    </r>
    <r>
      <rPr>
        <sz val="14"/>
        <rFont val="Arial"/>
      </rPr>
      <t>Todas las operaciones únicamente pueden actuar sobre una única tabla.</t>
    </r>
  </si>
  <si>
    <r>
      <t>·</t>
    </r>
    <r>
      <rPr>
        <sz val="14"/>
        <rFont val="Times New Roman"/>
      </rPr>
      <t xml:space="preserve">       </t>
    </r>
    <r>
      <rPr>
        <sz val="14"/>
        <rFont val="Arial"/>
      </rPr>
      <t>Hay operaciones de consulta y de actualización de datos.</t>
    </r>
  </si>
  <si>
    <r>
      <t>·</t>
    </r>
    <r>
      <rPr>
        <sz val="14"/>
        <rFont val="Times New Roman"/>
      </rPr>
      <t xml:space="preserve">       </t>
    </r>
    <r>
      <rPr>
        <sz val="14"/>
        <rFont val="Arial"/>
      </rPr>
      <t>Es una restricción que al aplicarla sobre un atributo, afecta a los demás atributos de la tabla.</t>
    </r>
  </si>
  <si>
    <r>
      <t>·</t>
    </r>
    <r>
      <rPr>
        <sz val="14"/>
        <rFont val="Times New Roman"/>
      </rPr>
      <t xml:space="preserve">       </t>
    </r>
    <r>
      <rPr>
        <sz val="14"/>
        <rFont val="Arial"/>
      </rPr>
      <t>Es una restricción que indica que el atributo sobre el que actúa, puede tener, además de valores nulos, valores no nulos.</t>
    </r>
  </si>
  <si>
    <r>
      <t>·</t>
    </r>
    <r>
      <rPr>
        <sz val="14"/>
        <rFont val="Times New Roman"/>
      </rPr>
      <t xml:space="preserve">       </t>
    </r>
    <r>
      <rPr>
        <sz val="14"/>
        <rFont val="Arial"/>
      </rPr>
      <t>Es una restricción que indica que el atributo sobre el que actúa, solamente puede tener valores nulos.</t>
    </r>
  </si>
  <si>
    <r>
      <t>·</t>
    </r>
    <r>
      <rPr>
        <sz val="14"/>
        <rFont val="Times New Roman"/>
      </rPr>
      <t xml:space="preserve">       </t>
    </r>
    <r>
      <rPr>
        <sz val="14"/>
        <rFont val="Arial"/>
      </rPr>
      <t>La cláusula ORDER BY, siempre debe ir acompañada de la claúsula GROUP BY.</t>
    </r>
  </si>
  <si>
    <r>
      <t>·</t>
    </r>
    <r>
      <rPr>
        <sz val="14"/>
        <rFont val="Times New Roman"/>
      </rPr>
      <t xml:space="preserve">       </t>
    </r>
    <r>
      <rPr>
        <sz val="14"/>
        <rFont val="Arial"/>
      </rPr>
      <t>Siempre debe llevar la cláusula WHERE.</t>
    </r>
  </si>
  <si>
    <r>
      <t>·</t>
    </r>
    <r>
      <rPr>
        <sz val="14"/>
        <rFont val="Times New Roman"/>
      </rPr>
      <t xml:space="preserve">       </t>
    </r>
    <r>
      <rPr>
        <sz val="14"/>
        <rFont val="Arial"/>
      </rPr>
      <t>La cláusula HAVING, siempre debe ir acompañada de la cláusula GROUP BY.</t>
    </r>
  </si>
  <si>
    <r>
      <t>·</t>
    </r>
    <r>
      <rPr>
        <sz val="14"/>
        <rFont val="Times New Roman"/>
      </rPr>
      <t xml:space="preserve">       </t>
    </r>
    <r>
      <rPr>
        <sz val="14"/>
        <rFont val="Arial"/>
      </rPr>
      <t xml:space="preserve">Para poder utilizar la cláusula GROUP BY, al menos debemos hacer referencia a dos tablas. </t>
    </r>
  </si>
  <si>
    <r>
      <t>·</t>
    </r>
    <r>
      <rPr>
        <sz val="14"/>
        <rFont val="Times New Roman"/>
      </rPr>
      <t xml:space="preserve">       </t>
    </r>
    <r>
      <rPr>
        <sz val="14"/>
        <rFont val="Arial"/>
      </rPr>
      <t>La cláusula HAVING actúa a nivel de tupla.</t>
    </r>
  </si>
  <si>
    <r>
      <t>·</t>
    </r>
    <r>
      <rPr>
        <sz val="14"/>
        <rFont val="Times New Roman"/>
      </rPr>
      <t xml:space="preserve">       </t>
    </r>
    <r>
      <rPr>
        <sz val="14"/>
        <rFont val="Arial"/>
      </rPr>
      <t>La cláusula WHERE actúa a nivel de tupla.</t>
    </r>
  </si>
  <si>
    <r>
      <t>·</t>
    </r>
    <r>
      <rPr>
        <sz val="14"/>
        <rFont val="Times New Roman"/>
      </rPr>
      <t xml:space="preserve">       </t>
    </r>
    <r>
      <rPr>
        <sz val="14"/>
        <rFont val="Arial"/>
      </rPr>
      <t>La cláusula HAVING se comporta de forma similar a la cláusula WHERE.</t>
    </r>
  </si>
  <si>
    <r>
      <t>·</t>
    </r>
    <r>
      <rPr>
        <sz val="14"/>
        <rFont val="Times New Roman"/>
      </rPr>
      <t xml:space="preserve">       </t>
    </r>
    <r>
      <rPr>
        <sz val="14"/>
        <rFont val="Arial"/>
      </rPr>
      <t>Las funciones de agregación devuelven más de un dato.</t>
    </r>
  </si>
  <si>
    <r>
      <t>·</t>
    </r>
    <r>
      <rPr>
        <sz val="14"/>
        <rFont val="Times New Roman"/>
      </rPr>
      <t xml:space="preserve">       </t>
    </r>
    <r>
      <rPr>
        <sz val="14"/>
        <rFont val="Arial"/>
      </rPr>
      <t>Las funciones de agregación devuelven sólo un dato.</t>
    </r>
  </si>
  <si>
    <r>
      <t>·</t>
    </r>
    <r>
      <rPr>
        <sz val="14"/>
        <rFont val="Times New Roman"/>
      </rPr>
      <t xml:space="preserve">       </t>
    </r>
    <r>
      <rPr>
        <sz val="14"/>
        <rFont val="Arial"/>
      </rPr>
      <t>Las funciones de agregación pueden devolver más de un dato.</t>
    </r>
  </si>
  <si>
    <r>
      <t>·</t>
    </r>
    <r>
      <rPr>
        <sz val="14"/>
        <rFont val="Times New Roman"/>
      </rPr>
      <t xml:space="preserve">       </t>
    </r>
    <r>
      <rPr>
        <sz val="14"/>
        <rFont val="Arial"/>
      </rPr>
      <t>Devuelve la media aritmética de los valores del argumento.</t>
    </r>
  </si>
  <si>
    <r>
      <t>·</t>
    </r>
    <r>
      <rPr>
        <sz val="14"/>
        <rFont val="Times New Roman"/>
      </rPr>
      <t xml:space="preserve">       </t>
    </r>
    <r>
      <rPr>
        <sz val="14"/>
        <rFont val="Arial"/>
      </rPr>
      <t>Devuelve la suma de los valores del argumento.</t>
    </r>
  </si>
  <si>
    <r>
      <t>·</t>
    </r>
    <r>
      <rPr>
        <sz val="14"/>
        <rFont val="Times New Roman"/>
      </rPr>
      <t xml:space="preserve">       </t>
    </r>
    <r>
      <rPr>
        <sz val="14"/>
        <rFont val="Arial"/>
      </rPr>
      <t>Devuelve la media geométrica de los valores del argumento.</t>
    </r>
  </si>
  <si>
    <r>
      <t>·</t>
    </r>
    <r>
      <rPr>
        <sz val="14"/>
        <rFont val="Times New Roman"/>
      </rPr>
      <t xml:space="preserve">       </t>
    </r>
    <r>
      <rPr>
        <sz val="14"/>
        <rFont val="Arial"/>
      </rPr>
      <t>Las otras opciones son falsas</t>
    </r>
  </si>
  <si>
    <r>
      <t>·</t>
    </r>
    <r>
      <rPr>
        <sz val="14"/>
        <rFont val="Times New Roman"/>
      </rPr>
      <t xml:space="preserve">       </t>
    </r>
    <r>
      <rPr>
        <sz val="14"/>
        <rFont val="Arial"/>
      </rPr>
      <t>Se puede aplicar únicamente sobre valores de tipo fecha.</t>
    </r>
  </si>
  <si>
    <r>
      <t>·</t>
    </r>
    <r>
      <rPr>
        <sz val="14"/>
        <rFont val="Times New Roman"/>
      </rPr>
      <t xml:space="preserve">       </t>
    </r>
    <r>
      <rPr>
        <sz val="14"/>
        <rFont val="Arial"/>
      </rPr>
      <t xml:space="preserve">Se puede aplicar sobre cualquier tipo de datos. </t>
    </r>
  </si>
  <si>
    <r>
      <t>·</t>
    </r>
    <r>
      <rPr>
        <sz val="14"/>
        <rFont val="Times New Roman"/>
      </rPr>
      <t xml:space="preserve">       </t>
    </r>
    <r>
      <rPr>
        <sz val="14"/>
        <rFont val="Arial"/>
      </rPr>
      <t>Se puede aplicar únicamente sobre valores numéricos.</t>
    </r>
  </si>
  <si>
    <r>
      <t>·</t>
    </r>
    <r>
      <rPr>
        <sz val="14"/>
        <rFont val="Times New Roman"/>
      </rPr>
      <t xml:space="preserve">       </t>
    </r>
    <r>
      <rPr>
        <sz val="14"/>
        <rFont val="Arial"/>
      </rPr>
      <t>Sólo se puede aplicar sobre atributos numéricos.</t>
    </r>
  </si>
  <si>
    <r>
      <t>·</t>
    </r>
    <r>
      <rPr>
        <sz val="14"/>
        <rFont val="Times New Roman"/>
      </rPr>
      <t xml:space="preserve">       </t>
    </r>
    <r>
      <rPr>
        <sz val="14"/>
        <rFont val="Arial"/>
      </rPr>
      <t>Sólo se puede aplicar sobre atributos de texto.</t>
    </r>
  </si>
  <si>
    <r>
      <t>·</t>
    </r>
    <r>
      <rPr>
        <sz val="14"/>
        <rFont val="Times New Roman"/>
      </rPr>
      <t xml:space="preserve">       </t>
    </r>
    <r>
      <rPr>
        <sz val="14"/>
        <rFont val="Arial"/>
      </rPr>
      <t>Sólo se puede aplicar sobre atributos de tipo fecha.</t>
    </r>
  </si>
  <si>
    <r>
      <t>·</t>
    </r>
    <r>
      <rPr>
        <sz val="14"/>
        <rFont val="Times New Roman"/>
      </rPr>
      <t xml:space="preserve">       </t>
    </r>
    <r>
      <rPr>
        <sz val="14"/>
        <rFont val="Arial"/>
      </rPr>
      <t>Sólo tiene sentido aplicarla sobre atributos numéricos.</t>
    </r>
  </si>
  <si>
    <r>
      <t>·</t>
    </r>
    <r>
      <rPr>
        <sz val="14"/>
        <rFont val="Times New Roman"/>
      </rPr>
      <t xml:space="preserve">       </t>
    </r>
    <r>
      <rPr>
        <sz val="14"/>
        <rFont val="Arial"/>
      </rPr>
      <t>Sólo tiene sentido aplicarla sobre atributos de texto.</t>
    </r>
  </si>
  <si>
    <r>
      <t>·</t>
    </r>
    <r>
      <rPr>
        <sz val="14"/>
        <rFont val="Times New Roman"/>
      </rPr>
      <t xml:space="preserve">       </t>
    </r>
    <r>
      <rPr>
        <sz val="14"/>
        <rFont val="Arial"/>
      </rPr>
      <t>Sólo tiene sentido aplicarla sobre atributos de tipo fecha.</t>
    </r>
  </si>
  <si>
    <r>
      <t>·</t>
    </r>
    <r>
      <rPr>
        <sz val="14"/>
        <rFont val="Times New Roman"/>
      </rPr>
      <t xml:space="preserve">       </t>
    </r>
    <r>
      <rPr>
        <sz val="14"/>
        <rFont val="Arial"/>
      </rPr>
      <t>Sólo se pueden utilizar sobre atributos.</t>
    </r>
  </si>
  <si>
    <r>
      <t>·</t>
    </r>
    <r>
      <rPr>
        <sz val="14"/>
        <rFont val="Times New Roman"/>
      </rPr>
      <t xml:space="preserve">       </t>
    </r>
    <r>
      <rPr>
        <sz val="14"/>
        <rFont val="Arial"/>
      </rPr>
      <t>Se pueden utilizar sobre tablas.</t>
    </r>
  </si>
  <si>
    <r>
      <t>·</t>
    </r>
    <r>
      <rPr>
        <sz val="14"/>
        <rFont val="Times New Roman"/>
      </rPr>
      <t xml:space="preserve">       </t>
    </r>
    <r>
      <rPr>
        <sz val="14"/>
        <rFont val="Arial"/>
      </rPr>
      <t>Sólo se pueden utilizar sobre atributos numéricos.</t>
    </r>
  </si>
  <si>
    <t>CREATE TABLE Personas(NIF Varchar(9), Nombre Varchar(30) NOT NULL, Apellido1 varchar(30) NOT NULL, Apellido2 varchar(30), CONSTRAINT PK_Personas PRIMARY KEY(NIF),);</t>
  </si>
  <si>
    <t>CREATE TABLE Telefonos(NIF Varchar(9), Telefono Varchar(11),CONSTRAINT PK_Telefonos PRIMARY KEY (NIF,Telefono), CONSTRAINT FK_TelefPers FOREIGN KEY (NIF) REFERENCES Personas (NIF) ON DELETE CASCADE );</t>
  </si>
  <si>
    <t>3 .-En SQL estándar, con la operación INSERT INTO</t>
  </si>
  <si>
    <t>4 .- Si ejecutamos las instrucción DELETE FROM Personas WHERE NIF LIKE ‘8%’; :</t>
  </si>
  <si>
    <t>5 .-Si ejecutamos las instrucción DELETE FROM Personas; :</t>
  </si>
  <si>
    <t>6 .-Si ejecutamos la instrucción DELETE FROM Personas WHERE NIF IN (SELECT NIF FROM Telefonos );</t>
  </si>
  <si>
    <t>7 .-En SQL estándar, la instrucción UPDATE:</t>
  </si>
  <si>
    <t>8 .-Si ejecutamos la instrucción UPDATE Personas SET Apellido2=’GARCÍA’;</t>
  </si>
  <si>
    <t>9 .-En una única sentencia UPDATE:</t>
  </si>
  <si>
    <t>10 .-En SQL estándar, la instrucción INSERT INTO:</t>
  </si>
  <si>
    <r>
      <t>·</t>
    </r>
    <r>
      <rPr>
        <sz val="7"/>
        <rFont val="Times New Roman"/>
      </rPr>
      <t xml:space="preserve">       </t>
    </r>
    <r>
      <rPr>
        <sz val="9"/>
        <rFont val="Arial"/>
      </rPr>
      <t>Tres lenguajes DLL, DML, DCL</t>
    </r>
  </si>
  <si>
    <r>
      <t>·</t>
    </r>
    <r>
      <rPr>
        <sz val="7"/>
        <rFont val="Times New Roman"/>
      </rPr>
      <t xml:space="preserve">       </t>
    </r>
    <r>
      <rPr>
        <sz val="9"/>
        <rFont val="Arial"/>
      </rPr>
      <t>Dos lenguajes DDL, DML</t>
    </r>
  </si>
  <si>
    <r>
      <t>·</t>
    </r>
    <r>
      <rPr>
        <sz val="7"/>
        <rFont val="Times New Roman"/>
      </rPr>
      <t xml:space="preserve">       </t>
    </r>
    <r>
      <rPr>
        <sz val="9"/>
        <rFont val="Arial"/>
      </rPr>
      <t>Dos lenguajes DLL, DML</t>
    </r>
  </si>
  <si>
    <r>
      <t>·</t>
    </r>
    <r>
      <rPr>
        <sz val="7"/>
        <rFont val="Times New Roman"/>
      </rPr>
      <t xml:space="preserve">       </t>
    </r>
    <r>
      <rPr>
        <sz val="9"/>
        <rFont val="Arial"/>
      </rPr>
      <t>Únicamente se puede introducir una tupla.</t>
    </r>
  </si>
  <si>
    <r>
      <t>·</t>
    </r>
    <r>
      <rPr>
        <sz val="7"/>
        <rFont val="Times New Roman"/>
      </rPr>
      <t xml:space="preserve">       </t>
    </r>
    <r>
      <rPr>
        <sz val="9"/>
        <rFont val="Arial"/>
      </rPr>
      <t>Siempre, al menos, se introducirá una tupla.</t>
    </r>
  </si>
  <si>
    <r>
      <t>·</t>
    </r>
    <r>
      <rPr>
        <sz val="7"/>
        <rFont val="Times New Roman"/>
      </rPr>
      <t xml:space="preserve">       </t>
    </r>
    <r>
      <rPr>
        <sz val="9"/>
        <rFont val="Arial"/>
      </rPr>
      <t>Se pueden introducir a la vez tuplas en varias tablas.</t>
    </r>
  </si>
  <si>
    <r>
      <t>·</t>
    </r>
    <r>
      <rPr>
        <sz val="7"/>
        <rFont val="Times New Roman"/>
      </rPr>
      <t xml:space="preserve">       </t>
    </r>
    <r>
      <rPr>
        <sz val="9"/>
        <rFont val="Arial"/>
      </rPr>
      <t>Sólo se van a eliminar tuplas de la tabla PERSONAS.</t>
    </r>
  </si>
  <si>
    <r>
      <t>·</t>
    </r>
    <r>
      <rPr>
        <sz val="7"/>
        <rFont val="Times New Roman"/>
      </rPr>
      <t xml:space="preserve">       </t>
    </r>
    <r>
      <rPr>
        <sz val="9"/>
        <rFont val="Arial"/>
      </rPr>
      <t>Sólo se van a eliminar tuplas de la tabla TELEFONOS.</t>
    </r>
  </si>
  <si>
    <r>
      <t>·</t>
    </r>
    <r>
      <rPr>
        <sz val="7"/>
        <rFont val="Times New Roman"/>
      </rPr>
      <t xml:space="preserve">       </t>
    </r>
    <r>
      <rPr>
        <sz val="9"/>
        <rFont val="Arial"/>
      </rPr>
      <t>Si se eliminan tuplas de la tabla PERSONAS también se eliminan de TELEFONOS.</t>
    </r>
  </si>
  <si>
    <r>
      <t>·</t>
    </r>
    <r>
      <rPr>
        <sz val="7"/>
        <rFont val="Times New Roman"/>
      </rPr>
      <t xml:space="preserve">       </t>
    </r>
    <r>
      <rPr>
        <sz val="9"/>
        <rFont val="Arial"/>
      </rPr>
      <t>Se vacía la tabla PERSONAS pero no la tabla TELEFONOS.</t>
    </r>
  </si>
  <si>
    <r>
      <t>·</t>
    </r>
    <r>
      <rPr>
        <sz val="7"/>
        <rFont val="Times New Roman"/>
      </rPr>
      <t xml:space="preserve">       </t>
    </r>
    <r>
      <rPr>
        <sz val="9"/>
        <rFont val="Arial"/>
      </rPr>
      <t>Se vacía la tabla TELEFONOS pero no la tabla PERSONAS.</t>
    </r>
  </si>
  <si>
    <r>
      <t>·</t>
    </r>
    <r>
      <rPr>
        <sz val="7"/>
        <rFont val="Times New Roman"/>
      </rPr>
      <t xml:space="preserve">       </t>
    </r>
    <r>
      <rPr>
        <sz val="9"/>
        <rFont val="Arial"/>
      </rPr>
      <t>Se vacía la tabla PERSONAS y también la tabla TELEFONOS.</t>
    </r>
  </si>
  <si>
    <r>
      <t>·</t>
    </r>
    <r>
      <rPr>
        <sz val="7"/>
        <rFont val="Times New Roman"/>
      </rPr>
      <t xml:space="preserve">       </t>
    </r>
    <r>
      <rPr>
        <sz val="9"/>
        <rFont val="Arial"/>
      </rPr>
      <t>Puede modificar tuplas de varias tablas a la vez.</t>
    </r>
  </si>
  <si>
    <r>
      <t>·</t>
    </r>
    <r>
      <rPr>
        <sz val="7"/>
        <rFont val="Times New Roman"/>
      </rPr>
      <t xml:space="preserve">       </t>
    </r>
    <r>
      <rPr>
        <sz val="9"/>
        <rFont val="Arial"/>
      </rPr>
      <t>Sólo puede modificar una única tupla por instrucción.</t>
    </r>
  </si>
  <si>
    <r>
      <t>·</t>
    </r>
    <r>
      <rPr>
        <sz val="7"/>
        <rFont val="Times New Roman"/>
      </rPr>
      <t xml:space="preserve">       </t>
    </r>
    <r>
      <rPr>
        <sz val="9"/>
        <rFont val="Arial"/>
      </rPr>
      <t>Modifica en la tabla PERSONAS sólo las tuplas cuyo segundo apellido es “GARCÍA”.</t>
    </r>
  </si>
  <si>
    <r>
      <t>·</t>
    </r>
    <r>
      <rPr>
        <sz val="7"/>
        <rFont val="Times New Roman"/>
      </rPr>
      <t xml:space="preserve">       </t>
    </r>
    <r>
      <rPr>
        <sz val="9"/>
        <rFont val="Arial"/>
      </rPr>
      <t>Modifica en la tabla PERSONAS el primer apellido de todas las tuplas.</t>
    </r>
  </si>
  <si>
    <r>
      <t>·</t>
    </r>
    <r>
      <rPr>
        <sz val="7"/>
        <rFont val="Times New Roman"/>
      </rPr>
      <t xml:space="preserve">       </t>
    </r>
    <r>
      <rPr>
        <sz val="9"/>
        <rFont val="Arial"/>
      </rPr>
      <t>Sólo se puede modificar un atributo de una tupla.</t>
    </r>
  </si>
  <si>
    <r>
      <t>·</t>
    </r>
    <r>
      <rPr>
        <sz val="7"/>
        <rFont val="Times New Roman"/>
      </rPr>
      <t xml:space="preserve">       </t>
    </r>
    <r>
      <rPr>
        <sz val="9"/>
        <rFont val="Arial"/>
      </rPr>
      <t>Sólo se puede modificar un atributo de varias tuplas.</t>
    </r>
  </si>
  <si>
    <r>
      <t>·</t>
    </r>
    <r>
      <rPr>
        <sz val="7"/>
        <rFont val="Times New Roman"/>
      </rPr>
      <t xml:space="preserve">       </t>
    </r>
    <r>
      <rPr>
        <sz val="9"/>
        <rFont val="Arial"/>
      </rPr>
      <t>Sólo se puede modificar varios atributos de una tupla.</t>
    </r>
  </si>
  <si>
    <r>
      <t>·</t>
    </r>
    <r>
      <rPr>
        <sz val="7"/>
        <rFont val="Times New Roman"/>
      </rPr>
      <t xml:space="preserve">       </t>
    </r>
    <r>
      <rPr>
        <sz val="9"/>
        <rFont val="Arial"/>
      </rPr>
      <t>Es obligatorio que haya lista de atributos.</t>
    </r>
  </si>
  <si>
    <r>
      <t>·</t>
    </r>
    <r>
      <rPr>
        <sz val="7"/>
        <rFont val="Times New Roman"/>
      </rPr>
      <t xml:space="preserve">       </t>
    </r>
    <r>
      <rPr>
        <sz val="9"/>
        <rFont val="Arial"/>
      </rPr>
      <t>Pertenece al sublenguaje DDL.</t>
    </r>
  </si>
  <si>
    <r>
      <t>·</t>
    </r>
    <r>
      <rPr>
        <sz val="7"/>
        <rFont val="Times New Roman"/>
      </rPr>
      <t xml:space="preserve">       </t>
    </r>
    <r>
      <rPr>
        <sz val="9"/>
        <rFont val="Arial"/>
      </rPr>
      <t>Tres lenguajes DDL, DML, DCL</t>
    </r>
  </si>
  <si>
    <r>
      <t>·</t>
    </r>
    <r>
      <rPr>
        <sz val="7"/>
        <rFont val="Times New Roman"/>
      </rPr>
      <t xml:space="preserve">       </t>
    </r>
    <r>
      <rPr>
        <sz val="9"/>
        <rFont val="Arial"/>
      </rPr>
      <t>Todas las opciones anteriores son falsas.</t>
    </r>
  </si>
  <si>
    <r>
      <t>·</t>
    </r>
    <r>
      <rPr>
        <sz val="7"/>
        <rFont val="Times New Roman"/>
      </rPr>
      <t xml:space="preserve">       </t>
    </r>
    <r>
      <rPr>
        <sz val="9"/>
        <rFont val="Arial"/>
      </rPr>
      <t>Es posible que se eliminen tuplas de la tabla PERSONAS y de la tabla TELEFONOS.</t>
    </r>
  </si>
  <si>
    <r>
      <t>·</t>
    </r>
    <r>
      <rPr>
        <sz val="7"/>
        <rFont val="Times New Roman"/>
      </rPr>
      <t xml:space="preserve">       </t>
    </r>
    <r>
      <rPr>
        <sz val="9"/>
        <rFont val="Arial"/>
      </rPr>
      <t xml:space="preserve">Puede modificar tuplas de una única tabla en cada instrucción. </t>
    </r>
  </si>
  <si>
    <r>
      <t>·</t>
    </r>
    <r>
      <rPr>
        <sz val="7"/>
        <rFont val="Times New Roman"/>
      </rPr>
      <t xml:space="preserve">       </t>
    </r>
    <r>
      <rPr>
        <sz val="9"/>
        <rFont val="Arial"/>
      </rPr>
      <t>Modifica en la tabla PERSONAS el segundo apellido de todas las tuplas.</t>
    </r>
  </si>
  <si>
    <r>
      <t>·</t>
    </r>
    <r>
      <rPr>
        <sz val="7"/>
        <rFont val="Times New Roman"/>
      </rPr>
      <t xml:space="preserve">       </t>
    </r>
    <r>
      <rPr>
        <sz val="9"/>
        <rFont val="Arial"/>
      </rPr>
      <t>Se pueden modificar varios atributos de varias tuplas.</t>
    </r>
  </si>
  <si>
    <r>
      <t>·</t>
    </r>
    <r>
      <rPr>
        <sz val="7"/>
        <rFont val="Times New Roman"/>
      </rPr>
      <t xml:space="preserve">       </t>
    </r>
    <r>
      <rPr>
        <sz val="9"/>
        <rFont val="Arial"/>
      </rPr>
      <t>Permite que no haya lista de atributos.</t>
    </r>
  </si>
  <si>
    <t>1 .- ¿Cuál de las siguientes afirmaciones es cierta sobre PL/SQL?</t>
  </si>
  <si>
    <t xml:space="preserve">2 .-¿Cuál de los siguientes operadores significa concatenar? </t>
  </si>
  <si>
    <t>3 .- ¿Cuál de las siguientes afirmaciones es FALSA sobre PL/SQL?</t>
  </si>
  <si>
    <t>4 .-Tenemos un campo de una tabla que es de tipo NUMBER, y deseamos declarar una variable del mismo tipo que dicho campo, ¿cuál de las siguientes es la mejor forma de hacerlo?</t>
  </si>
  <si>
    <t>5 .-Deseamos que la variable Mivariable tenga el valor 10000. ¿Cómo podemos conseguirlo?</t>
  </si>
  <si>
    <t>6 .-¿Cuál de las siguientes declaraciones es correcta?</t>
  </si>
  <si>
    <t>7 .-¿Cuál de las siguientes imágenes representa la sintaxis correcta para crear funciones en PL/SQL? (Nota: se han eliminado las palabras function y procedure)</t>
  </si>
  <si>
    <t>8 .-¿Cuál de las siguientes imágenes representa la sintaxis correcta para crear procedimientos en PL/SQL? (Nota: se han eliminado las palabras function y procedure)</t>
  </si>
  <si>
    <t>9 .-Si deseamos ejecutar una función que tiene 3 parámetros numéricos en PL/SQL, ¿cuál de las siguientes opciones es correcta?</t>
  </si>
  <si>
    <t xml:space="preserve">10 .-¿Cuál de las siguientes es una operación de cursores? </t>
  </si>
  <si>
    <t>E</t>
  </si>
  <si>
    <r>
      <t>·</t>
    </r>
    <r>
      <rPr>
        <sz val="7"/>
        <rFont val="Times New Roman"/>
      </rPr>
      <t xml:space="preserve">       </t>
    </r>
    <r>
      <rPr>
        <sz val="9"/>
        <rFont val="Arial"/>
      </rPr>
      <t>Las únicas excepciones que permite son las de Oracle.</t>
    </r>
  </si>
  <si>
    <r>
      <t>·</t>
    </r>
    <r>
      <rPr>
        <sz val="7"/>
        <rFont val="Times New Roman"/>
      </rPr>
      <t xml:space="preserve">       </t>
    </r>
    <r>
      <rPr>
        <sz val="9"/>
        <rFont val="Arial"/>
      </rPr>
      <t>No permite reutilizar código.</t>
    </r>
  </si>
  <si>
    <r>
      <t>·</t>
    </r>
    <r>
      <rPr>
        <sz val="7"/>
        <rFont val="Times New Roman"/>
      </rPr>
      <t xml:space="preserve">       </t>
    </r>
    <r>
      <rPr>
        <sz val="9"/>
        <rFont val="Arial"/>
      </rPr>
      <t>Las restantes opciones son falsas.</t>
    </r>
  </si>
  <si>
    <r>
      <t>·</t>
    </r>
    <r>
      <rPr>
        <sz val="7"/>
        <rFont val="Times New Roman"/>
      </rPr>
      <t xml:space="preserve">       </t>
    </r>
    <r>
      <rPr>
        <sz val="9"/>
        <rFont val="Arial"/>
      </rPr>
      <t>**</t>
    </r>
  </si>
  <si>
    <r>
      <t>·</t>
    </r>
    <r>
      <rPr>
        <sz val="7"/>
        <rFont val="Times New Roman"/>
      </rPr>
      <t xml:space="preserve">       </t>
    </r>
    <r>
      <rPr>
        <sz val="9"/>
        <rFont val="Arial"/>
      </rPr>
      <t>&amp;&amp;</t>
    </r>
  </si>
  <si>
    <r>
      <t>·</t>
    </r>
    <r>
      <rPr>
        <sz val="7"/>
        <rFont val="Times New Roman"/>
      </rPr>
      <t xml:space="preserve">       </t>
    </r>
    <r>
      <rPr>
        <sz val="9"/>
        <rFont val="Arial"/>
      </rPr>
      <t>Dentro de un bloque de código anónimo podemos capturar excepciones.</t>
    </r>
  </si>
  <si>
    <r>
      <t>·</t>
    </r>
    <r>
      <rPr>
        <sz val="7"/>
        <rFont val="Times New Roman"/>
      </rPr>
      <t xml:space="preserve">       </t>
    </r>
    <r>
      <rPr>
        <sz val="9"/>
        <rFont val="Arial"/>
      </rPr>
      <t>Las variables se declaran en el apartado DECLARE.</t>
    </r>
  </si>
  <si>
    <r>
      <t>·</t>
    </r>
    <r>
      <rPr>
        <sz val="7"/>
        <rFont val="Times New Roman"/>
      </rPr>
      <t xml:space="preserve">       </t>
    </r>
    <r>
      <rPr>
        <sz val="9"/>
        <rFont val="Arial"/>
      </rPr>
      <t>Ninguna de las restantes opciones es falsa.</t>
    </r>
  </si>
  <si>
    <r>
      <t>·</t>
    </r>
    <r>
      <rPr>
        <sz val="7"/>
        <rFont val="Times New Roman"/>
      </rPr>
      <t xml:space="preserve">       </t>
    </r>
    <r>
      <rPr>
        <sz val="9"/>
        <rFont val="Arial"/>
      </rPr>
      <t>Mivariable NUMBER;</t>
    </r>
  </si>
  <si>
    <r>
      <t>·</t>
    </r>
    <r>
      <rPr>
        <sz val="7"/>
        <rFont val="Times New Roman"/>
      </rPr>
      <t xml:space="preserve">       </t>
    </r>
    <r>
      <rPr>
        <sz val="9"/>
        <rFont val="Arial"/>
      </rPr>
      <t>Mivariable Tabla.Campo%ROWTYPE;</t>
    </r>
  </si>
  <si>
    <r>
      <t>·</t>
    </r>
    <r>
      <rPr>
        <sz val="7"/>
        <rFont val="Times New Roman"/>
      </rPr>
      <t xml:space="preserve">       </t>
    </r>
    <r>
      <rPr>
        <sz val="9"/>
        <rFont val="Arial"/>
      </rPr>
      <t>Mivariable = 10000</t>
    </r>
  </si>
  <si>
    <r>
      <t>·</t>
    </r>
    <r>
      <rPr>
        <sz val="7"/>
        <rFont val="Times New Roman"/>
      </rPr>
      <t xml:space="preserve">       </t>
    </r>
    <r>
      <rPr>
        <sz val="9"/>
        <rFont val="Arial"/>
      </rPr>
      <t>Mivariable =&gt; 10000</t>
    </r>
  </si>
  <si>
    <r>
      <t>·</t>
    </r>
    <r>
      <rPr>
        <sz val="7"/>
        <rFont val="Times New Roman"/>
      </rPr>
      <t xml:space="preserve">       </t>
    </r>
    <r>
      <rPr>
        <sz val="9"/>
        <rFont val="Arial"/>
      </rPr>
      <t>DECLARE PI CONSTANT NUMBER (5,2) : = 3.1416;</t>
    </r>
  </si>
  <si>
    <r>
      <t>·</t>
    </r>
    <r>
      <rPr>
        <sz val="7"/>
        <rFont val="Times New Roman"/>
      </rPr>
      <t xml:space="preserve">       </t>
    </r>
    <r>
      <rPr>
        <sz val="9"/>
        <rFont val="Arial"/>
      </rPr>
      <t>DECLARE PI CONSTANT NUMBER (5,5) : = 3.14161;</t>
    </r>
  </si>
  <si>
    <r>
      <t>·</t>
    </r>
    <r>
      <rPr>
        <sz val="7"/>
        <rFont val="Times New Roman"/>
      </rPr>
      <t xml:space="preserve">       </t>
    </r>
    <r>
      <rPr>
        <sz val="9"/>
        <rFont val="Arial"/>
      </rPr>
      <t>DECLARE PI CONSTANT NUMBER (5,3) : = 3.1416;</t>
    </r>
  </si>
  <si>
    <r>
      <t>·</t>
    </r>
    <r>
      <rPr>
        <sz val="7"/>
        <rFont val="Times New Roman"/>
      </rPr>
      <t xml:space="preserve">       </t>
    </r>
    <r>
      <rPr>
        <sz val="9"/>
        <rFont val="Arial"/>
      </rPr>
      <t> </t>
    </r>
  </si>
  <si>
    <r>
      <t>·</t>
    </r>
    <r>
      <rPr>
        <sz val="7"/>
        <rFont val="Times New Roman"/>
      </rPr>
      <t xml:space="preserve">       </t>
    </r>
    <r>
      <rPr>
        <sz val="9"/>
        <rFont val="Arial"/>
      </rPr>
      <t>Cualquiera de las opciones es correcta.</t>
    </r>
  </si>
  <si>
    <r>
      <t>·</t>
    </r>
    <r>
      <rPr>
        <sz val="7"/>
        <rFont val="Times New Roman"/>
      </rPr>
      <t xml:space="preserve">       </t>
    </r>
    <r>
      <rPr>
        <sz val="9"/>
        <rFont val="Arial"/>
      </rPr>
      <t>CALL funcion(1,2,3)</t>
    </r>
  </si>
  <si>
    <r>
      <t>·</t>
    </r>
    <r>
      <rPr>
        <sz val="7"/>
        <rFont val="Times New Roman"/>
      </rPr>
      <t xml:space="preserve">       </t>
    </r>
    <r>
      <rPr>
        <sz val="9"/>
        <rFont val="Arial"/>
      </rPr>
      <t>EXEC funcion(1,2,3)</t>
    </r>
  </si>
  <si>
    <r>
      <t>·</t>
    </r>
    <r>
      <rPr>
        <sz val="7"/>
        <rFont val="Times New Roman"/>
      </rPr>
      <t xml:space="preserve">       </t>
    </r>
    <r>
      <rPr>
        <sz val="9"/>
        <rFont val="Arial"/>
      </rPr>
      <t>FETCH, que recupera la siguiente fila de un cursor.</t>
    </r>
  </si>
  <si>
    <r>
      <t>·</t>
    </r>
    <r>
      <rPr>
        <sz val="7"/>
        <rFont val="Times New Roman"/>
      </rPr>
      <t xml:space="preserve">       </t>
    </r>
    <r>
      <rPr>
        <sz val="9"/>
        <rFont val="Arial"/>
      </rPr>
      <t>OPEN, que abre el cursor.</t>
    </r>
  </si>
  <si>
    <r>
      <t>·</t>
    </r>
    <r>
      <rPr>
        <sz val="7"/>
        <rFont val="Times New Roman"/>
      </rPr>
      <t xml:space="preserve">       </t>
    </r>
    <r>
      <rPr>
        <sz val="9"/>
        <rFont val="Arial"/>
      </rPr>
      <t>CLOSE, que cierra el cursor.</t>
    </r>
  </si>
  <si>
    <r>
      <t>·</t>
    </r>
    <r>
      <rPr>
        <sz val="7"/>
        <rFont val="Times New Roman"/>
      </rPr>
      <t xml:space="preserve">       </t>
    </r>
    <r>
      <rPr>
        <sz val="9"/>
        <rFont val="Arial"/>
      </rPr>
      <t>Permite ejecutar órdenes de SQL.</t>
    </r>
  </si>
  <si>
    <r>
      <t>·</t>
    </r>
    <r>
      <rPr>
        <sz val="7"/>
        <rFont val="Times New Roman"/>
      </rPr>
      <t xml:space="preserve">       </t>
    </r>
    <r>
      <rPr>
        <sz val="9"/>
        <rFont val="Arial"/>
      </rPr>
      <t>||</t>
    </r>
  </si>
  <si>
    <r>
      <t>·</t>
    </r>
    <r>
      <rPr>
        <sz val="7"/>
        <rFont val="Times New Roman"/>
      </rPr>
      <t xml:space="preserve">       </t>
    </r>
    <r>
      <rPr>
        <sz val="9"/>
        <rFont val="Arial"/>
      </rPr>
      <t>Los bloques de código anónimos se pueden reutilizar.</t>
    </r>
  </si>
  <si>
    <r>
      <t>·</t>
    </r>
    <r>
      <rPr>
        <sz val="7"/>
        <rFont val="Times New Roman"/>
      </rPr>
      <t xml:space="preserve">       </t>
    </r>
    <r>
      <rPr>
        <sz val="9"/>
        <rFont val="Arial"/>
      </rPr>
      <t>Mivariable Tabla.Campo%TYPE;</t>
    </r>
  </si>
  <si>
    <r>
      <t>·</t>
    </r>
    <r>
      <rPr>
        <sz val="7"/>
        <rFont val="Times New Roman"/>
      </rPr>
      <t xml:space="preserve">       </t>
    </r>
    <r>
      <rPr>
        <sz val="9"/>
        <rFont val="Arial"/>
      </rPr>
      <t>Mivariable := 10000</t>
    </r>
  </si>
  <si>
    <r>
      <t>·</t>
    </r>
    <r>
      <rPr>
        <sz val="7"/>
        <rFont val="Times New Roman"/>
      </rPr>
      <t xml:space="preserve">       </t>
    </r>
    <r>
      <rPr>
        <sz val="9"/>
        <rFont val="Arial"/>
      </rPr>
      <t>CALL DBMS_OUTPUT.PUT_LINE (funcion(1,2,3)) ;</t>
    </r>
  </si>
  <si>
    <r>
      <t>·</t>
    </r>
    <r>
      <rPr>
        <sz val="7"/>
        <rFont val="Times New Roman"/>
      </rPr>
      <t xml:space="preserve">       </t>
    </r>
    <r>
      <rPr>
        <sz val="9"/>
        <rFont val="Arial"/>
      </rPr>
      <t>Todas las respuestas restantes son correctas</t>
    </r>
  </si>
  <si>
    <t>1 .-¿Cuál de los siguientes tipos de copia de seguridad no existe?</t>
  </si>
  <si>
    <t xml:space="preserve">2 .-Si deseamos realizar una copia de seguridad de forma que los datos puedan ser importados por un SGBD distinto … </t>
  </si>
  <si>
    <t>3 .-Si deseamos realizar copias de seguridad que ocupen poco espacio de almacenamiento y tarden poco tiempo en realizarse, ¿qué tipo de copia deberemos realizar?</t>
  </si>
  <si>
    <t>4 .-¿Cuál de las siguientes órdenes sirve para crear copias de seguridad lógica en caliente en Oracle, dejando la copia único archivo de volcado?</t>
  </si>
  <si>
    <t>5 .-¿Cuál de las siguientes órdenes se tiene que utilizar durante la creación de una copia de seguridad en frío en Oracle?</t>
  </si>
  <si>
    <t>I shutdown immediate;</t>
  </si>
  <si>
    <t>II expdp SYSTEM/oracle dumpfile=copia_oracle_export.dmp logfile=copia_oracle_export.log directory=CARPETA_EXPORT full=y</t>
  </si>
  <si>
    <r>
      <t>·</t>
    </r>
    <r>
      <rPr>
        <sz val="7"/>
        <rFont val="Times New Roman"/>
      </rPr>
      <t xml:space="preserve">       </t>
    </r>
    <r>
      <rPr>
        <sz val="9"/>
        <rFont val="Arial"/>
      </rPr>
      <t>Lógica en caliente.</t>
    </r>
  </si>
  <si>
    <r>
      <t>·</t>
    </r>
    <r>
      <rPr>
        <sz val="7"/>
        <rFont val="Times New Roman"/>
      </rPr>
      <t xml:space="preserve">       </t>
    </r>
    <r>
      <rPr>
        <sz val="9"/>
        <rFont val="Arial"/>
      </rPr>
      <t>Física en frío.</t>
    </r>
  </si>
  <si>
    <r>
      <t>·</t>
    </r>
    <r>
      <rPr>
        <sz val="7"/>
        <rFont val="Times New Roman"/>
      </rPr>
      <t xml:space="preserve">       </t>
    </r>
    <r>
      <rPr>
        <sz val="9"/>
        <rFont val="Arial"/>
      </rPr>
      <t xml:space="preserve">Ninguna de las restantes respuestas. </t>
    </r>
  </si>
  <si>
    <r>
      <t>·</t>
    </r>
    <r>
      <rPr>
        <sz val="7"/>
        <rFont val="Times New Roman"/>
      </rPr>
      <t xml:space="preserve">       </t>
    </r>
    <r>
      <rPr>
        <sz val="9"/>
        <rFont val="Arial"/>
      </rPr>
      <t>Esto es imposible.</t>
    </r>
  </si>
  <si>
    <r>
      <t>·</t>
    </r>
    <r>
      <rPr>
        <sz val="7"/>
        <rFont val="Times New Roman"/>
      </rPr>
      <t xml:space="preserve">       </t>
    </r>
    <r>
      <rPr>
        <sz val="9"/>
        <rFont val="Arial"/>
      </rPr>
      <t>Debe hacerse con una copia de seguridad incremental.</t>
    </r>
  </si>
  <si>
    <r>
      <t>·</t>
    </r>
    <r>
      <rPr>
        <sz val="7"/>
        <rFont val="Times New Roman"/>
      </rPr>
      <t xml:space="preserve">       </t>
    </r>
    <r>
      <rPr>
        <sz val="9"/>
        <rFont val="Arial"/>
      </rPr>
      <t>Copia completa, lógica, en frío.</t>
    </r>
  </si>
  <si>
    <r>
      <t>·</t>
    </r>
    <r>
      <rPr>
        <sz val="7"/>
        <rFont val="Times New Roman"/>
      </rPr>
      <t xml:space="preserve">       </t>
    </r>
    <r>
      <rPr>
        <sz val="9"/>
        <rFont val="Arial"/>
      </rPr>
      <t>Copia completa, física, en caliente.</t>
    </r>
  </si>
  <si>
    <r>
      <t>·</t>
    </r>
    <r>
      <rPr>
        <sz val="7"/>
        <rFont val="Times New Roman"/>
      </rPr>
      <t xml:space="preserve">       </t>
    </r>
    <r>
      <rPr>
        <sz val="9"/>
        <rFont val="Arial"/>
      </rPr>
      <t>expdp SYSTEM/oracle dumpfile=copia_oracle_export_%U.dmp logfile=copia_oracle_export.log directory=CARPETA_EXPORT full=y filesize=100M</t>
    </r>
  </si>
  <si>
    <r>
      <t>·</t>
    </r>
    <r>
      <rPr>
        <sz val="7"/>
        <rFont val="Times New Roman"/>
      </rPr>
      <t xml:space="preserve">       </t>
    </r>
    <r>
      <rPr>
        <sz val="9"/>
        <rFont val="Arial"/>
      </rPr>
      <t>logiccopy SYSTEM/oracle directory=CARPETA_EXPORT full=y dumpfile=copia_oracle_export_%U.dmp logfile=copia_oracle_export.log</t>
    </r>
  </si>
  <si>
    <r>
      <t>·</t>
    </r>
    <r>
      <rPr>
        <sz val="7"/>
        <rFont val="Times New Roman"/>
      </rPr>
      <t xml:space="preserve">       </t>
    </r>
    <r>
      <rPr>
        <sz val="9"/>
        <rFont val="Arial"/>
      </rPr>
      <t>Lógica en frío.</t>
    </r>
  </si>
  <si>
    <r>
      <t>·</t>
    </r>
    <r>
      <rPr>
        <sz val="7"/>
        <rFont val="Times New Roman"/>
      </rPr>
      <t xml:space="preserve">       </t>
    </r>
    <r>
      <rPr>
        <sz val="9"/>
        <rFont val="Arial"/>
      </rPr>
      <t>Debe realizarse con una copia de seguridad lógica.</t>
    </r>
  </si>
  <si>
    <r>
      <t>·</t>
    </r>
    <r>
      <rPr>
        <sz val="7"/>
        <rFont val="Times New Roman"/>
      </rPr>
      <t xml:space="preserve">       </t>
    </r>
    <r>
      <rPr>
        <sz val="9"/>
        <rFont val="Arial"/>
      </rPr>
      <t>Copia incremental, física, en frío o caliente.</t>
    </r>
  </si>
  <si>
    <r>
      <t>·</t>
    </r>
    <r>
      <rPr>
        <sz val="7"/>
        <rFont val="Times New Roman"/>
      </rPr>
      <t xml:space="preserve">       </t>
    </r>
    <r>
      <rPr>
        <sz val="9"/>
        <rFont val="Arial"/>
      </rPr>
      <t>expdp SYSTEM/oracle dumpfile=copia_oracle_export.dmp logfile=copia_oracle_export.log directory=CARPETA_EXPORT full=y</t>
    </r>
  </si>
  <si>
    <r>
      <t>·</t>
    </r>
    <r>
      <rPr>
        <sz val="7"/>
        <rFont val="Times New Roman"/>
      </rPr>
      <t xml:space="preserve">       </t>
    </r>
    <r>
      <rPr>
        <sz val="9"/>
        <rFont val="Arial"/>
      </rPr>
      <t>I correcta. II. correcta.</t>
    </r>
  </si>
  <si>
    <r>
      <t>·</t>
    </r>
    <r>
      <rPr>
        <sz val="7"/>
        <rFont val="Times New Roman"/>
      </rPr>
      <t xml:space="preserve">       </t>
    </r>
    <r>
      <rPr>
        <sz val="9"/>
        <rFont val="Arial"/>
      </rPr>
      <t>I Falsa. II. correcta.</t>
    </r>
  </si>
  <si>
    <r>
      <t>·</t>
    </r>
    <r>
      <rPr>
        <sz val="7"/>
        <rFont val="Times New Roman"/>
      </rPr>
      <t xml:space="preserve">       </t>
    </r>
    <r>
      <rPr>
        <sz val="9"/>
        <rFont val="Arial"/>
      </rPr>
      <t>I Falsa. II. Falsa.</t>
    </r>
  </si>
  <si>
    <r>
      <t>·</t>
    </r>
    <r>
      <rPr>
        <sz val="7"/>
        <rFont val="Times New Roman"/>
      </rPr>
      <t xml:space="preserve">       </t>
    </r>
    <r>
      <rPr>
        <sz val="9"/>
        <rFont val="Arial"/>
      </rPr>
      <t>I.correcta. II. Falsa.</t>
    </r>
  </si>
  <si>
    <t>1 .-En el diagrama entidad/relación, la clave principal de la entidad VETERINARIO:</t>
  </si>
  <si>
    <t>2 .-En el diagrama entidad/relación, en la entidad CUADRA:</t>
  </si>
  <si>
    <t>3 .-En el diagrama entidad/relación, la relación que relaciona las entidades CUADRA y CABALLO:</t>
  </si>
  <si>
    <t>4 .-En el diagrama entidad/relación:</t>
  </si>
  <si>
    <t>5 .- En el diagrama entidad/relación:</t>
  </si>
  <si>
    <t>6 .-En el diagrama entidad/relación:</t>
  </si>
  <si>
    <t>7 .-En el diagrama entidad/relación, la entidad CABALLO:</t>
  </si>
  <si>
    <t>8 .-En el modelo relacional obtenido al pasar el diagrama entidad/relación, la relación REVISIONES:</t>
  </si>
  <si>
    <t>9 .-En el modelo relacional obtenido al pasar el diagrama entidad/relación, la relación REVISIONES:</t>
  </si>
  <si>
    <t>10 .-En el modelo relacional obtenido al pasar el diagrama entidad/relación, la relación CABALLOS:</t>
  </si>
  <si>
    <t>11 .-En el modelo relacional obtenido al pasar el diagrama entidad/relación, la relación CUADRAS:</t>
  </si>
  <si>
    <t>12 .-En el modelo relacional:</t>
  </si>
  <si>
    <t>PEC-1 EVALUCIÓN CONTINUA</t>
  </si>
  <si>
    <r>
      <t>·</t>
    </r>
    <r>
      <rPr>
        <sz val="7"/>
        <rFont val="Times New Roman"/>
      </rPr>
      <t xml:space="preserve">       </t>
    </r>
    <r>
      <rPr>
        <sz val="9"/>
        <rFont val="Arial"/>
      </rPr>
      <t>Todas las opciones son falsas.</t>
    </r>
  </si>
  <si>
    <r>
      <t>·</t>
    </r>
    <r>
      <rPr>
        <sz val="7"/>
        <rFont val="Times New Roman"/>
      </rPr>
      <t xml:space="preserve">       </t>
    </r>
    <r>
      <rPr>
        <sz val="9"/>
        <rFont val="Arial"/>
      </rPr>
      <t>Tiene una clave ajena.</t>
    </r>
  </si>
  <si>
    <r>
      <t>·</t>
    </r>
    <r>
      <rPr>
        <sz val="12"/>
        <rFont val="Times New Roman"/>
      </rPr>
      <t xml:space="preserve">       </t>
    </r>
    <r>
      <rPr>
        <sz val="12"/>
        <rFont val="Arial"/>
      </rPr>
      <t>Es el conjunto de los atributos Número_colegiado y DNI.</t>
    </r>
  </si>
  <si>
    <r>
      <t>·</t>
    </r>
    <r>
      <rPr>
        <sz val="12"/>
        <rFont val="Times New Roman"/>
      </rPr>
      <t xml:space="preserve">       </t>
    </r>
    <r>
      <rPr>
        <sz val="12"/>
        <rFont val="Arial"/>
      </rPr>
      <t>Es el conjunto de los atributos Universidad y Fecha_colegiado.</t>
    </r>
  </si>
  <si>
    <r>
      <t>·</t>
    </r>
    <r>
      <rPr>
        <sz val="12"/>
        <rFont val="Times New Roman"/>
      </rPr>
      <t xml:space="preserve">       </t>
    </r>
    <r>
      <rPr>
        <sz val="12"/>
        <rFont val="Arial"/>
      </rPr>
      <t>Es el conjunto de los atributos Nombre, Apellido1 y Apellido2.</t>
    </r>
  </si>
  <si>
    <r>
      <t>·</t>
    </r>
    <r>
      <rPr>
        <sz val="12"/>
        <rFont val="Times New Roman"/>
      </rPr>
      <t xml:space="preserve">       </t>
    </r>
    <r>
      <rPr>
        <sz val="12"/>
        <rFont val="Arial"/>
      </rPr>
      <t>Todas las opciones son falsas.</t>
    </r>
  </si>
  <si>
    <r>
      <t>·</t>
    </r>
    <r>
      <rPr>
        <sz val="12"/>
        <rFont val="Times New Roman"/>
      </rPr>
      <t xml:space="preserve">       </t>
    </r>
    <r>
      <rPr>
        <sz val="12"/>
        <rFont val="Arial"/>
      </rPr>
      <t>Hay un atributo compuesto con el nombre y apellidos del dueño.</t>
    </r>
  </si>
  <si>
    <r>
      <t>·</t>
    </r>
    <r>
      <rPr>
        <sz val="12"/>
        <rFont val="Times New Roman"/>
      </rPr>
      <t xml:space="preserve">       </t>
    </r>
    <r>
      <rPr>
        <sz val="12"/>
        <rFont val="Arial"/>
      </rPr>
      <t>La clave principal es el atributo nombre.</t>
    </r>
  </si>
  <si>
    <r>
      <t>·</t>
    </r>
    <r>
      <rPr>
        <sz val="12"/>
        <rFont val="Times New Roman"/>
      </rPr>
      <t xml:space="preserve">       </t>
    </r>
    <r>
      <rPr>
        <sz val="12"/>
        <rFont val="Arial"/>
      </rPr>
      <t>Hay un atributo compuesto con la dirección donde se encuentra la cuadra.</t>
    </r>
  </si>
  <si>
    <r>
      <t>·</t>
    </r>
    <r>
      <rPr>
        <sz val="12"/>
        <rFont val="Times New Roman"/>
      </rPr>
      <t xml:space="preserve">       </t>
    </r>
    <r>
      <rPr>
        <sz val="12"/>
        <rFont val="Arial"/>
      </rPr>
      <t>Tiene cardinalidad máxima 1:1.</t>
    </r>
  </si>
  <si>
    <r>
      <t>·</t>
    </r>
    <r>
      <rPr>
        <sz val="12"/>
        <rFont val="Times New Roman"/>
      </rPr>
      <t xml:space="preserve">       </t>
    </r>
    <r>
      <rPr>
        <sz val="12"/>
        <rFont val="Arial"/>
      </rPr>
      <t>Tiene cardinalidad máxima 1:N.</t>
    </r>
  </si>
  <si>
    <r>
      <t>·</t>
    </r>
    <r>
      <rPr>
        <sz val="12"/>
        <rFont val="Times New Roman"/>
      </rPr>
      <t xml:space="preserve">       </t>
    </r>
    <r>
      <rPr>
        <sz val="12"/>
        <rFont val="Arial"/>
      </rPr>
      <t>Tiene cardinalidad máxima N:M.</t>
    </r>
  </si>
  <si>
    <r>
      <t>·</t>
    </r>
    <r>
      <rPr>
        <sz val="12"/>
        <rFont val="Times New Roman"/>
      </rPr>
      <t xml:space="preserve">       </t>
    </r>
    <r>
      <rPr>
        <sz val="12"/>
        <rFont val="Arial"/>
      </rPr>
      <t>No hay ninguna entidad débil.</t>
    </r>
  </si>
  <si>
    <r>
      <t>·</t>
    </r>
    <r>
      <rPr>
        <sz val="12"/>
        <rFont val="Times New Roman"/>
      </rPr>
      <t xml:space="preserve">       </t>
    </r>
    <r>
      <rPr>
        <sz val="12"/>
        <rFont val="Arial"/>
      </rPr>
      <t>Al menos hay una entidad débil por dependencia de identidad.</t>
    </r>
  </si>
  <si>
    <r>
      <t>·</t>
    </r>
    <r>
      <rPr>
        <sz val="12"/>
        <rFont val="Times New Roman"/>
      </rPr>
      <t xml:space="preserve">       </t>
    </r>
    <r>
      <rPr>
        <sz val="12"/>
        <rFont val="Arial"/>
      </rPr>
      <t>La entidad VETERINARIO es una entidad débil por dependencia de existencia.</t>
    </r>
  </si>
  <si>
    <r>
      <t>·</t>
    </r>
    <r>
      <rPr>
        <sz val="12"/>
        <rFont val="Times New Roman"/>
      </rPr>
      <t xml:space="preserve">       </t>
    </r>
    <r>
      <rPr>
        <sz val="12"/>
        <rFont val="Arial"/>
      </rPr>
      <t>Todas las afirmaciones son falsas.</t>
    </r>
  </si>
  <si>
    <r>
      <t>·</t>
    </r>
    <r>
      <rPr>
        <sz val="12"/>
        <rFont val="Times New Roman"/>
      </rPr>
      <t xml:space="preserve">       </t>
    </r>
    <r>
      <rPr>
        <sz val="12"/>
        <rFont val="Arial"/>
      </rPr>
      <t>No hay ninguna relación reflexiva.</t>
    </r>
  </si>
  <si>
    <r>
      <t>·</t>
    </r>
    <r>
      <rPr>
        <sz val="12"/>
        <rFont val="Times New Roman"/>
      </rPr>
      <t xml:space="preserve">       </t>
    </r>
    <r>
      <rPr>
        <sz val="12"/>
        <rFont val="Arial"/>
      </rPr>
      <t>Al menos hay una relación reflexiva entre las entidades CUADRA y DUEÑO.</t>
    </r>
  </si>
  <si>
    <r>
      <t>·</t>
    </r>
    <r>
      <rPr>
        <sz val="12"/>
        <rFont val="Times New Roman"/>
      </rPr>
      <t xml:space="preserve">       </t>
    </r>
    <r>
      <rPr>
        <sz val="12"/>
        <rFont val="Arial"/>
      </rPr>
      <t>Al menos hay una relación reflexiva entre la entidad CABALLO consigo misma.</t>
    </r>
  </si>
  <si>
    <r>
      <t>·</t>
    </r>
    <r>
      <rPr>
        <sz val="12"/>
        <rFont val="Times New Roman"/>
      </rPr>
      <t xml:space="preserve">       </t>
    </r>
    <r>
      <rPr>
        <sz val="12"/>
        <rFont val="Arial"/>
      </rPr>
      <t>Al menos, hay una relación de grado tres.</t>
    </r>
  </si>
  <si>
    <r>
      <t>·</t>
    </r>
    <r>
      <rPr>
        <sz val="12"/>
        <rFont val="Times New Roman"/>
      </rPr>
      <t xml:space="preserve">       </t>
    </r>
    <r>
      <rPr>
        <sz val="12"/>
        <rFont val="Arial"/>
      </rPr>
      <t>No hay ninguna relación de grado tres.</t>
    </r>
  </si>
  <si>
    <r>
      <t>·</t>
    </r>
    <r>
      <rPr>
        <sz val="12"/>
        <rFont val="Times New Roman"/>
      </rPr>
      <t xml:space="preserve">       </t>
    </r>
    <r>
      <rPr>
        <sz val="12"/>
        <rFont val="Arial"/>
      </rPr>
      <t>No hay ninguna relación de grado uno.</t>
    </r>
  </si>
  <si>
    <r>
      <t>·</t>
    </r>
    <r>
      <rPr>
        <sz val="12"/>
        <rFont val="Times New Roman"/>
      </rPr>
      <t xml:space="preserve">       </t>
    </r>
    <r>
      <rPr>
        <sz val="12"/>
        <rFont val="Arial"/>
      </rPr>
      <t xml:space="preserve">Tiene un atributo donde se almacena el número de control de su padre. </t>
    </r>
  </si>
  <si>
    <r>
      <t>·</t>
    </r>
    <r>
      <rPr>
        <sz val="12"/>
        <rFont val="Times New Roman"/>
      </rPr>
      <t xml:space="preserve">       </t>
    </r>
    <r>
      <rPr>
        <sz val="12"/>
        <rFont val="Arial"/>
      </rPr>
      <t xml:space="preserve">Tiene un atributo donde se almacena su fecha de nacimiento. </t>
    </r>
  </si>
  <si>
    <r>
      <t>·</t>
    </r>
    <r>
      <rPr>
        <sz val="12"/>
        <rFont val="Times New Roman"/>
      </rPr>
      <t xml:space="preserve">       </t>
    </r>
    <r>
      <rPr>
        <sz val="12"/>
        <rFont val="Arial"/>
      </rPr>
      <t>Tiene un atributo donde se almacena el código de la cuadra donde vive.</t>
    </r>
  </si>
  <si>
    <r>
      <t>·</t>
    </r>
    <r>
      <rPr>
        <sz val="12"/>
        <rFont val="Times New Roman"/>
      </rPr>
      <t xml:space="preserve">       </t>
    </r>
    <r>
      <rPr>
        <sz val="12"/>
        <rFont val="Arial"/>
      </rPr>
      <t>Ninguna opción es correcta.</t>
    </r>
  </si>
  <si>
    <r>
      <t>·</t>
    </r>
    <r>
      <rPr>
        <sz val="12"/>
        <rFont val="Times New Roman"/>
      </rPr>
      <t xml:space="preserve">       </t>
    </r>
    <r>
      <rPr>
        <sz val="12"/>
        <rFont val="Arial"/>
      </rPr>
      <t xml:space="preserve">Tiene más atributos que la entidad REVISIÓN. </t>
    </r>
  </si>
  <si>
    <r>
      <t>·</t>
    </r>
    <r>
      <rPr>
        <sz val="12"/>
        <rFont val="Times New Roman"/>
      </rPr>
      <t xml:space="preserve">       </t>
    </r>
    <r>
      <rPr>
        <sz val="12"/>
        <rFont val="Arial"/>
      </rPr>
      <t xml:space="preserve">Tiene menos atributos que la entidad REVISIÓN. </t>
    </r>
  </si>
  <si>
    <r>
      <t>·</t>
    </r>
    <r>
      <rPr>
        <sz val="12"/>
        <rFont val="Times New Roman"/>
      </rPr>
      <t xml:space="preserve">       </t>
    </r>
    <r>
      <rPr>
        <sz val="12"/>
        <rFont val="Arial"/>
      </rPr>
      <t>Tiene los mismos atributos que la entidad REVISIÓN.</t>
    </r>
  </si>
  <si>
    <r>
      <t>·</t>
    </r>
    <r>
      <rPr>
        <sz val="12"/>
        <rFont val="Times New Roman"/>
      </rPr>
      <t xml:space="preserve">       </t>
    </r>
    <r>
      <rPr>
        <sz val="12"/>
        <rFont val="Arial"/>
      </rPr>
      <t>No tiene clave primaria.</t>
    </r>
  </si>
  <si>
    <r>
      <t>·</t>
    </r>
    <r>
      <rPr>
        <sz val="12"/>
        <rFont val="Times New Roman"/>
      </rPr>
      <t xml:space="preserve">       </t>
    </r>
    <r>
      <rPr>
        <sz val="12"/>
        <rFont val="Arial"/>
      </rPr>
      <t>Tiene una clave ajena.</t>
    </r>
  </si>
  <si>
    <r>
      <t>·</t>
    </r>
    <r>
      <rPr>
        <sz val="12"/>
        <rFont val="Times New Roman"/>
      </rPr>
      <t xml:space="preserve">       </t>
    </r>
    <r>
      <rPr>
        <sz val="12"/>
        <rFont val="Arial"/>
      </rPr>
      <t>No tiene ninguna clave ajena.</t>
    </r>
  </si>
  <si>
    <r>
      <t>·</t>
    </r>
    <r>
      <rPr>
        <sz val="12"/>
        <rFont val="Times New Roman"/>
      </rPr>
      <t xml:space="preserve">       </t>
    </r>
    <r>
      <rPr>
        <sz val="12"/>
        <rFont val="Arial"/>
      </rPr>
      <t xml:space="preserve">Tiene un atributo donde se almacena si tiene alguna enfermedad. </t>
    </r>
  </si>
  <si>
    <r>
      <t>·</t>
    </r>
    <r>
      <rPr>
        <sz val="12"/>
        <rFont val="Times New Roman"/>
      </rPr>
      <t xml:space="preserve">       </t>
    </r>
    <r>
      <rPr>
        <sz val="12"/>
        <rFont val="Arial"/>
      </rPr>
      <t>Tiene un atributo para almacenar sus números de teléfonos.</t>
    </r>
  </si>
  <si>
    <r>
      <t>·</t>
    </r>
    <r>
      <rPr>
        <sz val="12"/>
        <rFont val="Times New Roman"/>
      </rPr>
      <t xml:space="preserve">       </t>
    </r>
    <r>
      <rPr>
        <sz val="12"/>
        <rFont val="Arial"/>
      </rPr>
      <t xml:space="preserve">No tiene ningún atributo donde almacenar sus números de teléfonos. </t>
    </r>
  </si>
  <si>
    <r>
      <t>·</t>
    </r>
    <r>
      <rPr>
        <sz val="12"/>
        <rFont val="Times New Roman"/>
      </rPr>
      <t xml:space="preserve">       </t>
    </r>
    <r>
      <rPr>
        <sz val="12"/>
        <rFont val="Arial"/>
      </rPr>
      <t>Tiene un atributo por cada número de teléfono que tiene.</t>
    </r>
  </si>
  <si>
    <r>
      <t>·</t>
    </r>
    <r>
      <rPr>
        <sz val="12"/>
        <rFont val="Times New Roman"/>
      </rPr>
      <t xml:space="preserve">       </t>
    </r>
    <r>
      <rPr>
        <sz val="12"/>
        <rFont val="Arial"/>
      </rPr>
      <t>Una clave ajena es siempre clave.</t>
    </r>
  </si>
  <si>
    <r>
      <t>·</t>
    </r>
    <r>
      <rPr>
        <sz val="12"/>
        <rFont val="Times New Roman"/>
      </rPr>
      <t xml:space="preserve">       </t>
    </r>
    <r>
      <rPr>
        <sz val="12"/>
        <rFont val="Arial"/>
      </rPr>
      <t>Una clave primaria nunca puede ser clave primaria.</t>
    </r>
  </si>
  <si>
    <r>
      <t>·</t>
    </r>
    <r>
      <rPr>
        <sz val="12"/>
        <rFont val="Times New Roman"/>
      </rPr>
      <t xml:space="preserve">       </t>
    </r>
    <r>
      <rPr>
        <sz val="12"/>
        <rFont val="Arial"/>
      </rPr>
      <t>Una clave primaria puede estar compuesta por varios atributos.</t>
    </r>
  </si>
  <si>
    <t>PEC 2, PRUEBA DE EVALUACIÓN CONTINUA</t>
  </si>
  <si>
    <t>1 .-Señale la instrucción para crear la base de datos “Control_Infracciones” con UTF8:":</t>
  </si>
  <si>
    <t>2 .-Señala la opción correcta:</t>
  </si>
  <si>
    <t>3 .-La tabla VEHICULOS:</t>
  </si>
  <si>
    <t>4 .-La instrucción SQL para añadir a la tabla MULTAS el atributo pagada, que admita valores numéricos (0 pendiente de pago, distinto de 0 pagada), por defecto tome el valor 0 y no admita valores nulos es:</t>
  </si>
  <si>
    <t>5 .-La instrucción SQL para reducir la cuantía en un 10% de las infracciones cuya cuantía supera los 300 euros es:</t>
  </si>
  <si>
    <t>6 .-La instrucción SQL para hallar el nombre y apellidos de los agentes que nunca han multado a vehículos azules es:</t>
  </si>
  <si>
    <t>7 .-La instrucción SQL para hallar el nombre y apellidos del agente que ha puesto la última multa es:</t>
  </si>
  <si>
    <t>8 .-Señala la opción incorrecta:</t>
  </si>
  <si>
    <t>9 .-La instrucción SQL para eliminar la tabla VEHICULOS es:</t>
  </si>
  <si>
    <t>10 .-Una instrucción SQL errónea para hallar el nombre y apellidos de los agentes que han multado a vehículos rojos o azules, es (señalar la opción errónea):</t>
  </si>
  <si>
    <r>
      <t>·</t>
    </r>
    <r>
      <rPr>
        <sz val="7"/>
        <rFont val="Times New Roman"/>
      </rPr>
      <t xml:space="preserve">       </t>
    </r>
    <r>
      <rPr>
        <sz val="9"/>
        <rFont val="Arial"/>
      </rPr>
      <t>CREATE DATABASE Control_Infracciones CHARACTER SET UTF8;</t>
    </r>
  </si>
  <si>
    <r>
      <t>·</t>
    </r>
    <r>
      <rPr>
        <sz val="7"/>
        <rFont val="Times New Roman"/>
      </rPr>
      <t xml:space="preserve">       </t>
    </r>
    <r>
      <rPr>
        <sz val="9"/>
        <rFont val="Arial"/>
      </rPr>
      <t xml:space="preserve">CREATE DATABASE "Control_Infracciones" CHARACTER SET UTF8; </t>
    </r>
  </si>
  <si>
    <r>
      <t>·</t>
    </r>
    <r>
      <rPr>
        <sz val="7"/>
        <rFont val="Times New Roman"/>
      </rPr>
      <t xml:space="preserve">       </t>
    </r>
    <r>
      <rPr>
        <sz val="9"/>
        <rFont val="Arial"/>
      </rPr>
      <t>CREATE BASEDATA "Control_Infracciones" CHARACTER SET UTF8;</t>
    </r>
  </si>
  <si>
    <r>
      <t>·</t>
    </r>
    <r>
      <rPr>
        <sz val="7"/>
        <rFont val="Times New Roman"/>
      </rPr>
      <t xml:space="preserve">       </t>
    </r>
    <r>
      <rPr>
        <sz val="9"/>
        <rFont val="Arial"/>
      </rPr>
      <t>La tabla MULTAS se puede crear antes que la tabla VEHICULOS.</t>
    </r>
  </si>
  <si>
    <r>
      <t>·</t>
    </r>
    <r>
      <rPr>
        <sz val="7"/>
        <rFont val="Times New Roman"/>
      </rPr>
      <t xml:space="preserve">       </t>
    </r>
    <r>
      <rPr>
        <sz val="9"/>
        <rFont val="Arial"/>
      </rPr>
      <t>La tabla MULTAS se debe crear antes que la tabla VEHICULOS.</t>
    </r>
  </si>
  <si>
    <r>
      <t>·</t>
    </r>
    <r>
      <rPr>
        <sz val="7"/>
        <rFont val="Times New Roman"/>
      </rPr>
      <t xml:space="preserve">       </t>
    </r>
    <r>
      <rPr>
        <sz val="9"/>
        <rFont val="Arial"/>
      </rPr>
      <t>Tiene atributos con la restricción NOT NULL.</t>
    </r>
  </si>
  <si>
    <r>
      <t>·</t>
    </r>
    <r>
      <rPr>
        <sz val="7"/>
        <rFont val="Times New Roman"/>
      </rPr>
      <t xml:space="preserve">       </t>
    </r>
    <r>
      <rPr>
        <sz val="9"/>
        <rFont val="Arial"/>
      </rPr>
      <t>La clave principal está compuesta por dos atributos.</t>
    </r>
  </si>
  <si>
    <r>
      <t>·</t>
    </r>
    <r>
      <rPr>
        <sz val="7"/>
        <rFont val="Times New Roman"/>
      </rPr>
      <t xml:space="preserve">       </t>
    </r>
    <r>
      <rPr>
        <sz val="9"/>
        <rFont val="Arial"/>
      </rPr>
      <t>SELECT DISTINCT Nombre, Apellido1, Apellido2 FROM Agentes, Multas WHERE NIF = NIF_Agente AND NIF NOT IN (SELECT NIF_Agente FROM Multas M, Vehiculos V WHERE M.Matricula=V.Matricula AND Color='AZUL');</t>
    </r>
  </si>
  <si>
    <r>
      <t>·</t>
    </r>
    <r>
      <rPr>
        <sz val="7"/>
        <rFont val="Times New Roman"/>
      </rPr>
      <t xml:space="preserve">       </t>
    </r>
    <r>
      <rPr>
        <sz val="9"/>
        <rFont val="Arial"/>
      </rPr>
      <t>SELECT DISTINCT Nombre, Apellido1, Apellido2 FROM Agentes, Multas M, Vehiculos V WHERE M.Matricula=V.Matricula AND NIF = NIF_Agente AND Color &lt;&gt; 'AZUL');</t>
    </r>
  </si>
  <si>
    <r>
      <t>·</t>
    </r>
    <r>
      <rPr>
        <sz val="7"/>
        <rFont val="Times New Roman"/>
      </rPr>
      <t xml:space="preserve">       </t>
    </r>
    <r>
      <rPr>
        <sz val="9"/>
        <rFont val="Arial"/>
      </rPr>
      <t>SELECT DISTINCT Nombre, Apellido1, Apellido2 FROM Multas, Agentes WHERE NIF = NIF_Agente AND Fecha = MAX(Fecha);</t>
    </r>
  </si>
  <si>
    <r>
      <t>·</t>
    </r>
    <r>
      <rPr>
        <sz val="7"/>
        <rFont val="Times New Roman"/>
      </rPr>
      <t xml:space="preserve">       </t>
    </r>
    <r>
      <rPr>
        <sz val="9"/>
        <rFont val="Arial"/>
      </rPr>
      <t>SELECT DISTINCT Nombre, Apellido1, Apellido2 FROM Multas, Agentes WHERE NIF = NIF_Agente AND Fecha = ( SELECT MAX(Fecha) FROM Multas);</t>
    </r>
  </si>
  <si>
    <r>
      <t>·</t>
    </r>
    <r>
      <rPr>
        <sz val="7"/>
        <rFont val="Times New Roman"/>
      </rPr>
      <t xml:space="preserve">       </t>
    </r>
    <r>
      <rPr>
        <sz val="9"/>
        <rFont val="Arial"/>
      </rPr>
      <t>SELECT DISTINCT Nombre, Apellido1, Apellido2 FROM Multas, Agentes WHERE Fecha = (SELECT MAX(Fecha) FROM Multas);</t>
    </r>
  </si>
  <si>
    <r>
      <t>·</t>
    </r>
    <r>
      <rPr>
        <sz val="7"/>
        <rFont val="Times New Roman"/>
      </rPr>
      <t xml:space="preserve">       </t>
    </r>
    <r>
      <rPr>
        <sz val="9"/>
        <rFont val="Arial"/>
      </rPr>
      <t>La tabla AGENTES se puede eliminar antes que la tabla VEHICULOS.</t>
    </r>
  </si>
  <si>
    <r>
      <t>·</t>
    </r>
    <r>
      <rPr>
        <sz val="7"/>
        <rFont val="Times New Roman"/>
      </rPr>
      <t xml:space="preserve">       </t>
    </r>
    <r>
      <rPr>
        <sz val="9"/>
        <rFont val="Arial"/>
      </rPr>
      <t>La tabla MULTAS se debe eliminar antes que la tabla VEHICULOS.</t>
    </r>
  </si>
  <si>
    <r>
      <t>·</t>
    </r>
    <r>
      <rPr>
        <sz val="7"/>
        <rFont val="Times New Roman"/>
      </rPr>
      <t xml:space="preserve">       </t>
    </r>
    <r>
      <rPr>
        <sz val="9"/>
        <rFont val="Arial"/>
      </rPr>
      <t>La tabla MULTAS se debe eliminar antes que la tabla AGENTES.</t>
    </r>
  </si>
  <si>
    <r>
      <t>·</t>
    </r>
    <r>
      <rPr>
        <sz val="7"/>
        <rFont val="Times New Roman"/>
      </rPr>
      <t xml:space="preserve">       </t>
    </r>
    <r>
      <rPr>
        <sz val="9"/>
        <rFont val="Arial"/>
      </rPr>
      <t>DELETE FROM Vehiculos;</t>
    </r>
  </si>
  <si>
    <r>
      <t>·</t>
    </r>
    <r>
      <rPr>
        <sz val="7"/>
        <rFont val="Times New Roman"/>
      </rPr>
      <t xml:space="preserve">       </t>
    </r>
    <r>
      <rPr>
        <sz val="9"/>
        <rFont val="Arial"/>
      </rPr>
      <t>DROP TABLE FROM Vehiculos;</t>
    </r>
  </si>
  <si>
    <r>
      <t>·</t>
    </r>
    <r>
      <rPr>
        <sz val="7"/>
        <rFont val="Times New Roman"/>
      </rPr>
      <t xml:space="preserve">       </t>
    </r>
    <r>
      <rPr>
        <sz val="9"/>
        <rFont val="Arial"/>
      </rPr>
      <t>SELECT DISTINCT Nombre, Apellido1, Apellido2 FROM Agentes, Multas M, Vehiculos V WHERE NIF = NIF_Agente AND M.Matricula = V.Matricula AND (Color = 'ROJO' OR Color = 'AZUL');</t>
    </r>
  </si>
  <si>
    <r>
      <t>·</t>
    </r>
    <r>
      <rPr>
        <sz val="7"/>
        <rFont val="Times New Roman"/>
      </rPr>
      <t xml:space="preserve">       </t>
    </r>
    <r>
      <rPr>
        <sz val="9"/>
        <rFont val="Arial"/>
      </rPr>
      <t>SELECT DISTINCT Nombre, Apellido1, Apellido2 FROM Agentes, Multas M, Vehiculos V WHERE NIF = NIF_Agente AND M.Matricula = V.Matricula AND Color IN ('ROJO','AZUL');</t>
    </r>
  </si>
  <si>
    <r>
      <t>·</t>
    </r>
    <r>
      <rPr>
        <sz val="7"/>
        <rFont val="Times New Roman"/>
      </rPr>
      <t xml:space="preserve">       </t>
    </r>
    <r>
      <rPr>
        <sz val="9"/>
        <rFont val="Arial"/>
      </rPr>
      <t>SELECT Nombre, Apellido1, Apellido2 FROM Agentes WHERE NIF IN (SELECT NIF_Agente FROM Multas M, Vehiculos V WHERE M.Matricula = V.Matricula AND (Color = 'ROJO' OR Color = 'AZUL'));</t>
    </r>
  </si>
  <si>
    <r>
      <t>·</t>
    </r>
    <r>
      <rPr>
        <sz val="7"/>
        <rFont val="Times New Roman"/>
      </rPr>
      <t xml:space="preserve">       </t>
    </r>
    <r>
      <rPr>
        <sz val="9"/>
        <rFont val="Arial"/>
      </rPr>
      <t>La tabla AGENTES se puede crear antes que la tabla VEHICULOS.</t>
    </r>
  </si>
  <si>
    <r>
      <t>·</t>
    </r>
    <r>
      <rPr>
        <sz val="7"/>
        <rFont val="Times New Roman"/>
      </rPr>
      <t xml:space="preserve">       </t>
    </r>
    <r>
      <rPr>
        <sz val="9"/>
        <rFont val="Arial"/>
      </rPr>
      <t>SELECT Nombre, Apellido1, Apellido2 FROM Agentes WHERE NIF NOT IN ( SELECT NIF_Agente FROM Multas M, Vehiculos V WHERE M.Matricula = V.Matricula AND Color='AZUL');</t>
    </r>
  </si>
  <si>
    <r>
      <t>·</t>
    </r>
    <r>
      <rPr>
        <sz val="7"/>
        <rFont val="Times New Roman"/>
      </rPr>
      <t xml:space="preserve">       </t>
    </r>
    <r>
      <rPr>
        <sz val="9"/>
        <rFont val="Arial"/>
      </rPr>
      <t>La tabla AGENTES se debe eliminar antes que la tabla MULTAS.</t>
    </r>
  </si>
  <si>
    <r>
      <t>·</t>
    </r>
    <r>
      <rPr>
        <sz val="7"/>
        <rFont val="Times New Roman"/>
      </rPr>
      <t xml:space="preserve">       </t>
    </r>
    <r>
      <rPr>
        <sz val="9"/>
        <rFont val="Arial"/>
      </rPr>
      <t>DROP TABLE Vehiculos;</t>
    </r>
  </si>
  <si>
    <r>
      <t>·</t>
    </r>
    <r>
      <rPr>
        <sz val="7"/>
        <rFont val="Times New Roman"/>
      </rPr>
      <t xml:space="preserve">       </t>
    </r>
    <r>
      <rPr>
        <sz val="9"/>
        <rFont val="Arial"/>
      </rPr>
      <t>SELECT DISTINCT Nombre, Apellido1, Apellido2 FROM Agentes, Multas M, Vehiculos V WHERE NIF = NIF_Agente AND M.Matricula = V.Matricula AND Color = 'ROJO' OR Color = 'AZUL';</t>
    </r>
  </si>
  <si>
    <t>1 .-Si deseamos declarar una variable que sea del mismo tipo que un determinado campo de una tabla existente, ¿cómo se hace?</t>
  </si>
  <si>
    <t>2 .-¿En qué condiciones son necesarios los cursores explícitos?</t>
  </si>
  <si>
    <t>3 .-Hemos desarrollado un bloque PL/SQL que devuelve una excepción “TOO_MANY_ROWS”. ¿Cuál de las siguientes opciones representa una posible solución para este problema?</t>
  </si>
  <si>
    <t>4 .-Si deseamos desarrollar un trigger que actualice una determinada columna C1 de una tabla T1 después de que se inserte una nueva fila en otra tabla T2, ¿cuál de las siguientes líneas debe aparecer en dicho trigger?</t>
  </si>
  <si>
    <t xml:space="preserve">5 .-¿Cuál de las siguientes opciones permite implementar el cuerpo del  trigger del ejercicio 1 en una sola línea? </t>
  </si>
  <si>
    <t>6 .-¿Cuál de las siguientes opciones es una línea necesaria para el trigger del ejercicio 1?</t>
  </si>
  <si>
    <t>I. BEFORE INSERT OR UPDATE OF ValoracionAtaque, ValoracionDefensa  ON Jugadores</t>
  </si>
  <si>
    <t>II. FOR EACH ROW</t>
  </si>
  <si>
    <t>7 .-Para el ejercicio 2, ¿cuál de las siguientes opciones representa una línea que debe estar en dicho procedimiento?</t>
  </si>
  <si>
    <t>9 .-Para el ejercicio 3, ¿de cuáles de las siguientes formas se puede calcular la media de los campos ValoracionMedia y almacenarla en una variable llamada avgValoracion?</t>
  </si>
  <si>
    <t>I.select avg(ValoracionMedia) into avgValoracion from Jugadores;</t>
  </si>
  <si>
    <t>II. select suma(ValoracionMedia)/ select count(distinct(IDJugador)) into avgValoracion from Jugadores;</t>
  </si>
  <si>
    <t xml:space="preserve">10 .-Para el ejercicio 4, ¿cuál de las siguientes líneas debe utilizarse de forma obligatoria? Nota: SOBREMEDIA_EXCEPTION es una excepción personalizada, es posible que en tu código la hayas llamado de otra forma. </t>
  </si>
  <si>
    <t>I. DBMS_OUTPUT.PUT_LINE('Demasiados jugadores sobre la media');</t>
  </si>
  <si>
    <t>II. RAISE SOBREMEDIA_EXCEPTION;</t>
  </si>
  <si>
    <t>8 .-Para la siguiente línea extraída de la solución del ejercicio 3, ¿qué es XXX?  FOR un Jugador in XXX LOOP</t>
  </si>
  <si>
    <r>
      <t>·</t>
    </r>
    <r>
      <rPr>
        <sz val="12"/>
        <color theme="1"/>
        <rFont val="Times New Roman"/>
      </rPr>
      <t xml:space="preserve">       </t>
    </r>
    <r>
      <rPr>
        <sz val="12"/>
        <color theme="1"/>
        <rFont val="Arial"/>
      </rPr>
      <t>Debemos descubrir de qué tipo es dicho campo y luego crear la variable de ese tipo, por ejemplo, si es de tipo numérico sería:  miVariable number;</t>
    </r>
  </si>
  <si>
    <r>
      <t>·</t>
    </r>
    <r>
      <rPr>
        <sz val="12"/>
        <color theme="1"/>
        <rFont val="Times New Roman"/>
      </rPr>
      <t xml:space="preserve">       </t>
    </r>
    <r>
      <rPr>
        <sz val="12"/>
        <color theme="1"/>
        <rFont val="Arial"/>
      </rPr>
      <t>miVariable miTabla%ROWTYPE;</t>
    </r>
  </si>
  <si>
    <r>
      <t>·</t>
    </r>
    <r>
      <rPr>
        <sz val="12"/>
        <color theme="1"/>
        <rFont val="Times New Roman"/>
      </rPr>
      <t xml:space="preserve">       </t>
    </r>
    <r>
      <rPr>
        <sz val="12"/>
        <color theme="1"/>
        <rFont val="Arial"/>
      </rPr>
      <t xml:space="preserve">Ninguna de las restantes respuestas. </t>
    </r>
  </si>
  <si>
    <r>
      <t>·</t>
    </r>
    <r>
      <rPr>
        <sz val="12"/>
        <color theme="1"/>
        <rFont val="Times New Roman"/>
      </rPr>
      <t xml:space="preserve">       </t>
    </r>
    <r>
      <rPr>
        <sz val="12"/>
        <color theme="1"/>
        <rFont val="Arial"/>
      </rPr>
      <t xml:space="preserve">En las mismas condiciones que los cursores implícitos, es decir, se pueden utilizar cursores explícitos o implícitos indistintamente. </t>
    </r>
  </si>
  <si>
    <r>
      <t>·</t>
    </r>
    <r>
      <rPr>
        <sz val="12"/>
        <color theme="1"/>
        <rFont val="Times New Roman"/>
      </rPr>
      <t xml:space="preserve">       </t>
    </r>
    <r>
      <rPr>
        <sz val="12"/>
        <color theme="1"/>
        <rFont val="Arial"/>
      </rPr>
      <t>Cuando en un bloque PL/SQL deseamos capturar una excepción.</t>
    </r>
  </si>
  <si>
    <r>
      <t>·</t>
    </r>
    <r>
      <rPr>
        <sz val="12"/>
        <color theme="1"/>
        <rFont val="Times New Roman"/>
      </rPr>
      <t xml:space="preserve">       </t>
    </r>
    <r>
      <rPr>
        <sz val="12"/>
        <color theme="1"/>
        <rFont val="Arial"/>
      </rPr>
      <t xml:space="preserve">Utilizar una variable de un tipo adecuado. </t>
    </r>
  </si>
  <si>
    <r>
      <t>·</t>
    </r>
    <r>
      <rPr>
        <sz val="12"/>
        <color theme="1"/>
        <rFont val="Times New Roman"/>
      </rPr>
      <t xml:space="preserve">       </t>
    </r>
    <r>
      <rPr>
        <sz val="12"/>
        <color theme="1"/>
        <rFont val="Arial"/>
      </rPr>
      <t xml:space="preserve">Esta excepción no nos da pistas sobre su posible solución. </t>
    </r>
  </si>
  <si>
    <r>
      <t>·</t>
    </r>
    <r>
      <rPr>
        <sz val="12"/>
        <color theme="1"/>
        <rFont val="Times New Roman"/>
      </rPr>
      <t xml:space="preserve">       </t>
    </r>
    <r>
      <rPr>
        <sz val="12"/>
        <color theme="1"/>
        <rFont val="Arial"/>
      </rPr>
      <t>AFTER UPDATE ON T2</t>
    </r>
  </si>
  <si>
    <r>
      <t>·</t>
    </r>
    <r>
      <rPr>
        <sz val="12"/>
        <color theme="1"/>
        <rFont val="Times New Roman"/>
      </rPr>
      <t xml:space="preserve">       </t>
    </r>
    <r>
      <rPr>
        <sz val="12"/>
        <color theme="1"/>
        <rFont val="Arial"/>
      </rPr>
      <t>BEFORE INSERT ON T2</t>
    </r>
  </si>
  <si>
    <r>
      <t>·</t>
    </r>
    <r>
      <rPr>
        <sz val="12"/>
        <color theme="1"/>
        <rFont val="Times New Roman"/>
      </rPr>
      <t xml:space="preserve">       </t>
    </r>
    <r>
      <rPr>
        <sz val="12"/>
        <color theme="1"/>
        <rFont val="Arial"/>
      </rPr>
      <t>ValoracionMedia := (:old.ValoracionAtaque + :old.ValoracionDefensa) / 2;</t>
    </r>
  </si>
  <si>
    <r>
      <t>·</t>
    </r>
    <r>
      <rPr>
        <sz val="12"/>
        <color theme="1"/>
        <rFont val="Times New Roman"/>
      </rPr>
      <t xml:space="preserve">       </t>
    </r>
    <r>
      <rPr>
        <sz val="12"/>
        <color theme="1"/>
        <rFont val="Arial"/>
      </rPr>
      <t>:new.ValoracionMedia := (:old.ValoracionAtaque + : old.ValoracionDefensa) / 2;</t>
    </r>
  </si>
  <si>
    <r>
      <t>·</t>
    </r>
    <r>
      <rPr>
        <sz val="12"/>
        <color theme="1"/>
        <rFont val="Times New Roman"/>
      </rPr>
      <t xml:space="preserve">       </t>
    </r>
    <r>
      <rPr>
        <sz val="12"/>
        <color theme="1"/>
        <rFont val="Arial"/>
      </rPr>
      <t xml:space="preserve">I Correcta. II. Falsa. </t>
    </r>
  </si>
  <si>
    <r>
      <t>·</t>
    </r>
    <r>
      <rPr>
        <sz val="12"/>
        <color theme="1"/>
        <rFont val="Times New Roman"/>
      </rPr>
      <t xml:space="preserve">       </t>
    </r>
    <r>
      <rPr>
        <sz val="12"/>
        <color theme="1"/>
        <rFont val="Arial"/>
      </rPr>
      <t xml:space="preserve">I Falsa. II. Correcta. </t>
    </r>
  </si>
  <si>
    <r>
      <t>·</t>
    </r>
    <r>
      <rPr>
        <sz val="12"/>
        <color theme="1"/>
        <rFont val="Times New Roman"/>
      </rPr>
      <t xml:space="preserve">       </t>
    </r>
    <r>
      <rPr>
        <sz val="12"/>
        <color theme="1"/>
        <rFont val="Arial"/>
      </rPr>
      <t xml:space="preserve">I Falsa. II. Falsa. </t>
    </r>
  </si>
  <si>
    <r>
      <t>·</t>
    </r>
    <r>
      <rPr>
        <sz val="12"/>
        <color theme="1"/>
        <rFont val="Times New Roman"/>
      </rPr>
      <t xml:space="preserve">       </t>
    </r>
    <r>
      <rPr>
        <sz val="12"/>
        <color theme="1"/>
        <rFont val="Arial"/>
      </rPr>
      <t>registroJugador NUMBER;</t>
    </r>
  </si>
  <si>
    <r>
      <t>·</t>
    </r>
    <r>
      <rPr>
        <sz val="12"/>
        <color theme="1"/>
        <rFont val="Times New Roman"/>
      </rPr>
      <t xml:space="preserve">       </t>
    </r>
    <r>
      <rPr>
        <sz val="12"/>
        <color theme="1"/>
        <rFont val="Arial"/>
      </rPr>
      <t>registroJugador Varchar(25);</t>
    </r>
  </si>
  <si>
    <r>
      <t>·</t>
    </r>
    <r>
      <rPr>
        <sz val="12"/>
        <color theme="1"/>
        <rFont val="Times New Roman"/>
      </rPr>
      <t xml:space="preserve">       </t>
    </r>
    <r>
      <rPr>
        <sz val="12"/>
        <color theme="1"/>
        <rFont val="Arial"/>
      </rPr>
      <t>Una variable de tipo TYPE.</t>
    </r>
  </si>
  <si>
    <r>
      <t>·</t>
    </r>
    <r>
      <rPr>
        <sz val="12"/>
        <color theme="1"/>
        <rFont val="Times New Roman"/>
      </rPr>
      <t xml:space="preserve">       </t>
    </r>
    <r>
      <rPr>
        <sz val="12"/>
        <color theme="1"/>
        <rFont val="Arial"/>
      </rPr>
      <t>Una variable de tipo ROWTYPE.</t>
    </r>
  </si>
  <si>
    <r>
      <t>·</t>
    </r>
    <r>
      <rPr>
        <sz val="12"/>
        <color theme="1"/>
        <rFont val="Times New Roman"/>
      </rPr>
      <t xml:space="preserve">       </t>
    </r>
    <r>
      <rPr>
        <sz val="12"/>
        <color theme="1"/>
        <rFont val="Arial"/>
      </rPr>
      <t xml:space="preserve">I Correcta. II. Correcta. </t>
    </r>
  </si>
  <si>
    <r>
      <t>·</t>
    </r>
    <r>
      <rPr>
        <sz val="12"/>
        <color theme="1"/>
        <rFont val="Times New Roman"/>
      </rPr>
      <t xml:space="preserve">       </t>
    </r>
    <r>
      <rPr>
        <sz val="12"/>
        <color theme="1"/>
        <rFont val="Arial"/>
      </rPr>
      <t>I Correcta. II. Falsa</t>
    </r>
  </si>
  <si>
    <r>
      <t>·</t>
    </r>
    <r>
      <rPr>
        <sz val="12"/>
        <color theme="1"/>
        <rFont val="Times New Roman"/>
      </rPr>
      <t xml:space="preserve">       </t>
    </r>
    <r>
      <rPr>
        <sz val="12"/>
        <color theme="1"/>
        <rFont val="Arial"/>
      </rPr>
      <t>miVariable MiTabla.miCampo%TYPE;</t>
    </r>
  </si>
  <si>
    <r>
      <t>·</t>
    </r>
    <r>
      <rPr>
        <sz val="12"/>
        <color theme="1"/>
        <rFont val="Times New Roman"/>
      </rPr>
      <t xml:space="preserve">       </t>
    </r>
    <r>
      <rPr>
        <sz val="12"/>
        <color theme="1"/>
        <rFont val="Arial"/>
      </rPr>
      <t xml:space="preserve">Cuando en un bloque PL/SQL tenemos una consulta SQL que devuelve más de un registro. </t>
    </r>
  </si>
  <si>
    <r>
      <t>·</t>
    </r>
    <r>
      <rPr>
        <sz val="12"/>
        <color theme="1"/>
        <rFont val="Times New Roman"/>
      </rPr>
      <t xml:space="preserve">       </t>
    </r>
    <r>
      <rPr>
        <sz val="12"/>
        <color theme="1"/>
        <rFont val="Arial"/>
      </rPr>
      <t xml:space="preserve">Utilizar un cursor explícito. </t>
    </r>
  </si>
  <si>
    <r>
      <t>·</t>
    </r>
    <r>
      <rPr>
        <sz val="12"/>
        <color theme="1"/>
        <rFont val="Times New Roman"/>
      </rPr>
      <t xml:space="preserve">       </t>
    </r>
    <r>
      <rPr>
        <sz val="12"/>
        <color theme="1"/>
        <rFont val="Arial"/>
      </rPr>
      <t>AFTER INSERT ON T2</t>
    </r>
  </si>
  <si>
    <r>
      <t>·</t>
    </r>
    <r>
      <rPr>
        <sz val="12"/>
        <color theme="1"/>
        <rFont val="Times New Roman"/>
      </rPr>
      <t xml:space="preserve">       </t>
    </r>
    <r>
      <rPr>
        <sz val="12"/>
        <color theme="1"/>
        <rFont val="Arial"/>
      </rPr>
      <t>:new.ValoracionMedia := (:new.ValoracionAtaque + :new.ValoracionDefensa) / 2;</t>
    </r>
  </si>
  <si>
    <r>
      <t>·</t>
    </r>
    <r>
      <rPr>
        <sz val="12"/>
        <color theme="1"/>
        <rFont val="Times New Roman"/>
      </rPr>
      <t xml:space="preserve">       </t>
    </r>
    <r>
      <rPr>
        <sz val="12"/>
        <color theme="1"/>
        <rFont val="Arial"/>
      </rPr>
      <t>registroJugador Jugadores%ROWTYPE;</t>
    </r>
  </si>
  <si>
    <r>
      <t>·</t>
    </r>
    <r>
      <rPr>
        <sz val="12"/>
        <color theme="1"/>
        <rFont val="Times New Roman"/>
      </rPr>
      <t xml:space="preserve">       </t>
    </r>
    <r>
      <rPr>
        <sz val="12"/>
        <color theme="1"/>
        <rFont val="Arial"/>
      </rPr>
      <t>Un cursor.</t>
    </r>
  </si>
  <si>
    <t>PEC-3 EVALUCIÓN CONTINUA</t>
  </si>
  <si>
    <t>1.-La tabla PERSONAS tiene 1000 tuplas y la tabla TELEFONOS 900 tuplas.  En el lenguaje de manipulación de datos (DML):</t>
  </si>
  <si>
    <t>Para realizar las siguientes cuestiones se debe tener en cuenta la siguiente base de datos:</t>
  </si>
  <si>
    <t>ANULADA</t>
  </si>
  <si>
    <r>
      <t>·</t>
    </r>
    <r>
      <rPr>
        <sz val="7"/>
        <rFont val="Times New Roman"/>
      </rPr>
      <t xml:space="preserve">       </t>
    </r>
  </si>
  <si>
    <r>
      <t>·</t>
    </r>
    <r>
      <rPr>
        <sz val="7"/>
        <rFont val="Times New Roman"/>
      </rPr>
      <t xml:space="preserve">       </t>
    </r>
    <r>
      <rPr>
        <sz val="9"/>
        <rFont val="Arial"/>
      </rPr>
      <t>ALTER TABLE Multas ADD Pagada Numeric(1) DEFAULT 0 NOT NULL;</t>
    </r>
  </si>
  <si>
    <r>
      <t>·</t>
    </r>
    <r>
      <rPr>
        <sz val="7"/>
        <rFont val="Times New Roman"/>
      </rPr>
      <t xml:space="preserve">       </t>
    </r>
    <r>
      <rPr>
        <sz val="9"/>
        <rFont val="Arial"/>
      </rPr>
      <t>UPDATE TABLE Multas ADD Pagada Numeric(1);</t>
    </r>
  </si>
  <si>
    <r>
      <t>·</t>
    </r>
    <r>
      <rPr>
        <sz val="7"/>
        <rFont val="Times New Roman"/>
      </rPr>
      <t xml:space="preserve">       </t>
    </r>
    <r>
      <rPr>
        <sz val="9"/>
        <rFont val="Arial"/>
      </rPr>
      <t>ALTER TABLE Multas MODIFY Pagada Numeric(1);</t>
    </r>
  </si>
  <si>
    <r>
      <t>·</t>
    </r>
    <r>
      <rPr>
        <sz val="7"/>
        <rFont val="Times New Roman"/>
      </rPr>
      <t xml:space="preserve">       </t>
    </r>
    <r>
      <rPr>
        <sz val="9"/>
        <rFont val="Arial"/>
      </rPr>
      <t xml:space="preserve">UPDATE Infracciones SET Cuantia = Cuantia * 0.9 WHERE Cuantia &gt; 300; </t>
    </r>
  </si>
  <si>
    <r>
      <t>·</t>
    </r>
    <r>
      <rPr>
        <sz val="7"/>
        <rFont val="Times New Roman"/>
      </rPr>
      <t xml:space="preserve">       </t>
    </r>
    <r>
      <rPr>
        <sz val="9"/>
        <rFont val="Arial"/>
      </rPr>
      <t>UPDATE Infracciones SET Cuantia = Cuantia * 0.9;</t>
    </r>
  </si>
  <si>
    <r>
      <t>·</t>
    </r>
    <r>
      <rPr>
        <sz val="7"/>
        <rFont val="Times New Roman"/>
      </rPr>
      <t xml:space="preserve">       </t>
    </r>
    <r>
      <rPr>
        <sz val="9"/>
        <rFont val="Arial"/>
      </rPr>
      <t>ALTER TABLE Infracciones SET Cuantia = Cuantia * 0.9;</t>
    </r>
  </si>
</sst>
</file>

<file path=xl/styles.xml><?xml version="1.0" encoding="utf-8"?>
<styleSheet xmlns="http://schemas.openxmlformats.org/spreadsheetml/2006/main" xmlns:mc="http://schemas.openxmlformats.org/markup-compatibility/2006" xmlns:x14ac="http://schemas.microsoft.com/office/spreadsheetml/2009/9/ac" mc:Ignorable="x14ac">
  <fonts count="39"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ont>
    <font>
      <sz val="16"/>
      <color theme="1"/>
      <name val="Tahoma"/>
    </font>
    <font>
      <sz val="8"/>
      <name val="Calibri"/>
      <family val="2"/>
      <scheme val="minor"/>
    </font>
    <font>
      <b/>
      <sz val="11"/>
      <color theme="1"/>
      <name val="Calibri"/>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Times New Roman"/>
    </font>
    <font>
      <sz val="12"/>
      <name val="Arial"/>
    </font>
    <font>
      <sz val="7"/>
      <name val="Times New Roman"/>
    </font>
    <font>
      <sz val="9"/>
      <name val="Arial"/>
    </font>
    <font>
      <sz val="9"/>
      <color rgb="FF00000A"/>
      <name val="Arial"/>
    </font>
    <font>
      <sz val="14"/>
      <name val="Calibri"/>
      <family val="2"/>
      <scheme val="minor"/>
    </font>
    <font>
      <sz val="14"/>
      <name val="Times New Roman"/>
    </font>
    <font>
      <sz val="14"/>
      <name val="Arial"/>
    </font>
    <font>
      <sz val="9"/>
      <name val="Symbol"/>
      <charset val="2"/>
    </font>
    <font>
      <sz val="12"/>
      <name val="Symbol"/>
      <charset val="2"/>
    </font>
    <font>
      <sz val="22"/>
      <color rgb="FF000000"/>
      <name val="Calibri"/>
      <family val="2"/>
      <scheme val="minor"/>
    </font>
    <font>
      <sz val="10"/>
      <color rgb="FF000000"/>
      <name val="Tahoma"/>
    </font>
    <font>
      <sz val="12"/>
      <color rgb="FFFFFFFF"/>
      <name val="Calibri"/>
      <family val="2"/>
      <scheme val="minor"/>
    </font>
    <font>
      <b/>
      <sz val="12"/>
      <color rgb="FF000000"/>
      <name val="Calibri"/>
      <family val="2"/>
      <scheme val="minor"/>
    </font>
    <font>
      <sz val="16"/>
      <color rgb="FF000000"/>
      <name val="Tahoma"/>
    </font>
    <font>
      <b/>
      <sz val="11"/>
      <color rgb="FF000000"/>
      <name val="Calibri"/>
      <scheme val="minor"/>
    </font>
    <font>
      <sz val="9"/>
      <color rgb="FF00000A"/>
      <name val="Symbol"/>
      <charset val="2"/>
    </font>
    <font>
      <sz val="12"/>
      <color theme="1"/>
      <name val="Arial"/>
    </font>
    <font>
      <sz val="12"/>
      <color theme="1"/>
      <name val="Symbol"/>
      <charset val="2"/>
    </font>
    <font>
      <sz val="12"/>
      <color theme="1"/>
      <name val="Times New Roman"/>
    </font>
    <font>
      <sz val="10"/>
      <color theme="1"/>
      <name val="Arial"/>
    </font>
    <font>
      <sz val="10"/>
      <color theme="1"/>
      <name val="Calibri"/>
      <family val="2"/>
      <scheme val="minor"/>
    </font>
    <font>
      <sz val="12"/>
      <color rgb="FF00000A"/>
      <name val="Arial"/>
    </font>
    <font>
      <sz val="9"/>
      <color theme="1"/>
      <name val="Arial"/>
    </font>
    <font>
      <sz val="12"/>
      <color rgb="FFFF000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
      <patternFill patternType="solid">
        <fgColor rgb="FFF4B084"/>
        <bgColor rgb="FF000000"/>
      </patternFill>
    </fill>
    <fill>
      <patternFill patternType="solid">
        <fgColor rgb="FF92D050"/>
        <bgColor rgb="FF000000"/>
      </patternFill>
    </fill>
    <fill>
      <patternFill patternType="solid">
        <fgColor rgb="FFFF0000"/>
        <bgColor rgb="FF000000"/>
      </patternFill>
    </fill>
  </fills>
  <borders count="30">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style="hair">
        <color auto="1"/>
      </bottom>
      <diagonal/>
    </border>
    <border>
      <left/>
      <right/>
      <top/>
      <bottom style="hair">
        <color auto="1"/>
      </bottom>
      <diagonal/>
    </border>
    <border>
      <left/>
      <right/>
      <top style="hair">
        <color auto="1"/>
      </top>
      <bottom/>
      <diagonal/>
    </border>
    <border>
      <left/>
      <right/>
      <top style="thin">
        <color auto="1"/>
      </top>
      <bottom style="thin">
        <color auto="1"/>
      </bottom>
      <diagonal/>
    </border>
    <border>
      <left/>
      <right style="thin">
        <color auto="1"/>
      </right>
      <top/>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medium">
        <color rgb="FFFF0000"/>
      </left>
      <right/>
      <top style="medium">
        <color rgb="FFFF0000"/>
      </top>
      <bottom/>
      <diagonal/>
    </border>
    <border>
      <left/>
      <right/>
      <top style="medium">
        <color rgb="FFFF0000"/>
      </top>
      <bottom/>
      <diagonal/>
    </border>
    <border>
      <left/>
      <right style="medium">
        <color auto="1"/>
      </right>
      <top style="medium">
        <color rgb="FFFF0000"/>
      </top>
      <bottom/>
      <diagonal/>
    </border>
    <border>
      <left style="medium">
        <color rgb="FFFF0000"/>
      </left>
      <right style="thin">
        <color auto="1"/>
      </right>
      <top style="thin">
        <color auto="1"/>
      </top>
      <bottom style="thin">
        <color auto="1"/>
      </bottom>
      <diagonal/>
    </border>
    <border>
      <left style="medium">
        <color rgb="FFFF0000"/>
      </left>
      <right/>
      <top/>
      <bottom/>
      <diagonal/>
    </border>
    <border>
      <left style="medium">
        <color rgb="FFFF0000"/>
      </left>
      <right style="thin">
        <color auto="1"/>
      </right>
      <top style="thin">
        <color auto="1"/>
      </top>
      <bottom style="medium">
        <color rgb="FFFF0000"/>
      </bottom>
      <diagonal/>
    </border>
    <border>
      <left/>
      <right/>
      <top/>
      <bottom style="medium">
        <color rgb="FFFF0000"/>
      </bottom>
      <diagonal/>
    </border>
    <border>
      <left/>
      <right style="medium">
        <color auto="1"/>
      </right>
      <top/>
      <bottom style="medium">
        <color rgb="FFFF0000"/>
      </bottom>
      <diagonal/>
    </border>
  </borders>
  <cellStyleXfs count="293">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20">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0" fillId="0" borderId="5" xfId="0" applyBorder="1" applyAlignment="1" applyProtection="1">
      <alignment vertical="center"/>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4" fillId="0" borderId="0" xfId="0" applyFont="1" applyBorder="1" applyProtection="1">
      <protection hidden="1"/>
    </xf>
    <xf numFmtId="0" fontId="4" fillId="0" borderId="5" xfId="0" applyFont="1" applyBorder="1" applyAlignment="1" applyProtection="1">
      <alignment vertical="center"/>
      <protection hidden="1"/>
    </xf>
    <xf numFmtId="0" fontId="4" fillId="0" borderId="5" xfId="0" applyFont="1" applyFill="1" applyBorder="1" applyAlignment="1" applyProtection="1">
      <alignment vertical="center"/>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ont="1" applyFill="1" applyBorder="1" applyAlignment="1" applyProtection="1">
      <alignment wrapText="1"/>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4" borderId="4" xfId="0" applyFont="1" applyFill="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0" borderId="10" xfId="0" applyFont="1" applyFill="1" applyBorder="1" applyProtection="1">
      <protection hidden="1"/>
    </xf>
    <xf numFmtId="0" fontId="0" fillId="0" borderId="11" xfId="0" applyFont="1" applyBorder="1" applyProtection="1">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13" fillId="4" borderId="0" xfId="0" applyFont="1" applyFill="1" applyBorder="1" applyAlignment="1" applyProtection="1">
      <alignment wrapText="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7" borderId="2" xfId="0" applyFont="1" applyFill="1" applyBorder="1" applyAlignment="1" applyProtection="1">
      <alignment horizontal="center" vertical="center"/>
      <protection hidden="1"/>
    </xf>
    <xf numFmtId="0" fontId="0" fillId="0" borderId="0" xfId="0" applyFill="1"/>
    <xf numFmtId="0" fontId="0" fillId="0" borderId="12" xfId="0" applyFill="1" applyBorder="1" applyAlignment="1" applyProtection="1">
      <alignment horizontal="center" vertical="center"/>
      <protection locked="0"/>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19" fillId="0" borderId="4" xfId="0" applyFont="1" applyFill="1" applyBorder="1" applyAlignment="1" applyProtection="1">
      <alignment horizontal="left" vertical="center"/>
      <protection hidden="1"/>
    </xf>
    <xf numFmtId="0" fontId="19" fillId="0" borderId="10" xfId="0" applyFont="1" applyFill="1" applyBorder="1" applyProtection="1">
      <protection hidden="1"/>
    </xf>
    <xf numFmtId="0" fontId="19" fillId="0" borderId="4" xfId="0" applyFont="1" applyBorder="1" applyAlignment="1" applyProtection="1">
      <alignment horizontal="left" vertical="center"/>
      <protection hidden="1"/>
    </xf>
    <xf numFmtId="0" fontId="19" fillId="0" borderId="11" xfId="0" applyFont="1" applyBorder="1" applyProtection="1">
      <protection hidden="1"/>
    </xf>
    <xf numFmtId="0" fontId="19" fillId="0" borderId="0" xfId="0" applyFont="1" applyBorder="1" applyProtection="1">
      <protection hidden="1"/>
    </xf>
    <xf numFmtId="0" fontId="19" fillId="4" borderId="4" xfId="0" applyFont="1" applyFill="1" applyBorder="1" applyAlignment="1" applyProtection="1">
      <alignment horizontal="left" vertical="center"/>
      <protection hidden="1"/>
    </xf>
    <xf numFmtId="0" fontId="19" fillId="4" borderId="0" xfId="0" applyFont="1" applyFill="1" applyBorder="1" applyProtection="1">
      <protection hidden="1"/>
    </xf>
    <xf numFmtId="0" fontId="19" fillId="4" borderId="0" xfId="0" applyFont="1" applyFill="1" applyBorder="1" applyAlignment="1" applyProtection="1">
      <alignment wrapText="1"/>
      <protection hidden="1"/>
    </xf>
    <xf numFmtId="0" fontId="0" fillId="0" borderId="0" xfId="0" applyAlignment="1" applyProtection="1">
      <protection hidden="1"/>
    </xf>
    <xf numFmtId="0" fontId="0" fillId="0" borderId="0" xfId="0" applyFill="1" applyBorder="1" applyAlignment="1" applyProtection="1">
      <protection hidden="1"/>
    </xf>
    <xf numFmtId="0" fontId="0" fillId="0" borderId="0" xfId="0" applyFill="1" applyAlignment="1" applyProtection="1">
      <protection hidden="1"/>
    </xf>
    <xf numFmtId="0" fontId="5" fillId="7" borderId="0" xfId="0" applyFont="1" applyFill="1" applyBorder="1" applyAlignment="1" applyProtection="1">
      <alignment horizontal="center"/>
      <protection hidden="1"/>
    </xf>
    <xf numFmtId="0" fontId="5" fillId="7" borderId="5" xfId="0" applyFont="1" applyFill="1" applyBorder="1" applyAlignment="1" applyProtection="1">
      <alignment horizontal="center"/>
      <protection hidden="1"/>
    </xf>
    <xf numFmtId="0" fontId="0" fillId="0" borderId="4" xfId="0" applyBorder="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4" fillId="4" borderId="5" xfId="0" applyFont="1" applyFill="1" applyBorder="1" applyAlignment="1" applyProtection="1">
      <alignment vertical="center"/>
      <protection hidden="1"/>
    </xf>
    <xf numFmtId="0" fontId="0" fillId="4" borderId="15" xfId="0" applyFont="1" applyFill="1" applyBorder="1" applyProtection="1">
      <protection hidden="1"/>
    </xf>
    <xf numFmtId="0" fontId="0" fillId="4" borderId="14" xfId="0" applyFont="1" applyFill="1" applyBorder="1" applyProtection="1">
      <protection hidden="1"/>
    </xf>
    <xf numFmtId="0" fontId="13" fillId="0" borderId="10" xfId="0" applyFont="1" applyFill="1" applyBorder="1" applyAlignment="1" applyProtection="1">
      <alignment wrapText="1"/>
      <protection hidden="1"/>
    </xf>
    <xf numFmtId="0" fontId="13" fillId="0" borderId="11" xfId="0" applyFont="1" applyBorder="1" applyAlignment="1" applyProtection="1">
      <alignment wrapText="1"/>
      <protection hidden="1"/>
    </xf>
    <xf numFmtId="0" fontId="15" fillId="4" borderId="4" xfId="0" applyFont="1" applyFill="1" applyBorder="1" applyAlignment="1">
      <alignment vertical="center"/>
    </xf>
    <xf numFmtId="0" fontId="23" fillId="0" borderId="4" xfId="0" applyFont="1" applyBorder="1" applyAlignment="1">
      <alignment horizontal="left" vertical="center" indent="6"/>
    </xf>
    <xf numFmtId="0" fontId="13" fillId="0" borderId="4" xfId="0" applyFont="1" applyBorder="1" applyProtection="1">
      <protection hidden="1"/>
    </xf>
    <xf numFmtId="0" fontId="19" fillId="0" borderId="0" xfId="0" applyFont="1" applyFill="1" applyBorder="1" applyAlignment="1" applyProtection="1">
      <alignment vertical="center" wrapText="1"/>
      <protection hidden="1"/>
    </xf>
    <xf numFmtId="0" fontId="19" fillId="0" borderId="0" xfId="0" applyFont="1" applyFill="1" applyBorder="1" applyProtection="1">
      <protection hidden="1"/>
    </xf>
    <xf numFmtId="0" fontId="0" fillId="0" borderId="6" xfId="0" applyBorder="1" applyProtection="1">
      <protection hidden="1"/>
    </xf>
    <xf numFmtId="0" fontId="0" fillId="0" borderId="7" xfId="0" applyBorder="1" applyProtection="1">
      <protection hidden="1"/>
    </xf>
    <xf numFmtId="0" fontId="19" fillId="0" borderId="11" xfId="0" applyFont="1" applyFill="1" applyBorder="1" applyAlignment="1" applyProtection="1">
      <alignment vertical="center" wrapText="1"/>
      <protection hidden="1"/>
    </xf>
    <xf numFmtId="0" fontId="19" fillId="0" borderId="11" xfId="0" applyFont="1" applyFill="1" applyBorder="1" applyProtection="1">
      <protection hidden="1"/>
    </xf>
    <xf numFmtId="0" fontId="22" fillId="0" borderId="4" xfId="0" applyFont="1" applyBorder="1" applyAlignment="1">
      <alignment horizontal="left" vertical="center" indent="6"/>
    </xf>
    <xf numFmtId="0" fontId="17" fillId="0" borderId="4" xfId="0" applyFont="1" applyBorder="1" applyAlignment="1">
      <alignment vertical="center"/>
    </xf>
    <xf numFmtId="0" fontId="22" fillId="0" borderId="4" xfId="0" applyFont="1" applyBorder="1" applyAlignment="1">
      <alignment horizontal="left" vertical="center"/>
    </xf>
    <xf numFmtId="0" fontId="22" fillId="0" borderId="0" xfId="0" applyFont="1" applyBorder="1" applyAlignment="1">
      <alignment horizontal="left" vertical="center"/>
    </xf>
    <xf numFmtId="0" fontId="22" fillId="0" borderId="4" xfId="0" applyFont="1" applyBorder="1" applyAlignment="1">
      <alignment horizontal="left" vertical="center" indent="9"/>
    </xf>
    <xf numFmtId="0" fontId="17" fillId="0" borderId="4" xfId="0" applyFont="1" applyFill="1" applyBorder="1" applyAlignment="1">
      <alignment vertical="center"/>
    </xf>
    <xf numFmtId="0" fontId="13" fillId="0" borderId="4" xfId="0" applyFont="1" applyFill="1" applyBorder="1" applyProtection="1">
      <protection hidden="1"/>
    </xf>
    <xf numFmtId="0" fontId="13" fillId="0" borderId="0" xfId="0" applyFont="1" applyFill="1" applyBorder="1" applyProtection="1">
      <protection hidden="1"/>
    </xf>
    <xf numFmtId="0" fontId="17" fillId="0" borderId="4" xfId="0" applyFont="1" applyBorder="1" applyAlignment="1">
      <alignment horizontal="left" vertical="center" indent="6"/>
    </xf>
    <xf numFmtId="0" fontId="5" fillId="7" borderId="1" xfId="0" applyFont="1" applyFill="1" applyBorder="1" applyAlignment="1" applyProtection="1">
      <alignment horizontal="center"/>
      <protection hidden="1"/>
    </xf>
    <xf numFmtId="0" fontId="4" fillId="0" borderId="0" xfId="0" applyFont="1" applyProtection="1">
      <protection hidden="1"/>
    </xf>
    <xf numFmtId="0" fontId="4" fillId="9" borderId="2" xfId="0" applyFont="1" applyFill="1" applyBorder="1" applyAlignment="1" applyProtection="1">
      <alignment horizontal="left"/>
      <protection hidden="1"/>
    </xf>
    <xf numFmtId="0" fontId="24" fillId="9" borderId="1" xfId="0" applyFont="1" applyFill="1" applyBorder="1" applyAlignment="1" applyProtection="1">
      <alignment horizontal="center"/>
      <protection hidden="1"/>
    </xf>
    <xf numFmtId="0" fontId="24" fillId="9" borderId="3" xfId="0" applyFont="1" applyFill="1" applyBorder="1" applyAlignment="1" applyProtection="1">
      <alignment horizontal="center"/>
      <protection hidden="1"/>
    </xf>
    <xf numFmtId="0" fontId="4" fillId="5" borderId="0" xfId="0" applyFont="1" applyFill="1" applyProtection="1">
      <protection hidden="1"/>
    </xf>
    <xf numFmtId="0" fontId="4" fillId="5" borderId="5" xfId="0" applyFont="1" applyFill="1" applyBorder="1" applyAlignment="1" applyProtection="1">
      <alignment vertical="center"/>
      <protection hidden="1"/>
    </xf>
    <xf numFmtId="0" fontId="4" fillId="0" borderId="18" xfId="0" applyFont="1" applyBorder="1" applyAlignment="1" applyProtection="1">
      <alignment horizontal="center" vertical="center"/>
      <protection locked="0"/>
    </xf>
    <xf numFmtId="0" fontId="4" fillId="0" borderId="19" xfId="0" applyFont="1" applyBorder="1" applyAlignment="1" applyProtection="1">
      <alignment horizontal="center" vertical="center"/>
      <protection locked="0"/>
    </xf>
    <xf numFmtId="0" fontId="4" fillId="10" borderId="5" xfId="0" applyFont="1" applyFill="1" applyBorder="1" applyAlignment="1" applyProtection="1">
      <alignment vertical="center"/>
      <protection hidden="1"/>
    </xf>
    <xf numFmtId="0" fontId="4" fillId="11" borderId="5" xfId="0" applyFont="1" applyFill="1" applyBorder="1" applyAlignment="1" applyProtection="1">
      <alignment vertical="center"/>
      <protection hidden="1"/>
    </xf>
    <xf numFmtId="0" fontId="4" fillId="0" borderId="20" xfId="0" applyFont="1" applyBorder="1" applyAlignment="1" applyProtection="1">
      <alignment horizontal="center" vertical="center"/>
      <protection locked="0"/>
    </xf>
    <xf numFmtId="0" fontId="4" fillId="0" borderId="4" xfId="0" applyFont="1" applyBorder="1" applyAlignment="1" applyProtection="1">
      <alignment horizontal="left" vertical="center"/>
      <protection hidden="1"/>
    </xf>
    <xf numFmtId="0" fontId="27" fillId="0" borderId="5" xfId="0" applyFont="1" applyBorder="1" applyAlignment="1" applyProtection="1">
      <alignment horizontal="center" vertical="center"/>
      <protection hidden="1"/>
    </xf>
    <xf numFmtId="0" fontId="28" fillId="10" borderId="5" xfId="0" applyFont="1" applyFill="1" applyBorder="1" applyAlignment="1" applyProtection="1">
      <alignment horizontal="center" vertical="center"/>
      <protection hidden="1"/>
    </xf>
    <xf numFmtId="0" fontId="4" fillId="0" borderId="7" xfId="0" applyFont="1" applyBorder="1" applyAlignment="1" applyProtection="1">
      <alignment horizontal="center" vertical="center"/>
      <protection hidden="1"/>
    </xf>
    <xf numFmtId="0" fontId="29" fillId="0" borderId="8" xfId="0" applyFont="1" applyBorder="1" applyAlignment="1" applyProtection="1">
      <alignment horizontal="center"/>
      <protection hidden="1"/>
    </xf>
    <xf numFmtId="0" fontId="4" fillId="0" borderId="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hidden="1"/>
    </xf>
    <xf numFmtId="0" fontId="4" fillId="4" borderId="0" xfId="0" applyFont="1" applyFill="1" applyProtection="1">
      <protection hidden="1"/>
    </xf>
    <xf numFmtId="0" fontId="4" fillId="4" borderId="0"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hidden="1"/>
    </xf>
    <xf numFmtId="0" fontId="4" fillId="6" borderId="0" xfId="0" applyFont="1" applyFill="1" applyProtection="1">
      <protection hidden="1"/>
    </xf>
    <xf numFmtId="0" fontId="4" fillId="0" borderId="9" xfId="0" applyFont="1" applyBorder="1" applyAlignment="1" applyProtection="1">
      <alignment horizontal="center" vertical="center"/>
      <protection locked="0"/>
    </xf>
    <xf numFmtId="0" fontId="4" fillId="5" borderId="0" xfId="0" applyFont="1" applyFill="1" applyBorder="1" applyAlignment="1" applyProtection="1">
      <alignment horizontal="center" vertical="center"/>
      <protection locked="0"/>
    </xf>
    <xf numFmtId="0" fontId="4" fillId="5" borderId="0" xfId="0" applyFont="1" applyFill="1" applyBorder="1" applyAlignment="1" applyProtection="1">
      <alignment horizontal="center" vertical="center"/>
      <protection hidden="1"/>
    </xf>
    <xf numFmtId="0" fontId="4" fillId="6" borderId="0" xfId="0" applyFont="1" applyFill="1" applyBorder="1" applyAlignment="1" applyProtection="1">
      <alignment horizontal="center" vertical="center"/>
      <protection locked="0"/>
    </xf>
    <xf numFmtId="0" fontId="4" fillId="6" borderId="0" xfId="0" applyFont="1" applyFill="1" applyBorder="1" applyAlignment="1" applyProtection="1">
      <alignment horizontal="center" vertical="center"/>
      <protection hidden="1"/>
    </xf>
    <xf numFmtId="0" fontId="4" fillId="0" borderId="0" xfId="0" applyFont="1" applyFill="1" applyBorder="1" applyAlignment="1" applyProtection="1">
      <alignment horizontal="center" vertical="center"/>
      <protection locked="0"/>
    </xf>
    <xf numFmtId="0" fontId="4" fillId="0" borderId="0" xfId="0" applyFont="1" applyFill="1" applyBorder="1" applyAlignment="1" applyProtection="1">
      <alignment horizontal="center" vertical="center"/>
      <protection hidden="1"/>
    </xf>
    <xf numFmtId="0" fontId="4" fillId="0" borderId="9" xfId="0" applyFont="1" applyFill="1" applyBorder="1" applyAlignment="1" applyProtection="1">
      <alignment horizontal="center" vertical="center"/>
      <protection locked="0"/>
    </xf>
    <xf numFmtId="0" fontId="5" fillId="0" borderId="0" xfId="0" applyFont="1" applyFill="1" applyBorder="1" applyAlignment="1" applyProtection="1">
      <protection hidden="1"/>
    </xf>
    <xf numFmtId="0" fontId="6" fillId="0" borderId="0" xfId="0" applyFont="1" applyFill="1" applyBorder="1" applyAlignment="1" applyProtection="1">
      <alignment horizontal="justify" vertical="center"/>
      <protection hidden="1"/>
    </xf>
    <xf numFmtId="0" fontId="6" fillId="0" borderId="0" xfId="0" applyFont="1" applyFill="1" applyBorder="1" applyProtection="1">
      <protection hidden="1"/>
    </xf>
    <xf numFmtId="0" fontId="4" fillId="0" borderId="0" xfId="0" applyFont="1" applyFill="1" applyBorder="1" applyProtection="1">
      <protection hidden="1"/>
    </xf>
    <xf numFmtId="0" fontId="0" fillId="0" borderId="0" xfId="0" applyFill="1" applyAlignment="1" applyProtection="1">
      <alignment horizontal="left" wrapText="1"/>
      <protection hidden="1"/>
    </xf>
    <xf numFmtId="0" fontId="0" fillId="0" borderId="0" xfId="0" applyFill="1" applyBorder="1" applyAlignment="1" applyProtection="1">
      <alignment horizontal="left"/>
      <protection hidden="1"/>
    </xf>
    <xf numFmtId="0" fontId="0" fillId="0" borderId="0" xfId="0" applyFill="1" applyAlignment="1" applyProtection="1">
      <alignment horizontal="left"/>
      <protection hidden="1"/>
    </xf>
    <xf numFmtId="0" fontId="4" fillId="0" borderId="0" xfId="0" applyFont="1" applyFill="1" applyProtection="1">
      <protection hidden="1"/>
    </xf>
    <xf numFmtId="0" fontId="25" fillId="0" borderId="0" xfId="0" applyFont="1" applyFill="1" applyProtection="1">
      <protection hidden="1"/>
    </xf>
    <xf numFmtId="0" fontId="0" fillId="0" borderId="10" xfId="0" applyFont="1" applyBorder="1" applyAlignment="1" applyProtection="1">
      <alignment wrapText="1"/>
      <protection hidden="1"/>
    </xf>
    <xf numFmtId="0" fontId="0" fillId="0" borderId="14" xfId="0" applyFont="1" applyBorder="1" applyAlignment="1" applyProtection="1">
      <alignment wrapText="1"/>
      <protection hidden="1"/>
    </xf>
    <xf numFmtId="0" fontId="0" fillId="4" borderId="14" xfId="0" applyFont="1" applyFill="1" applyBorder="1" applyAlignment="1" applyProtection="1">
      <alignment wrapText="1"/>
      <protection hidden="1"/>
    </xf>
    <xf numFmtId="0" fontId="0" fillId="0" borderId="4" xfId="0" applyFont="1" applyBorder="1" applyProtection="1">
      <protection hidden="1"/>
    </xf>
    <xf numFmtId="0" fontId="31" fillId="4" borderId="4" xfId="0" applyFont="1" applyFill="1" applyBorder="1" applyAlignment="1">
      <alignment vertical="center"/>
    </xf>
    <xf numFmtId="0" fontId="32" fillId="0" borderId="4" xfId="0" applyFont="1" applyBorder="1" applyAlignment="1">
      <alignment horizontal="left" vertical="center" indent="6"/>
    </xf>
    <xf numFmtId="0" fontId="0" fillId="0" borderId="0" xfId="0" applyFont="1" applyFill="1" applyBorder="1" applyAlignment="1" applyProtection="1">
      <alignment wrapText="1"/>
      <protection hidden="1"/>
    </xf>
    <xf numFmtId="0" fontId="34" fillId="4" borderId="4" xfId="0" applyFont="1" applyFill="1" applyBorder="1" applyAlignment="1">
      <alignment vertical="center"/>
    </xf>
    <xf numFmtId="0" fontId="0" fillId="6" borderId="0" xfId="0" applyFont="1" applyFill="1" applyBorder="1" applyAlignment="1" applyProtection="1">
      <alignment wrapText="1"/>
      <protection hidden="1"/>
    </xf>
    <xf numFmtId="0" fontId="31" fillId="0" borderId="4" xfId="0" applyFont="1" applyBorder="1" applyAlignment="1">
      <alignment vertical="center"/>
    </xf>
    <xf numFmtId="0" fontId="0" fillId="5" borderId="0" xfId="0" applyFont="1" applyFill="1" applyBorder="1" applyAlignment="1" applyProtection="1">
      <alignment wrapText="1"/>
      <protection hidden="1"/>
    </xf>
    <xf numFmtId="0" fontId="35" fillId="6" borderId="0" xfId="0" applyFont="1" applyFill="1" applyBorder="1" applyAlignment="1" applyProtection="1">
      <alignment wrapText="1"/>
      <protection hidden="1"/>
    </xf>
    <xf numFmtId="0" fontId="30" fillId="0" borderId="4" xfId="0" applyFont="1" applyBorder="1" applyAlignment="1">
      <alignment horizontal="left" vertical="center" indent="6"/>
    </xf>
    <xf numFmtId="0" fontId="13" fillId="0" borderId="0" xfId="0" applyFont="1" applyFill="1" applyBorder="1" applyAlignment="1" applyProtection="1">
      <alignment wrapText="1"/>
      <protection hidden="1"/>
    </xf>
    <xf numFmtId="0" fontId="26" fillId="0" borderId="0" xfId="0" applyFont="1" applyBorder="1" applyAlignment="1" applyProtection="1">
      <alignment horizontal="center" vertical="center"/>
      <protection locked="0"/>
    </xf>
    <xf numFmtId="0" fontId="4" fillId="0" borderId="0" xfId="0" applyNumberFormat="1" applyFont="1" applyFill="1" applyProtection="1">
      <protection hidden="1"/>
    </xf>
    <xf numFmtId="0" fontId="0" fillId="0" borderId="0" xfId="0" applyBorder="1" applyAlignment="1" applyProtection="1">
      <alignment horizontal="center"/>
      <protection locked="0"/>
    </xf>
    <xf numFmtId="0" fontId="12" fillId="8" borderId="0" xfId="0" applyFont="1" applyFill="1" applyBorder="1" applyAlignment="1" applyProtection="1">
      <alignment horizontal="center" vertical="center"/>
      <protection locked="0"/>
    </xf>
    <xf numFmtId="0" fontId="35" fillId="7" borderId="2" xfId="0" applyFont="1" applyFill="1" applyBorder="1" applyAlignment="1" applyProtection="1">
      <alignment horizontal="left"/>
      <protection hidden="1"/>
    </xf>
    <xf numFmtId="0" fontId="35" fillId="7" borderId="2" xfId="0" applyFont="1" applyFill="1" applyBorder="1" applyAlignment="1" applyProtection="1">
      <alignment horizontal="left" vertical="center"/>
      <protection hidden="1"/>
    </xf>
    <xf numFmtId="0" fontId="36" fillId="4" borderId="4" xfId="0" applyFont="1" applyFill="1" applyBorder="1" applyAlignment="1">
      <alignment vertical="center"/>
    </xf>
    <xf numFmtId="0" fontId="0" fillId="0" borderId="0" xfId="0" applyFont="1" applyFill="1" applyProtection="1">
      <protection hidden="1"/>
    </xf>
    <xf numFmtId="0" fontId="0" fillId="4" borderId="0"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4" borderId="0" xfId="0" applyFont="1" applyFill="1" applyProtection="1">
      <protection hidden="1"/>
    </xf>
    <xf numFmtId="0" fontId="13" fillId="4" borderId="0" xfId="0" applyFont="1" applyFill="1" applyBorder="1" applyAlignment="1" applyProtection="1">
      <alignment vertical="center" wrapText="1"/>
      <protection hidden="1"/>
    </xf>
    <xf numFmtId="0" fontId="13" fillId="4" borderId="0" xfId="0" applyFont="1" applyFill="1" applyBorder="1" applyProtection="1">
      <protection hidden="1"/>
    </xf>
    <xf numFmtId="0" fontId="13" fillId="4" borderId="11" xfId="0" applyFont="1" applyFill="1" applyBorder="1" applyProtection="1">
      <protection hidden="1"/>
    </xf>
    <xf numFmtId="0" fontId="13" fillId="4" borderId="13" xfId="0" applyFont="1" applyFill="1" applyBorder="1" applyProtection="1">
      <protection hidden="1"/>
    </xf>
    <xf numFmtId="0" fontId="0" fillId="4" borderId="16" xfId="0" applyFont="1" applyFill="1" applyBorder="1" applyAlignment="1" applyProtection="1">
      <alignment horizontal="center" vertical="center"/>
      <protection locked="0"/>
    </xf>
    <xf numFmtId="0" fontId="37" fillId="4" borderId="4" xfId="0" applyFont="1" applyFill="1" applyBorder="1" applyAlignment="1">
      <alignment vertical="center"/>
    </xf>
    <xf numFmtId="0" fontId="15" fillId="4" borderId="4" xfId="0" applyFont="1" applyFill="1" applyBorder="1" applyAlignment="1">
      <alignment horizontal="left" vertical="center" wrapText="1"/>
    </xf>
    <xf numFmtId="0" fontId="15" fillId="4" borderId="17" xfId="0" applyFont="1" applyFill="1" applyBorder="1" applyAlignment="1">
      <alignment horizontal="left" vertical="center" wrapText="1"/>
    </xf>
    <xf numFmtId="0" fontId="22" fillId="0" borderId="4" xfId="0" applyFont="1" applyBorder="1" applyAlignment="1">
      <alignment horizontal="left" vertical="center"/>
    </xf>
    <xf numFmtId="0" fontId="22" fillId="0" borderId="17" xfId="0" applyFont="1" applyBorder="1" applyAlignment="1">
      <alignment horizontal="left" vertical="center"/>
    </xf>
    <xf numFmtId="0" fontId="0" fillId="0" borderId="0" xfId="0" applyFill="1" applyBorder="1" applyAlignment="1" applyProtection="1">
      <alignment horizontal="center" vertical="center"/>
      <protection hidden="1"/>
    </xf>
    <xf numFmtId="0" fontId="13" fillId="4" borderId="4" xfId="0" applyFont="1" applyFill="1" applyBorder="1" applyAlignment="1" applyProtection="1">
      <alignment horizontal="left" vertical="center" wrapText="1"/>
      <protection hidden="1"/>
    </xf>
    <xf numFmtId="0" fontId="13" fillId="4" borderId="0" xfId="0" applyFont="1" applyFill="1" applyBorder="1" applyAlignment="1" applyProtection="1">
      <alignment horizontal="left" vertical="center" wrapText="1"/>
      <protection hidden="1"/>
    </xf>
    <xf numFmtId="0" fontId="19" fillId="4" borderId="4" xfId="0" applyFont="1" applyFill="1" applyBorder="1" applyAlignment="1" applyProtection="1">
      <alignment horizontal="left" vertical="center" wrapText="1"/>
      <protection hidden="1"/>
    </xf>
    <xf numFmtId="0" fontId="19" fillId="4" borderId="0" xfId="0" applyFont="1" applyFill="1" applyBorder="1" applyAlignment="1" applyProtection="1">
      <alignment horizontal="left" vertical="center" wrapText="1"/>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0" borderId="0" xfId="0" applyFont="1" applyBorder="1" applyAlignment="1" applyProtection="1">
      <alignment horizontal="center" vertical="center"/>
      <protection hidden="1"/>
    </xf>
    <xf numFmtId="0" fontId="32" fillId="0" borderId="4" xfId="0" applyFont="1" applyBorder="1" applyAlignment="1">
      <alignment horizontal="left" vertical="center"/>
    </xf>
    <xf numFmtId="0" fontId="32" fillId="0" borderId="0" xfId="0" applyFont="1" applyBorder="1" applyAlignment="1">
      <alignment horizontal="left" vertical="center"/>
    </xf>
    <xf numFmtId="0" fontId="32" fillId="0" borderId="17" xfId="0" applyFont="1" applyBorder="1" applyAlignment="1">
      <alignment horizontal="left" vertical="center"/>
    </xf>
    <xf numFmtId="0" fontId="18" fillId="0" borderId="4" xfId="0" applyFont="1" applyBorder="1" applyAlignment="1">
      <alignment horizontal="left" vertical="center"/>
    </xf>
    <xf numFmtId="0" fontId="18" fillId="0" borderId="0" xfId="0" applyFont="1" applyBorder="1" applyAlignment="1">
      <alignment horizontal="left" vertical="center"/>
    </xf>
    <xf numFmtId="0" fontId="18" fillId="0" borderId="4" xfId="0" applyFont="1" applyBorder="1" applyAlignment="1">
      <alignment horizontal="left" vertical="top" wrapText="1"/>
    </xf>
    <xf numFmtId="0" fontId="18" fillId="0" borderId="0" xfId="0" applyFont="1" applyBorder="1" applyAlignment="1">
      <alignment horizontal="left" vertical="top" wrapText="1"/>
    </xf>
    <xf numFmtId="0" fontId="19" fillId="0" borderId="14" xfId="0" applyFont="1" applyFill="1" applyBorder="1" applyProtection="1">
      <protection hidden="1"/>
    </xf>
    <xf numFmtId="0" fontId="19" fillId="0" borderId="13" xfId="0" applyFont="1" applyBorder="1" applyProtection="1">
      <protection hidden="1"/>
    </xf>
    <xf numFmtId="0" fontId="0" fillId="0" borderId="21" xfId="0" applyFill="1" applyBorder="1" applyAlignment="1" applyProtection="1">
      <alignment horizontal="center" vertical="center"/>
      <protection locked="0"/>
    </xf>
    <xf numFmtId="0" fontId="0" fillId="4" borderId="22" xfId="0" applyFont="1" applyFill="1" applyBorder="1" applyAlignment="1" applyProtection="1">
      <alignment horizontal="center" vertical="center"/>
      <protection locked="0"/>
    </xf>
    <xf numFmtId="0" fontId="4" fillId="6" borderId="24" xfId="0" applyFont="1" applyFill="1" applyBorder="1" applyAlignment="1" applyProtection="1">
      <alignment vertical="center"/>
      <protection hidden="1"/>
    </xf>
    <xf numFmtId="0" fontId="0" fillId="0" borderId="25" xfId="0"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0" fillId="0" borderId="27" xfId="0" applyFill="1" applyBorder="1" applyAlignment="1" applyProtection="1">
      <alignment horizontal="center" vertical="center"/>
      <protection locked="0"/>
    </xf>
    <xf numFmtId="0" fontId="0" fillId="0" borderId="28" xfId="0" applyFill="1" applyBorder="1" applyAlignment="1" applyProtection="1">
      <alignment horizontal="center"/>
      <protection hidden="1"/>
    </xf>
    <xf numFmtId="0" fontId="0" fillId="0" borderId="29" xfId="0" applyFill="1" applyBorder="1" applyAlignment="1" applyProtection="1">
      <alignment vertical="center"/>
      <protection hidden="1"/>
    </xf>
    <xf numFmtId="0" fontId="38" fillId="4" borderId="0" xfId="0" applyFont="1" applyFill="1" applyBorder="1" applyAlignment="1" applyProtection="1">
      <alignment horizontal="center"/>
      <protection hidden="1"/>
    </xf>
    <xf numFmtId="0" fontId="38" fillId="4" borderId="23" xfId="0" applyFont="1" applyFill="1" applyBorder="1" applyAlignment="1" applyProtection="1">
      <alignment horizontal="center"/>
      <protection hidden="1"/>
    </xf>
  </cellXfs>
  <cellStyles count="293">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xfId="291"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Hipervínculo visitado" xfId="292" builtinId="9"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9309100</xdr:colOff>
          <xdr:row>67</xdr:row>
          <xdr:rowOff>152400</xdr:rowOff>
        </xdr:from>
        <xdr:to>
          <xdr:col>2</xdr:col>
          <xdr:colOff>9918700</xdr:colOff>
          <xdr:row>68</xdr:row>
          <xdr:rowOff>228600</xdr:rowOff>
        </xdr:to>
        <xdr:sp macro="" textlink="">
          <xdr:nvSpPr>
            <xdr:cNvPr id="1029" name="Button 5" descr="Borrar"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9271000</xdr:colOff>
          <xdr:row>133</xdr:row>
          <xdr:rowOff>25400</xdr:rowOff>
        </xdr:from>
        <xdr:to>
          <xdr:col>2</xdr:col>
          <xdr:colOff>9855200</xdr:colOff>
          <xdr:row>134</xdr:row>
          <xdr:rowOff>101600</xdr:rowOff>
        </xdr:to>
        <xdr:sp macro="" textlink="">
          <xdr:nvSpPr>
            <xdr:cNvPr id="1031" name="Button 7" descr="Borrar"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9194800</xdr:colOff>
          <xdr:row>198</xdr:row>
          <xdr:rowOff>12700</xdr:rowOff>
        </xdr:from>
        <xdr:to>
          <xdr:col>2</xdr:col>
          <xdr:colOff>9766300</xdr:colOff>
          <xdr:row>199</xdr:row>
          <xdr:rowOff>38100</xdr:rowOff>
        </xdr:to>
        <xdr:sp macro="" textlink="">
          <xdr:nvSpPr>
            <xdr:cNvPr id="1032" name="Button 8" descr="Borrar"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9232900</xdr:colOff>
          <xdr:row>262</xdr:row>
          <xdr:rowOff>190500</xdr:rowOff>
        </xdr:from>
        <xdr:to>
          <xdr:col>2</xdr:col>
          <xdr:colOff>9804400</xdr:colOff>
          <xdr:row>264</xdr:row>
          <xdr:rowOff>76200</xdr:rowOff>
        </xdr:to>
        <xdr:sp macro="" textlink="">
          <xdr:nvSpPr>
            <xdr:cNvPr id="1034" name="Button 10" descr="Borrar"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329</xdr:row>
          <xdr:rowOff>50800</xdr:rowOff>
        </xdr:from>
        <xdr:to>
          <xdr:col>2</xdr:col>
          <xdr:colOff>9994900</xdr:colOff>
          <xdr:row>330</xdr:row>
          <xdr:rowOff>228600</xdr:rowOff>
        </xdr:to>
        <xdr:sp macro="" textlink="">
          <xdr:nvSpPr>
            <xdr:cNvPr id="1035" name="Button 11" descr="Borrar"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9232900</xdr:colOff>
          <xdr:row>397</xdr:row>
          <xdr:rowOff>0</xdr:rowOff>
        </xdr:from>
        <xdr:to>
          <xdr:col>2</xdr:col>
          <xdr:colOff>9817100</xdr:colOff>
          <xdr:row>398</xdr:row>
          <xdr:rowOff>0</xdr:rowOff>
        </xdr:to>
        <xdr:sp macro="" textlink="">
          <xdr:nvSpPr>
            <xdr:cNvPr id="1036" name="Button 12" descr="Borrar"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433</xdr:row>
          <xdr:rowOff>190500</xdr:rowOff>
        </xdr:from>
        <xdr:to>
          <xdr:col>2</xdr:col>
          <xdr:colOff>9791700</xdr:colOff>
          <xdr:row>434</xdr:row>
          <xdr:rowOff>241300</xdr:rowOff>
        </xdr:to>
        <xdr:sp macro="" textlink="">
          <xdr:nvSpPr>
            <xdr:cNvPr id="1037" name="Button 13" descr="Borrar"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433</xdr:row>
          <xdr:rowOff>203200</xdr:rowOff>
        </xdr:from>
        <xdr:to>
          <xdr:col>2</xdr:col>
          <xdr:colOff>9093200</xdr:colOff>
          <xdr:row>434</xdr:row>
          <xdr:rowOff>241300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397</xdr:row>
          <xdr:rowOff>12700</xdr:rowOff>
        </xdr:from>
        <xdr:to>
          <xdr:col>2</xdr:col>
          <xdr:colOff>9093200</xdr:colOff>
          <xdr:row>398</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7988300</xdr:colOff>
          <xdr:row>329</xdr:row>
          <xdr:rowOff>63500</xdr:rowOff>
        </xdr:from>
        <xdr:to>
          <xdr:col>2</xdr:col>
          <xdr:colOff>9296400</xdr:colOff>
          <xdr:row>330</xdr:row>
          <xdr:rowOff>215900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262</xdr:row>
          <xdr:rowOff>190500</xdr:rowOff>
        </xdr:from>
        <xdr:to>
          <xdr:col>2</xdr:col>
          <xdr:colOff>9093200</xdr:colOff>
          <xdr:row>264</xdr:row>
          <xdr:rowOff>38100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198</xdr:row>
          <xdr:rowOff>25400</xdr:rowOff>
        </xdr:from>
        <xdr:to>
          <xdr:col>2</xdr:col>
          <xdr:colOff>9093200</xdr:colOff>
          <xdr:row>198</xdr:row>
          <xdr:rowOff>254000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133</xdr:row>
          <xdr:rowOff>38100</xdr:rowOff>
        </xdr:from>
        <xdr:to>
          <xdr:col>2</xdr:col>
          <xdr:colOff>9093200</xdr:colOff>
          <xdr:row>134</xdr:row>
          <xdr:rowOff>63500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67</xdr:row>
          <xdr:rowOff>177800</xdr:rowOff>
        </xdr:from>
        <xdr:to>
          <xdr:col>2</xdr:col>
          <xdr:colOff>9093200</xdr:colOff>
          <xdr:row>68</xdr:row>
          <xdr:rowOff>190500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9956800</xdr:colOff>
          <xdr:row>510</xdr:row>
          <xdr:rowOff>76200</xdr:rowOff>
        </xdr:from>
        <xdr:to>
          <xdr:col>2</xdr:col>
          <xdr:colOff>10566400</xdr:colOff>
          <xdr:row>511</xdr:row>
          <xdr:rowOff>63500</xdr:rowOff>
        </xdr:to>
        <xdr:sp macro="" textlink="">
          <xdr:nvSpPr>
            <xdr:cNvPr id="1155" name="Button 131" descr="Borrar"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9309100</xdr:colOff>
          <xdr:row>587</xdr:row>
          <xdr:rowOff>0</xdr:rowOff>
        </xdr:from>
        <xdr:to>
          <xdr:col>2</xdr:col>
          <xdr:colOff>9893300</xdr:colOff>
          <xdr:row>587</xdr:row>
          <xdr:rowOff>203200</xdr:rowOff>
        </xdr:to>
        <xdr:sp macro="" textlink="">
          <xdr:nvSpPr>
            <xdr:cNvPr id="1158" name="Button 134" descr="Borrar"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587</xdr:row>
          <xdr:rowOff>0</xdr:rowOff>
        </xdr:from>
        <xdr:to>
          <xdr:col>2</xdr:col>
          <xdr:colOff>9207500</xdr:colOff>
          <xdr:row>587</xdr:row>
          <xdr:rowOff>190500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xdr:twoCellAnchor>
    <xdr:from>
      <xdr:col>2</xdr:col>
      <xdr:colOff>9909119</xdr:colOff>
      <xdr:row>654</xdr:row>
      <xdr:rowOff>64837</xdr:rowOff>
    </xdr:from>
    <xdr:to>
      <xdr:col>2</xdr:col>
      <xdr:colOff>10518719</xdr:colOff>
      <xdr:row>655</xdr:row>
      <xdr:rowOff>133684</xdr:rowOff>
    </xdr:to>
    <xdr:pic macro="[0]!PEC3_BORRAR">
      <xdr:nvPicPr>
        <xdr:cNvPr id="22" name="Button 131" descr="Borrar">
          <a:extLst>
            <a:ext uri="{63B3BB69-23CF-44E3-9099-C40C66FF867C}">
              <a14:compatExt xmlns:a14="http://schemas.microsoft.com/office/drawing/2010/main" spid="_x0000_s1155"/>
            </a:ext>
          </a:extLst>
        </xdr:cNvPr>
        <xdr:cNvPicPr>
          <a:picLocks noChangeAspect="1"/>
        </xdr:cNvPicPr>
      </xdr:nvPicPr>
      <xdr:blipFill>
        <a:blip xmlns:r="http://schemas.openxmlformats.org/officeDocument/2006/relationships" r:embed="rId1"/>
        <a:stretch>
          <a:fillRect/>
        </a:stretch>
      </xdr:blipFill>
      <xdr:spPr>
        <a:xfrm>
          <a:off x="10466137" y="148821942"/>
          <a:ext cx="609600" cy="269374"/>
        </a:xfrm>
        <a:prstGeom prst="rect">
          <a:avLst/>
        </a:prstGeom>
      </xdr:spPr>
    </xdr:pic>
    <xdr:clientData/>
  </xdr:twoCellAnchor>
  <xdr:twoCellAnchor>
    <xdr:from>
      <xdr:col>2</xdr:col>
      <xdr:colOff>8801651</xdr:colOff>
      <xdr:row>654</xdr:row>
      <xdr:rowOff>88349</xdr:rowOff>
    </xdr:from>
    <xdr:to>
      <xdr:col>2</xdr:col>
      <xdr:colOff>9832918</xdr:colOff>
      <xdr:row>655</xdr:row>
      <xdr:rowOff>144923</xdr:rowOff>
    </xdr:to>
    <xdr:pic macro="[0]!PEC3_COMPRO">
      <xdr:nvPicPr>
        <xdr:cNvPr id="23" name="Button 132">
          <a:extLst>
            <a:ext uri="{63B3BB69-23CF-44E3-9099-C40C66FF867C}">
              <a14:compatExt xmlns:a14="http://schemas.microsoft.com/office/drawing/2010/main" spid="_x0000_s1156"/>
            </a:ext>
          </a:extLst>
        </xdr:cNvPr>
        <xdr:cNvPicPr>
          <a:picLocks noChangeAspect="1"/>
        </xdr:cNvPicPr>
      </xdr:nvPicPr>
      <xdr:blipFill>
        <a:blip xmlns:r="http://schemas.openxmlformats.org/officeDocument/2006/relationships" r:embed="rId2"/>
        <a:stretch>
          <a:fillRect/>
        </a:stretch>
      </xdr:blipFill>
      <xdr:spPr>
        <a:xfrm>
          <a:off x="9353825" y="146845132"/>
          <a:ext cx="1031267" cy="25535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8890000</xdr:colOff>
          <xdr:row>510</xdr:row>
          <xdr:rowOff>76200</xdr:rowOff>
        </xdr:from>
        <xdr:to>
          <xdr:col>2</xdr:col>
          <xdr:colOff>9804400</xdr:colOff>
          <xdr:row>511</xdr:row>
          <xdr:rowOff>139700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9" Type="http://schemas.openxmlformats.org/officeDocument/2006/relationships/ctrlProp" Target="../ctrlProps/ctrlProp6.xml"/><Relationship Id="rId20" Type="http://schemas.openxmlformats.org/officeDocument/2006/relationships/ctrlProp" Target="../ctrlProps/ctrlProp17.xml"/><Relationship Id="rId21" Type="http://schemas.openxmlformats.org/officeDocument/2006/relationships/ctrlProp" Target="../ctrlProps/ctrlProp18.xml"/><Relationship Id="rId10" Type="http://schemas.openxmlformats.org/officeDocument/2006/relationships/ctrlProp" Target="../ctrlProps/ctrlProp7.xml"/><Relationship Id="rId11" Type="http://schemas.openxmlformats.org/officeDocument/2006/relationships/ctrlProp" Target="../ctrlProps/ctrlProp8.xml"/><Relationship Id="rId12" Type="http://schemas.openxmlformats.org/officeDocument/2006/relationships/ctrlProp" Target="../ctrlProps/ctrlProp9.xml"/><Relationship Id="rId13" Type="http://schemas.openxmlformats.org/officeDocument/2006/relationships/ctrlProp" Target="../ctrlProps/ctrlProp10.xml"/><Relationship Id="rId14" Type="http://schemas.openxmlformats.org/officeDocument/2006/relationships/ctrlProp" Target="../ctrlProps/ctrlProp11.xml"/><Relationship Id="rId15" Type="http://schemas.openxmlformats.org/officeDocument/2006/relationships/ctrlProp" Target="../ctrlProps/ctrlProp12.xml"/><Relationship Id="rId16" Type="http://schemas.openxmlformats.org/officeDocument/2006/relationships/ctrlProp" Target="../ctrlProps/ctrlProp13.xml"/><Relationship Id="rId17" Type="http://schemas.openxmlformats.org/officeDocument/2006/relationships/ctrlProp" Target="../ctrlProps/ctrlProp14.xml"/><Relationship Id="rId18" Type="http://schemas.openxmlformats.org/officeDocument/2006/relationships/ctrlProp" Target="../ctrlProps/ctrlProp15.xml"/><Relationship Id="rId19" Type="http://schemas.openxmlformats.org/officeDocument/2006/relationships/ctrlProp" Target="../ctrlProps/ctrlProp16.xml"/><Relationship Id="rId1" Type="http://schemas.openxmlformats.org/officeDocument/2006/relationships/printerSettings" Target="../printerSettings/printerSettings1.bin"/><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7" Type="http://schemas.openxmlformats.org/officeDocument/2006/relationships/ctrlProp" Target="../ctrlProps/ctrlProp4.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enableFormatConditionsCalculation="0">
    <pageSetUpPr fitToPage="1"/>
  </sheetPr>
  <dimension ref="A1:AN657"/>
  <sheetViews>
    <sheetView showGridLines="0" tabSelected="1" zoomScale="120" zoomScaleNormal="120" zoomScalePageLayoutView="120" workbookViewId="0">
      <pane xSplit="1" ySplit="5" topLeftCell="B6" activePane="bottomRight" state="frozen"/>
      <selection pane="topRight" activeCell="B1" sqref="B1"/>
      <selection pane="bottomLeft" activeCell="A6" sqref="A6"/>
      <selection pane="bottomRight" activeCell="D7" sqref="D7"/>
    </sheetView>
  </sheetViews>
  <sheetFormatPr baseColWidth="10" defaultColWidth="11" defaultRowHeight="16" x14ac:dyDescent="0.2"/>
  <cols>
    <col min="1" max="1" width="2.5" style="4" customWidth="1"/>
    <col min="2" max="2" width="4.83203125" style="34" customWidth="1"/>
    <col min="3" max="3" width="139.1640625" style="7" customWidth="1"/>
    <col min="4" max="4" width="5" style="35" customWidth="1"/>
    <col min="5" max="5" width="5.83203125" style="35" customWidth="1"/>
    <col min="6" max="6" width="11" style="36"/>
    <col min="7" max="8" width="10.83203125" style="4" hidden="1" customWidth="1"/>
    <col min="9" max="24" width="11" style="4"/>
    <col min="25" max="16384" width="11" style="5"/>
  </cols>
  <sheetData>
    <row r="1" spans="1:40" x14ac:dyDescent="0.2">
      <c r="B1" s="6" t="s">
        <v>1</v>
      </c>
      <c r="D1" s="1"/>
      <c r="E1" s="1"/>
      <c r="F1" s="3"/>
      <c r="G1" s="18"/>
      <c r="H1" s="18" t="b">
        <v>0</v>
      </c>
    </row>
    <row r="2" spans="1:40" x14ac:dyDescent="0.2">
      <c r="B2" s="43" t="s">
        <v>3</v>
      </c>
      <c r="D2" s="1"/>
      <c r="E2" s="1"/>
      <c r="F2" s="3"/>
      <c r="G2" s="18"/>
      <c r="H2" s="18" t="s">
        <v>2</v>
      </c>
    </row>
    <row r="3" spans="1:40" x14ac:dyDescent="0.2">
      <c r="B3" s="43" t="s">
        <v>4</v>
      </c>
      <c r="D3" s="1"/>
      <c r="E3" s="1"/>
      <c r="F3" s="3"/>
      <c r="G3" s="18"/>
      <c r="H3" s="18"/>
    </row>
    <row r="4" spans="1:40" x14ac:dyDescent="0.2">
      <c r="B4" s="43" t="s">
        <v>5</v>
      </c>
      <c r="D4" s="1"/>
      <c r="E4" s="1"/>
      <c r="F4" s="3"/>
      <c r="G4" s="18"/>
      <c r="H4" s="18"/>
    </row>
    <row r="5" spans="1:40" ht="17" thickBot="1" x14ac:dyDescent="0.25">
      <c r="D5" s="9"/>
      <c r="E5" s="9"/>
      <c r="F5" s="10"/>
      <c r="G5" s="18"/>
      <c r="H5" s="18"/>
    </row>
    <row r="6" spans="1:40" ht="29" x14ac:dyDescent="0.35">
      <c r="B6" s="74" t="s">
        <v>21</v>
      </c>
      <c r="C6" s="198" t="s">
        <v>0</v>
      </c>
      <c r="D6" s="198"/>
      <c r="E6" s="198"/>
      <c r="F6" s="199"/>
      <c r="G6" s="149"/>
      <c r="H6" s="149"/>
      <c r="Y6" s="4"/>
      <c r="Z6" s="4"/>
      <c r="AA6" s="4"/>
      <c r="AB6" s="4"/>
      <c r="AC6" s="4"/>
      <c r="AD6" s="4"/>
      <c r="AE6" s="4"/>
      <c r="AF6" s="4"/>
      <c r="AG6" s="4"/>
      <c r="AH6" s="4"/>
      <c r="AI6" s="4"/>
      <c r="AJ6" s="4"/>
      <c r="AK6" s="4"/>
      <c r="AL6" s="4"/>
      <c r="AM6" s="4"/>
      <c r="AN6" s="4"/>
    </row>
    <row r="7" spans="1:40" s="16" customFormat="1" x14ac:dyDescent="0.2">
      <c r="A7" s="4"/>
      <c r="B7" s="42">
        <v>1</v>
      </c>
      <c r="C7" s="12" t="s">
        <v>22</v>
      </c>
      <c r="D7" s="38"/>
      <c r="E7" s="57"/>
      <c r="F7" s="25"/>
      <c r="G7" s="18"/>
      <c r="H7" s="18"/>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
      <c r="B8" s="44"/>
      <c r="C8" s="46" t="s">
        <v>23</v>
      </c>
      <c r="D8" s="37"/>
      <c r="E8" s="58" t="s">
        <v>15</v>
      </c>
      <c r="F8" s="24"/>
      <c r="G8" s="18"/>
      <c r="H8" s="150" t="b">
        <f>IF(D12="x",H$2,H$1)</f>
        <v>0</v>
      </c>
      <c r="Y8" s="4"/>
      <c r="Z8" s="4"/>
      <c r="AA8" s="4"/>
      <c r="AB8" s="4"/>
      <c r="AC8" s="4"/>
      <c r="AD8" s="4"/>
      <c r="AE8" s="4"/>
      <c r="AF8" s="4"/>
      <c r="AG8" s="4"/>
      <c r="AH8" s="4"/>
      <c r="AI8" s="4"/>
      <c r="AJ8" s="4"/>
      <c r="AK8" s="4"/>
      <c r="AL8" s="4"/>
      <c r="AM8" s="4"/>
      <c r="AN8" s="4"/>
    </row>
    <row r="9" spans="1:40" x14ac:dyDescent="0.2">
      <c r="B9" s="41"/>
      <c r="C9" s="47" t="s">
        <v>24</v>
      </c>
      <c r="D9" s="37"/>
      <c r="E9" s="58" t="s">
        <v>16</v>
      </c>
      <c r="F9" s="20" t="str">
        <f>IF(H10=1,IF(H8=H$2,H8,""),"")</f>
        <v/>
      </c>
      <c r="G9" s="18"/>
      <c r="H9" s="150" t="str">
        <f>IF(E67="comprobar",COUNTIF(D8:D12,"x"),"")</f>
        <v/>
      </c>
      <c r="Y9" s="4"/>
      <c r="Z9" s="4"/>
      <c r="AA9" s="4"/>
      <c r="AB9" s="4"/>
      <c r="AC9" s="4"/>
      <c r="AD9" s="4"/>
      <c r="AE9" s="4"/>
      <c r="AF9" s="4"/>
      <c r="AG9" s="4"/>
      <c r="AH9" s="4"/>
      <c r="AI9" s="4"/>
      <c r="AJ9" s="4"/>
      <c r="AK9" s="4"/>
      <c r="AL9" s="4"/>
      <c r="AM9" s="4"/>
      <c r="AN9" s="4"/>
    </row>
    <row r="10" spans="1:40" x14ac:dyDescent="0.2">
      <c r="B10" s="41"/>
      <c r="C10" s="47" t="s">
        <v>25</v>
      </c>
      <c r="D10" s="37"/>
      <c r="E10" s="58" t="s">
        <v>17</v>
      </c>
      <c r="F10" s="21" t="str">
        <f>IF(H10=-0.33,IF(H8=H$1,H8,""),"")</f>
        <v/>
      </c>
      <c r="G10" s="18"/>
      <c r="H10" s="151">
        <f>IF(H9=1,IF(H8=H$2,1,-0.33),0)</f>
        <v>0</v>
      </c>
      <c r="Y10" s="4"/>
      <c r="Z10" s="4"/>
      <c r="AA10" s="4"/>
      <c r="AB10" s="4"/>
      <c r="AC10" s="4"/>
      <c r="AD10" s="4"/>
      <c r="AE10" s="4"/>
      <c r="AF10" s="4"/>
      <c r="AG10" s="4"/>
      <c r="AH10" s="4"/>
      <c r="AI10" s="4"/>
      <c r="AJ10" s="4"/>
      <c r="AK10" s="4"/>
      <c r="AL10" s="4"/>
      <c r="AM10" s="4"/>
      <c r="AN10" s="4"/>
    </row>
    <row r="11" spans="1:40" x14ac:dyDescent="0.2">
      <c r="B11" s="41"/>
      <c r="C11" s="47" t="s">
        <v>26</v>
      </c>
      <c r="D11" s="37"/>
      <c r="E11" s="58" t="s">
        <v>18</v>
      </c>
      <c r="F11" s="24"/>
      <c r="G11" s="18"/>
      <c r="H11" s="151"/>
      <c r="Y11" s="4"/>
      <c r="Z11" s="4"/>
      <c r="AA11" s="4"/>
      <c r="AB11" s="4"/>
      <c r="AC11" s="4"/>
      <c r="AD11" s="4"/>
      <c r="AE11" s="4"/>
      <c r="AF11" s="4"/>
      <c r="AG11" s="4"/>
      <c r="AH11" s="4"/>
      <c r="AI11" s="4"/>
      <c r="AJ11" s="4"/>
      <c r="AK11" s="4"/>
      <c r="AL11" s="4"/>
      <c r="AM11" s="4"/>
      <c r="AN11" s="4"/>
    </row>
    <row r="12" spans="1:40" x14ac:dyDescent="0.2">
      <c r="B12" s="41"/>
      <c r="C12" s="8" t="s">
        <v>27</v>
      </c>
      <c r="D12" s="37"/>
      <c r="E12" s="58" t="s">
        <v>19</v>
      </c>
      <c r="F12" s="19"/>
      <c r="G12" s="18"/>
      <c r="H12" s="151"/>
      <c r="Y12" s="4"/>
      <c r="Z12" s="4"/>
      <c r="AA12" s="4"/>
      <c r="AB12" s="4"/>
      <c r="AC12" s="4"/>
      <c r="AD12" s="4"/>
      <c r="AE12" s="4"/>
      <c r="AF12" s="4"/>
      <c r="AG12" s="4"/>
      <c r="AH12" s="4"/>
      <c r="AI12" s="4"/>
      <c r="AJ12" s="4"/>
      <c r="AK12" s="4"/>
      <c r="AL12" s="4"/>
      <c r="AM12" s="4"/>
      <c r="AN12" s="4"/>
    </row>
    <row r="13" spans="1:40" s="16" customFormat="1" x14ac:dyDescent="0.2">
      <c r="A13" s="4"/>
      <c r="B13" s="42">
        <v>2</v>
      </c>
      <c r="C13" s="12" t="s">
        <v>22</v>
      </c>
      <c r="D13" s="38"/>
      <c r="E13" s="57"/>
      <c r="F13" s="25"/>
      <c r="G13" s="18"/>
      <c r="H13" s="18"/>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
      <c r="B14" s="44"/>
      <c r="C14" s="46" t="s">
        <v>28</v>
      </c>
      <c r="D14" s="37"/>
      <c r="E14" s="58" t="s">
        <v>15</v>
      </c>
      <c r="F14" s="24"/>
      <c r="G14" s="18"/>
      <c r="H14" s="150" t="b">
        <f>IF(D17="x",H$2,H$1)</f>
        <v>0</v>
      </c>
      <c r="Y14" s="4"/>
      <c r="Z14" s="4"/>
      <c r="AA14" s="4"/>
      <c r="AB14" s="4"/>
      <c r="AC14" s="4"/>
      <c r="AD14" s="4"/>
      <c r="AE14" s="4"/>
      <c r="AF14" s="4"/>
      <c r="AG14" s="4"/>
      <c r="AH14" s="4"/>
      <c r="AI14" s="4"/>
      <c r="AJ14" s="4"/>
      <c r="AK14" s="4"/>
      <c r="AL14" s="4"/>
      <c r="AM14" s="4"/>
      <c r="AN14" s="4"/>
    </row>
    <row r="15" spans="1:40" x14ac:dyDescent="0.2">
      <c r="B15" s="41"/>
      <c r="C15" s="47" t="s">
        <v>29</v>
      </c>
      <c r="D15" s="37"/>
      <c r="E15" s="58" t="s">
        <v>16</v>
      </c>
      <c r="F15" s="20" t="str">
        <f>IF(H16=1,IF(H14=H$2,H14,""),"")</f>
        <v/>
      </c>
      <c r="G15" s="18"/>
      <c r="H15" s="150" t="str">
        <f>IF(E$67="comprobar",COUNTIF(D14:D18,"x"),"")</f>
        <v/>
      </c>
      <c r="Y15" s="4"/>
      <c r="Z15" s="4"/>
      <c r="AA15" s="4"/>
      <c r="AB15" s="4"/>
      <c r="AC15" s="4"/>
      <c r="AD15" s="4"/>
      <c r="AE15" s="4"/>
      <c r="AF15" s="4"/>
      <c r="AG15" s="4"/>
      <c r="AH15" s="4"/>
      <c r="AI15" s="4"/>
      <c r="AJ15" s="4"/>
      <c r="AK15" s="4"/>
      <c r="AL15" s="4"/>
      <c r="AM15" s="4"/>
      <c r="AN15" s="4"/>
    </row>
    <row r="16" spans="1:40" x14ac:dyDescent="0.2">
      <c r="B16" s="41"/>
      <c r="C16" s="47" t="s">
        <v>30</v>
      </c>
      <c r="D16" s="37"/>
      <c r="E16" s="58" t="s">
        <v>17</v>
      </c>
      <c r="F16" s="21" t="str">
        <f>IF(H16=-0.33,IF(H14=H$1,H14,""),"")</f>
        <v/>
      </c>
      <c r="G16" s="18"/>
      <c r="H16" s="151">
        <f>IF(H15=1,IF(H14=H$2,1,-0.33),0)</f>
        <v>0</v>
      </c>
      <c r="Y16" s="4"/>
      <c r="Z16" s="4"/>
      <c r="AA16" s="4"/>
      <c r="AB16" s="4"/>
      <c r="AC16" s="4"/>
      <c r="AD16" s="4"/>
      <c r="AE16" s="4"/>
      <c r="AF16" s="4"/>
      <c r="AG16" s="4"/>
      <c r="AH16" s="4"/>
      <c r="AI16" s="4"/>
      <c r="AJ16" s="4"/>
      <c r="AK16" s="4"/>
      <c r="AL16" s="4"/>
      <c r="AM16" s="4"/>
      <c r="AN16" s="4"/>
    </row>
    <row r="17" spans="1:40" x14ac:dyDescent="0.2">
      <c r="B17" s="41"/>
      <c r="C17" s="47" t="s">
        <v>31</v>
      </c>
      <c r="D17" s="37"/>
      <c r="E17" s="58" t="s">
        <v>18</v>
      </c>
      <c r="F17" s="24"/>
      <c r="G17" s="18"/>
      <c r="H17" s="18"/>
      <c r="Y17" s="4"/>
      <c r="Z17" s="4"/>
      <c r="AA17" s="4"/>
      <c r="AB17" s="4"/>
      <c r="AC17" s="4"/>
      <c r="AD17" s="4"/>
      <c r="AE17" s="4"/>
      <c r="AF17" s="4"/>
      <c r="AG17" s="4"/>
      <c r="AH17" s="4"/>
      <c r="AI17" s="4"/>
      <c r="AJ17" s="4"/>
      <c r="AK17" s="4"/>
      <c r="AL17" s="4"/>
      <c r="AM17" s="4"/>
      <c r="AN17" s="4"/>
    </row>
    <row r="18" spans="1:40" x14ac:dyDescent="0.2">
      <c r="B18" s="41"/>
      <c r="C18" s="8"/>
      <c r="D18" s="37"/>
      <c r="E18" s="58" t="s">
        <v>19</v>
      </c>
      <c r="F18" s="19"/>
      <c r="G18" s="18"/>
      <c r="H18" s="18"/>
      <c r="Y18" s="4"/>
      <c r="Z18" s="4"/>
      <c r="AA18" s="4"/>
      <c r="AB18" s="4"/>
      <c r="AC18" s="4"/>
      <c r="AD18" s="4"/>
      <c r="AE18" s="4"/>
      <c r="AF18" s="4"/>
      <c r="AG18" s="4"/>
      <c r="AH18" s="4"/>
      <c r="AI18" s="4"/>
      <c r="AJ18" s="4"/>
      <c r="AK18" s="4"/>
      <c r="AL18" s="4"/>
      <c r="AM18" s="4"/>
      <c r="AN18" s="4"/>
    </row>
    <row r="19" spans="1:40" s="16" customFormat="1" x14ac:dyDescent="0.2">
      <c r="A19" s="4"/>
      <c r="B19" s="42">
        <v>3</v>
      </c>
      <c r="C19" s="12" t="s">
        <v>32</v>
      </c>
      <c r="D19" s="38"/>
      <c r="E19" s="57"/>
      <c r="F19" s="25"/>
      <c r="G19" s="18"/>
      <c r="H19" s="18"/>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
      <c r="B20" s="44"/>
      <c r="C20" s="46" t="s">
        <v>33</v>
      </c>
      <c r="D20" s="37"/>
      <c r="E20" s="58" t="s">
        <v>15</v>
      </c>
      <c r="F20" s="24"/>
      <c r="G20" s="18"/>
      <c r="H20" s="150" t="b">
        <f>IF(D21="x",H$2,H$1)</f>
        <v>0</v>
      </c>
      <c r="Y20" s="4"/>
      <c r="Z20" s="4"/>
      <c r="AA20" s="4"/>
      <c r="AB20" s="4"/>
      <c r="AC20" s="4"/>
      <c r="AD20" s="4"/>
      <c r="AE20" s="4"/>
      <c r="AF20" s="4"/>
      <c r="AG20" s="4"/>
      <c r="AH20" s="4"/>
      <c r="AI20" s="4"/>
      <c r="AJ20" s="4"/>
      <c r="AK20" s="4"/>
      <c r="AL20" s="4"/>
      <c r="AM20" s="4"/>
      <c r="AN20" s="4"/>
    </row>
    <row r="21" spans="1:40" x14ac:dyDescent="0.2">
      <c r="B21" s="41"/>
      <c r="C21" s="47" t="s">
        <v>34</v>
      </c>
      <c r="D21" s="37"/>
      <c r="E21" s="58" t="s">
        <v>16</v>
      </c>
      <c r="F21" s="20" t="str">
        <f>IF(H22=1,IF(H20=H$2,H20,""),"")</f>
        <v/>
      </c>
      <c r="G21" s="18"/>
      <c r="H21" s="150" t="str">
        <f>IF(E$67="comprobar",COUNTIF(D20:D24,"x"),"")</f>
        <v/>
      </c>
      <c r="Y21" s="4"/>
      <c r="Z21" s="4"/>
      <c r="AA21" s="4"/>
      <c r="AB21" s="4"/>
      <c r="AC21" s="4"/>
      <c r="AD21" s="4"/>
      <c r="AE21" s="4"/>
      <c r="AF21" s="4"/>
      <c r="AG21" s="4"/>
      <c r="AH21" s="4"/>
      <c r="AI21" s="4"/>
      <c r="AJ21" s="4"/>
      <c r="AK21" s="4"/>
      <c r="AL21" s="4"/>
      <c r="AM21" s="4"/>
      <c r="AN21" s="4"/>
    </row>
    <row r="22" spans="1:40" x14ac:dyDescent="0.2">
      <c r="B22" s="41"/>
      <c r="C22" s="47" t="s">
        <v>35</v>
      </c>
      <c r="D22" s="37"/>
      <c r="E22" s="58" t="s">
        <v>17</v>
      </c>
      <c r="F22" s="21" t="str">
        <f>IF(H22=-0.33,IF(H20=H$1,H20,""),"")</f>
        <v/>
      </c>
      <c r="G22" s="18"/>
      <c r="H22" s="151">
        <f>IF(H21=1,IF(H20=H$2,1,-0.33),0)</f>
        <v>0</v>
      </c>
      <c r="Y22" s="4"/>
      <c r="Z22" s="4"/>
      <c r="AA22" s="4"/>
      <c r="AB22" s="4"/>
      <c r="AC22" s="4"/>
      <c r="AD22" s="4"/>
      <c r="AE22" s="4"/>
      <c r="AF22" s="4"/>
      <c r="AG22" s="4"/>
      <c r="AH22" s="4"/>
      <c r="AI22" s="4"/>
      <c r="AJ22" s="4"/>
      <c r="AK22" s="4"/>
      <c r="AL22" s="4"/>
      <c r="AM22" s="4"/>
      <c r="AN22" s="4"/>
    </row>
    <row r="23" spans="1:40" x14ac:dyDescent="0.2">
      <c r="B23" s="41"/>
      <c r="C23" s="47" t="s">
        <v>36</v>
      </c>
      <c r="D23" s="37"/>
      <c r="E23" s="58" t="s">
        <v>18</v>
      </c>
      <c r="F23" s="24"/>
      <c r="G23" s="18"/>
      <c r="H23" s="151"/>
      <c r="Y23" s="4"/>
      <c r="Z23" s="4"/>
      <c r="AA23" s="4"/>
      <c r="AB23" s="4"/>
      <c r="AC23" s="4"/>
      <c r="AD23" s="4"/>
      <c r="AE23" s="4"/>
      <c r="AF23" s="4"/>
      <c r="AG23" s="4"/>
      <c r="AH23" s="4"/>
      <c r="AI23" s="4"/>
      <c r="AJ23" s="4"/>
      <c r="AK23" s="4"/>
      <c r="AL23" s="4"/>
      <c r="AM23" s="4"/>
      <c r="AN23" s="4"/>
    </row>
    <row r="24" spans="1:40" x14ac:dyDescent="0.2">
      <c r="B24" s="41"/>
      <c r="C24" s="8"/>
      <c r="D24" s="37"/>
      <c r="E24" s="58" t="s">
        <v>19</v>
      </c>
      <c r="F24" s="19"/>
      <c r="G24" s="18"/>
      <c r="H24" s="151"/>
      <c r="Y24" s="4"/>
      <c r="Z24" s="4"/>
      <c r="AA24" s="4"/>
      <c r="AB24" s="4"/>
      <c r="AC24" s="4"/>
      <c r="AD24" s="4"/>
      <c r="AE24" s="4"/>
      <c r="AF24" s="4"/>
      <c r="AG24" s="4"/>
      <c r="AH24" s="4"/>
      <c r="AI24" s="4"/>
      <c r="AJ24" s="4"/>
      <c r="AK24" s="4"/>
      <c r="AL24" s="4"/>
      <c r="AM24" s="4"/>
      <c r="AN24" s="4"/>
    </row>
    <row r="25" spans="1:40" s="16" customFormat="1" x14ac:dyDescent="0.2">
      <c r="A25" s="4"/>
      <c r="B25" s="42">
        <v>4</v>
      </c>
      <c r="C25" s="12" t="s">
        <v>37</v>
      </c>
      <c r="D25" s="38"/>
      <c r="E25" s="57"/>
      <c r="F25" s="25"/>
      <c r="G25" s="18"/>
      <c r="H25" s="18"/>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
      <c r="B26" s="44"/>
      <c r="C26" s="46" t="s">
        <v>38</v>
      </c>
      <c r="D26" s="37"/>
      <c r="E26" s="58" t="s">
        <v>15</v>
      </c>
      <c r="F26" s="24"/>
      <c r="G26" s="18"/>
      <c r="H26" s="150" t="b">
        <f>IF(D26="x",H$2,H$1)</f>
        <v>0</v>
      </c>
      <c r="Y26" s="4"/>
      <c r="Z26" s="4"/>
      <c r="AA26" s="4"/>
      <c r="AB26" s="4"/>
      <c r="AC26" s="4"/>
      <c r="AD26" s="4"/>
      <c r="AE26" s="4"/>
      <c r="AF26" s="4"/>
      <c r="AG26" s="4"/>
      <c r="AH26" s="4"/>
      <c r="AI26" s="4"/>
      <c r="AJ26" s="4"/>
      <c r="AK26" s="4"/>
      <c r="AL26" s="4"/>
      <c r="AM26" s="4"/>
      <c r="AN26" s="4"/>
    </row>
    <row r="27" spans="1:40" x14ac:dyDescent="0.2">
      <c r="B27" s="41"/>
      <c r="C27" s="47" t="s">
        <v>29</v>
      </c>
      <c r="D27" s="37"/>
      <c r="E27" s="58" t="s">
        <v>16</v>
      </c>
      <c r="F27" s="20" t="str">
        <f>IF(H28=1,IF(H26=H$2,H26,""),"")</f>
        <v/>
      </c>
      <c r="G27" s="18"/>
      <c r="H27" s="150" t="str">
        <f>IF(E$67="comprobar",COUNTIF(D26:D30,"x"),"")</f>
        <v/>
      </c>
      <c r="Y27" s="4"/>
      <c r="Z27" s="4"/>
      <c r="AA27" s="4"/>
      <c r="AB27" s="4"/>
      <c r="AC27" s="4"/>
      <c r="AD27" s="4"/>
      <c r="AE27" s="4"/>
      <c r="AF27" s="4"/>
      <c r="AG27" s="4"/>
      <c r="AH27" s="4"/>
      <c r="AI27" s="4"/>
      <c r="AJ27" s="4"/>
      <c r="AK27" s="4"/>
      <c r="AL27" s="4"/>
      <c r="AM27" s="4"/>
      <c r="AN27" s="4"/>
    </row>
    <row r="28" spans="1:40" x14ac:dyDescent="0.2">
      <c r="B28" s="41"/>
      <c r="C28" s="47" t="s">
        <v>39</v>
      </c>
      <c r="D28" s="37"/>
      <c r="E28" s="58" t="s">
        <v>17</v>
      </c>
      <c r="F28" s="21" t="str">
        <f>IF(H28=-0.33,IF(H26=H$1,H26,""),"")</f>
        <v/>
      </c>
      <c r="G28" s="18"/>
      <c r="H28" s="151">
        <f>IF(H27=1,IF(H26=H$2,1,-0.33),0)</f>
        <v>0</v>
      </c>
      <c r="Y28" s="4"/>
      <c r="Z28" s="4"/>
      <c r="AA28" s="4"/>
      <c r="AB28" s="4"/>
      <c r="AC28" s="4"/>
      <c r="AD28" s="4"/>
      <c r="AE28" s="4"/>
      <c r="AF28" s="4"/>
      <c r="AG28" s="4"/>
      <c r="AH28" s="4"/>
      <c r="AI28" s="4"/>
      <c r="AJ28" s="4"/>
      <c r="AK28" s="4"/>
      <c r="AL28" s="4"/>
      <c r="AM28" s="4"/>
      <c r="AN28" s="4"/>
    </row>
    <row r="29" spans="1:40" x14ac:dyDescent="0.2">
      <c r="B29" s="41"/>
      <c r="C29" s="47" t="s">
        <v>40</v>
      </c>
      <c r="D29" s="37"/>
      <c r="E29" s="58" t="s">
        <v>18</v>
      </c>
      <c r="F29" s="24"/>
      <c r="G29" s="18"/>
      <c r="H29" s="151"/>
      <c r="Y29" s="4"/>
      <c r="Z29" s="4"/>
      <c r="AA29" s="4"/>
      <c r="AB29" s="4"/>
      <c r="AC29" s="4"/>
      <c r="AD29" s="4"/>
      <c r="AE29" s="4"/>
      <c r="AF29" s="4"/>
      <c r="AG29" s="4"/>
      <c r="AH29" s="4"/>
      <c r="AI29" s="4"/>
      <c r="AJ29" s="4"/>
      <c r="AK29" s="4"/>
      <c r="AL29" s="4"/>
      <c r="AM29" s="4"/>
      <c r="AN29" s="4"/>
    </row>
    <row r="30" spans="1:40" x14ac:dyDescent="0.2">
      <c r="B30" s="41"/>
      <c r="C30" s="8"/>
      <c r="D30" s="37"/>
      <c r="E30" s="58" t="s">
        <v>19</v>
      </c>
      <c r="F30" s="19"/>
      <c r="G30" s="18"/>
      <c r="H30" s="151"/>
      <c r="Y30" s="4"/>
      <c r="Z30" s="4"/>
      <c r="AA30" s="4"/>
      <c r="AB30" s="4"/>
      <c r="AC30" s="4"/>
      <c r="AD30" s="4"/>
      <c r="AE30" s="4"/>
      <c r="AF30" s="4"/>
      <c r="AG30" s="4"/>
      <c r="AH30" s="4"/>
      <c r="AI30" s="4"/>
      <c r="AJ30" s="4"/>
      <c r="AK30" s="4"/>
      <c r="AL30" s="4"/>
      <c r="AM30" s="4"/>
      <c r="AN30" s="4"/>
    </row>
    <row r="31" spans="1:40" s="16" customFormat="1" x14ac:dyDescent="0.2">
      <c r="A31" s="4"/>
      <c r="B31" s="42">
        <v>5</v>
      </c>
      <c r="C31" s="12" t="s">
        <v>41</v>
      </c>
      <c r="D31" s="38"/>
      <c r="E31" s="57"/>
      <c r="F31" s="25"/>
      <c r="G31" s="18"/>
      <c r="H31" s="18"/>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
      <c r="B32" s="44"/>
      <c r="C32" s="46" t="s">
        <v>42</v>
      </c>
      <c r="D32" s="37"/>
      <c r="E32" s="58" t="s">
        <v>15</v>
      </c>
      <c r="F32" s="24"/>
      <c r="G32" s="18"/>
      <c r="H32" s="150" t="b">
        <f>IF(D34="x",H$2,H$1)</f>
        <v>0</v>
      </c>
      <c r="Y32" s="4"/>
      <c r="Z32" s="4"/>
      <c r="AA32" s="4"/>
      <c r="AB32" s="4"/>
      <c r="AC32" s="4"/>
      <c r="AD32" s="4"/>
      <c r="AE32" s="4"/>
      <c r="AF32" s="4"/>
      <c r="AG32" s="4"/>
      <c r="AH32" s="4"/>
      <c r="AI32" s="4"/>
      <c r="AJ32" s="4"/>
      <c r="AK32" s="4"/>
      <c r="AL32" s="4"/>
      <c r="AM32" s="4"/>
      <c r="AN32" s="4"/>
    </row>
    <row r="33" spans="1:40" x14ac:dyDescent="0.2">
      <c r="B33" s="41"/>
      <c r="C33" s="47" t="s">
        <v>43</v>
      </c>
      <c r="D33" s="37"/>
      <c r="E33" s="58" t="s">
        <v>16</v>
      </c>
      <c r="F33" s="20" t="str">
        <f>IF(H34=1,IF(H32=H$2,H32,""),"")</f>
        <v/>
      </c>
      <c r="G33" s="18"/>
      <c r="H33" s="150" t="str">
        <f>IF(E$67="comprobar",COUNTIF(D32:D36,"x"),"")</f>
        <v/>
      </c>
      <c r="Y33" s="4"/>
      <c r="Z33" s="4"/>
      <c r="AA33" s="4"/>
      <c r="AB33" s="4"/>
      <c r="AC33" s="4"/>
      <c r="AD33" s="4"/>
      <c r="AE33" s="4"/>
      <c r="AF33" s="4"/>
      <c r="AG33" s="4"/>
      <c r="AH33" s="4"/>
      <c r="AI33" s="4"/>
      <c r="AJ33" s="4"/>
      <c r="AK33" s="4"/>
      <c r="AL33" s="4"/>
      <c r="AM33" s="4"/>
      <c r="AN33" s="4"/>
    </row>
    <row r="34" spans="1:40" x14ac:dyDescent="0.2">
      <c r="B34" s="41"/>
      <c r="C34" s="47" t="s">
        <v>25</v>
      </c>
      <c r="D34" s="37"/>
      <c r="E34" s="58" t="s">
        <v>17</v>
      </c>
      <c r="F34" s="21" t="str">
        <f>IF(H34=-0.33,IF(H32=H$1,H32,""),"")</f>
        <v/>
      </c>
      <c r="G34" s="18"/>
      <c r="H34" s="151">
        <f t="shared" ref="H34" si="0">IF(H33=1,IF(H32=H$2,1,-0.33),0)</f>
        <v>0</v>
      </c>
      <c r="Y34" s="4"/>
      <c r="Z34" s="4"/>
      <c r="AA34" s="4"/>
      <c r="AB34" s="4"/>
      <c r="AC34" s="4"/>
      <c r="AD34" s="4"/>
      <c r="AE34" s="4"/>
      <c r="AF34" s="4"/>
      <c r="AG34" s="4"/>
      <c r="AH34" s="4"/>
      <c r="AI34" s="4"/>
      <c r="AJ34" s="4"/>
      <c r="AK34" s="4"/>
      <c r="AL34" s="4"/>
      <c r="AM34" s="4"/>
      <c r="AN34" s="4"/>
    </row>
    <row r="35" spans="1:40" x14ac:dyDescent="0.2">
      <c r="B35" s="41"/>
      <c r="C35" s="47" t="s">
        <v>44</v>
      </c>
      <c r="D35" s="37"/>
      <c r="E35" s="58" t="s">
        <v>18</v>
      </c>
      <c r="F35" s="24"/>
      <c r="G35" s="18"/>
      <c r="H35" s="18"/>
      <c r="Y35" s="4"/>
      <c r="Z35" s="4"/>
      <c r="AA35" s="4"/>
      <c r="AB35" s="4"/>
      <c r="AC35" s="4"/>
      <c r="AD35" s="4"/>
      <c r="AE35" s="4"/>
      <c r="AF35" s="4"/>
      <c r="AG35" s="4"/>
      <c r="AH35" s="4"/>
      <c r="AI35" s="4"/>
      <c r="AJ35" s="4"/>
      <c r="AK35" s="4"/>
      <c r="AL35" s="4"/>
      <c r="AM35" s="4"/>
      <c r="AN35" s="4"/>
    </row>
    <row r="36" spans="1:40" x14ac:dyDescent="0.2">
      <c r="B36" s="41"/>
      <c r="C36" s="8" t="s">
        <v>45</v>
      </c>
      <c r="D36" s="37"/>
      <c r="E36" s="58" t="s">
        <v>19</v>
      </c>
      <c r="F36" s="19"/>
      <c r="G36" s="18"/>
      <c r="H36" s="18"/>
      <c r="Y36" s="4"/>
      <c r="Z36" s="4"/>
      <c r="AA36" s="4"/>
      <c r="AB36" s="4"/>
      <c r="AC36" s="4"/>
      <c r="AD36" s="4"/>
      <c r="AE36" s="4"/>
      <c r="AF36" s="4"/>
      <c r="AG36" s="4"/>
      <c r="AH36" s="4"/>
      <c r="AI36" s="4"/>
      <c r="AJ36" s="4"/>
      <c r="AK36" s="4"/>
      <c r="AL36" s="4"/>
      <c r="AM36" s="4"/>
      <c r="AN36" s="4"/>
    </row>
    <row r="37" spans="1:40" s="16" customFormat="1" x14ac:dyDescent="0.2">
      <c r="A37" s="4"/>
      <c r="B37" s="42">
        <v>6</v>
      </c>
      <c r="C37" s="12" t="s">
        <v>46</v>
      </c>
      <c r="D37" s="38"/>
      <c r="E37" s="57"/>
      <c r="F37" s="25"/>
      <c r="G37" s="18"/>
      <c r="H37" s="18"/>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
      <c r="B38" s="44"/>
      <c r="C38" s="46" t="s">
        <v>47</v>
      </c>
      <c r="D38" s="37"/>
      <c r="E38" s="58" t="s">
        <v>15</v>
      </c>
      <c r="F38" s="24"/>
      <c r="G38" s="18"/>
      <c r="H38" s="150" t="b">
        <f>IF(D40="x",H$2,H$1)</f>
        <v>0</v>
      </c>
      <c r="Y38" s="4"/>
      <c r="Z38" s="4"/>
      <c r="AA38" s="4"/>
      <c r="AB38" s="4"/>
      <c r="AC38" s="4"/>
      <c r="AD38" s="4"/>
      <c r="AE38" s="4"/>
      <c r="AF38" s="4"/>
      <c r="AG38" s="4"/>
      <c r="AH38" s="4"/>
      <c r="AI38" s="4"/>
      <c r="AJ38" s="4"/>
      <c r="AK38" s="4"/>
      <c r="AL38" s="4"/>
      <c r="AM38" s="4"/>
      <c r="AN38" s="4"/>
    </row>
    <row r="39" spans="1:40" x14ac:dyDescent="0.2">
      <c r="B39" s="41"/>
      <c r="C39" s="47" t="s">
        <v>48</v>
      </c>
      <c r="D39" s="37"/>
      <c r="E39" s="58" t="s">
        <v>16</v>
      </c>
      <c r="F39" s="20" t="str">
        <f>IF(H40=1,IF(H38=H$2,H38,""),"")</f>
        <v/>
      </c>
      <c r="G39" s="18"/>
      <c r="H39" s="150" t="str">
        <f>IF(E$67="comprobar",COUNTIF(D38:D42,"x"),"")</f>
        <v/>
      </c>
      <c r="Y39" s="4"/>
      <c r="Z39" s="4"/>
      <c r="AA39" s="4"/>
      <c r="AB39" s="4"/>
      <c r="AC39" s="4"/>
      <c r="AD39" s="4"/>
      <c r="AE39" s="4"/>
      <c r="AF39" s="4"/>
      <c r="AG39" s="4"/>
      <c r="AH39" s="4"/>
      <c r="AI39" s="4"/>
      <c r="AJ39" s="4"/>
      <c r="AK39" s="4"/>
      <c r="AL39" s="4"/>
      <c r="AM39" s="4"/>
      <c r="AN39" s="4"/>
    </row>
    <row r="40" spans="1:40" x14ac:dyDescent="0.2">
      <c r="B40" s="41"/>
      <c r="C40" s="47" t="s">
        <v>49</v>
      </c>
      <c r="D40" s="37"/>
      <c r="E40" s="58" t="s">
        <v>17</v>
      </c>
      <c r="F40" s="21" t="str">
        <f>IF(H40=-0.33,IF(H38=H$1,H38,""),"")</f>
        <v/>
      </c>
      <c r="G40" s="18"/>
      <c r="H40" s="151">
        <f>IF(H39=1,IF(H38=H$2,1,-0.33),0)</f>
        <v>0</v>
      </c>
      <c r="Y40" s="4"/>
      <c r="Z40" s="4"/>
      <c r="AA40" s="4"/>
      <c r="AB40" s="4"/>
      <c r="AC40" s="4"/>
      <c r="AD40" s="4"/>
      <c r="AE40" s="4"/>
      <c r="AF40" s="4"/>
      <c r="AG40" s="4"/>
      <c r="AH40" s="4"/>
      <c r="AI40" s="4"/>
      <c r="AJ40" s="4"/>
      <c r="AK40" s="4"/>
      <c r="AL40" s="4"/>
      <c r="AM40" s="4"/>
      <c r="AN40" s="4"/>
    </row>
    <row r="41" spans="1:40" x14ac:dyDescent="0.2">
      <c r="B41" s="41"/>
      <c r="C41" s="47" t="s">
        <v>50</v>
      </c>
      <c r="D41" s="37"/>
      <c r="E41" s="58" t="s">
        <v>18</v>
      </c>
      <c r="F41" s="24"/>
      <c r="G41" s="18"/>
      <c r="H41" s="18"/>
      <c r="Y41" s="4"/>
      <c r="Z41" s="4"/>
      <c r="AA41" s="4"/>
      <c r="AB41" s="4"/>
      <c r="AC41" s="4"/>
      <c r="AD41" s="4"/>
      <c r="AE41" s="4"/>
      <c r="AF41" s="4"/>
      <c r="AG41" s="4"/>
      <c r="AH41" s="4"/>
      <c r="AI41" s="4"/>
      <c r="AJ41" s="4"/>
      <c r="AK41" s="4"/>
      <c r="AL41" s="4"/>
      <c r="AM41" s="4"/>
      <c r="AN41" s="4"/>
    </row>
    <row r="42" spans="1:40" x14ac:dyDescent="0.2">
      <c r="B42" s="41"/>
      <c r="C42" s="8"/>
      <c r="D42" s="37"/>
      <c r="E42" s="58" t="s">
        <v>19</v>
      </c>
      <c r="F42" s="19"/>
      <c r="G42" s="18"/>
      <c r="H42" s="18"/>
      <c r="Y42" s="4"/>
      <c r="Z42" s="4"/>
      <c r="AA42" s="4"/>
      <c r="AB42" s="4"/>
      <c r="AC42" s="4"/>
      <c r="AD42" s="4"/>
      <c r="AE42" s="4"/>
      <c r="AF42" s="4"/>
      <c r="AG42" s="4"/>
      <c r="AH42" s="4"/>
      <c r="AI42" s="4"/>
      <c r="AJ42" s="4"/>
      <c r="AK42" s="4"/>
      <c r="AL42" s="4"/>
      <c r="AM42" s="4"/>
      <c r="AN42" s="4"/>
    </row>
    <row r="43" spans="1:40" s="16" customFormat="1" x14ac:dyDescent="0.2">
      <c r="A43" s="4"/>
      <c r="B43" s="42">
        <v>7</v>
      </c>
      <c r="C43" s="12" t="s">
        <v>46</v>
      </c>
      <c r="D43" s="38"/>
      <c r="E43" s="57"/>
      <c r="F43" s="25"/>
      <c r="G43" s="18"/>
      <c r="H43" s="18"/>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
      <c r="B44" s="44"/>
      <c r="C44" s="46" t="s">
        <v>29</v>
      </c>
      <c r="D44" s="37"/>
      <c r="E44" s="58" t="s">
        <v>15</v>
      </c>
      <c r="F44" s="24"/>
      <c r="G44" s="18"/>
      <c r="H44" s="150" t="b">
        <f>IF(D45="x",H$2,H$1)</f>
        <v>0</v>
      </c>
      <c r="Y44" s="4"/>
      <c r="Z44" s="4"/>
      <c r="AA44" s="4"/>
      <c r="AB44" s="4"/>
      <c r="AC44" s="4"/>
      <c r="AD44" s="4"/>
      <c r="AE44" s="4"/>
      <c r="AF44" s="4"/>
      <c r="AG44" s="4"/>
      <c r="AH44" s="4"/>
      <c r="AI44" s="4"/>
      <c r="AJ44" s="4"/>
      <c r="AK44" s="4"/>
      <c r="AL44" s="4"/>
      <c r="AM44" s="4"/>
      <c r="AN44" s="4"/>
    </row>
    <row r="45" spans="1:40" x14ac:dyDescent="0.2">
      <c r="B45" s="41"/>
      <c r="C45" s="47" t="s">
        <v>51</v>
      </c>
      <c r="D45" s="37"/>
      <c r="E45" s="58" t="s">
        <v>16</v>
      </c>
      <c r="F45" s="20" t="str">
        <f>IF(H46=1,IF(H44=H$2,H44,""),"")</f>
        <v/>
      </c>
      <c r="G45" s="18"/>
      <c r="H45" s="150" t="str">
        <f>IF(E$67="comprobar",COUNTIF(D44:D48,"x"),"")</f>
        <v/>
      </c>
      <c r="Y45" s="4"/>
      <c r="Z45" s="4"/>
      <c r="AA45" s="4"/>
      <c r="AB45" s="4"/>
      <c r="AC45" s="4"/>
      <c r="AD45" s="4"/>
      <c r="AE45" s="4"/>
      <c r="AF45" s="4"/>
      <c r="AG45" s="4"/>
      <c r="AH45" s="4"/>
      <c r="AI45" s="4"/>
      <c r="AJ45" s="4"/>
      <c r="AK45" s="4"/>
      <c r="AL45" s="4"/>
      <c r="AM45" s="4"/>
      <c r="AN45" s="4"/>
    </row>
    <row r="46" spans="1:40" x14ac:dyDescent="0.2">
      <c r="B46" s="41"/>
      <c r="C46" s="47" t="s">
        <v>52</v>
      </c>
      <c r="D46" s="37"/>
      <c r="E46" s="58" t="s">
        <v>17</v>
      </c>
      <c r="F46" s="21" t="str">
        <f>IF(H46=-0.33,IF(H44=H$1,H44,""),"")</f>
        <v/>
      </c>
      <c r="G46" s="18"/>
      <c r="H46" s="151">
        <f>IF(H45=1,IF(H44=H$2,1,-0.33),0)</f>
        <v>0</v>
      </c>
      <c r="Y46" s="4"/>
      <c r="Z46" s="4"/>
      <c r="AA46" s="4"/>
      <c r="AB46" s="4"/>
      <c r="AC46" s="4"/>
      <c r="AD46" s="4"/>
      <c r="AE46" s="4"/>
      <c r="AF46" s="4"/>
      <c r="AG46" s="4"/>
      <c r="AH46" s="4"/>
      <c r="AI46" s="4"/>
      <c r="AJ46" s="4"/>
      <c r="AK46" s="4"/>
      <c r="AL46" s="4"/>
      <c r="AM46" s="4"/>
      <c r="AN46" s="4"/>
    </row>
    <row r="47" spans="1:40" x14ac:dyDescent="0.2">
      <c r="B47" s="41"/>
      <c r="C47" s="47" t="s">
        <v>53</v>
      </c>
      <c r="D47" s="37"/>
      <c r="E47" s="58" t="s">
        <v>18</v>
      </c>
      <c r="F47" s="24"/>
      <c r="G47" s="18"/>
      <c r="H47" s="151"/>
      <c r="Y47" s="4"/>
      <c r="Z47" s="4"/>
      <c r="AA47" s="4"/>
      <c r="AB47" s="4"/>
      <c r="AC47" s="4"/>
      <c r="AD47" s="4"/>
      <c r="AE47" s="4"/>
      <c r="AF47" s="4"/>
      <c r="AG47" s="4"/>
      <c r="AH47" s="4"/>
      <c r="AI47" s="4"/>
      <c r="AJ47" s="4"/>
      <c r="AK47" s="4"/>
      <c r="AL47" s="4"/>
      <c r="AM47" s="4"/>
      <c r="AN47" s="4"/>
    </row>
    <row r="48" spans="1:40" x14ac:dyDescent="0.2">
      <c r="B48" s="41"/>
      <c r="C48" s="8"/>
      <c r="D48" s="37"/>
      <c r="E48" s="58" t="s">
        <v>19</v>
      </c>
      <c r="F48" s="19"/>
      <c r="G48" s="18"/>
      <c r="H48" s="151"/>
      <c r="Y48" s="4"/>
      <c r="Z48" s="4"/>
      <c r="AA48" s="4"/>
      <c r="AB48" s="4"/>
      <c r="AC48" s="4"/>
      <c r="AD48" s="4"/>
      <c r="AE48" s="4"/>
      <c r="AF48" s="4"/>
      <c r="AG48" s="4"/>
      <c r="AH48" s="4"/>
      <c r="AI48" s="4"/>
      <c r="AJ48" s="4"/>
      <c r="AK48" s="4"/>
      <c r="AL48" s="4"/>
      <c r="AM48" s="4"/>
      <c r="AN48" s="4"/>
    </row>
    <row r="49" spans="1:40" s="16" customFormat="1" x14ac:dyDescent="0.2">
      <c r="A49" s="4"/>
      <c r="B49" s="42">
        <v>8</v>
      </c>
      <c r="C49" s="12" t="s">
        <v>54</v>
      </c>
      <c r="D49" s="38"/>
      <c r="E49" s="57"/>
      <c r="F49" s="25"/>
      <c r="G49" s="18"/>
      <c r="H49" s="18"/>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
      <c r="B50" s="44"/>
      <c r="C50" s="46" t="s">
        <v>55</v>
      </c>
      <c r="D50" s="37"/>
      <c r="E50" s="58" t="s">
        <v>15</v>
      </c>
      <c r="F50" s="24"/>
      <c r="G50" s="18"/>
      <c r="H50" s="150" t="b">
        <f>IF(D52="x",H$2,H$1)</f>
        <v>0</v>
      </c>
      <c r="Y50" s="4"/>
      <c r="Z50" s="4"/>
      <c r="AA50" s="4"/>
      <c r="AB50" s="4"/>
      <c r="AC50" s="4"/>
      <c r="AD50" s="4"/>
      <c r="AE50" s="4"/>
      <c r="AF50" s="4"/>
      <c r="AG50" s="4"/>
      <c r="AH50" s="4"/>
      <c r="AI50" s="4"/>
      <c r="AJ50" s="4"/>
      <c r="AK50" s="4"/>
      <c r="AL50" s="4"/>
      <c r="AM50" s="4"/>
      <c r="AN50" s="4"/>
    </row>
    <row r="51" spans="1:40" x14ac:dyDescent="0.2">
      <c r="B51" s="41"/>
      <c r="C51" s="47" t="s">
        <v>56</v>
      </c>
      <c r="D51" s="37"/>
      <c r="E51" s="58" t="s">
        <v>16</v>
      </c>
      <c r="F51" s="20" t="str">
        <f>IF(H52=1,IF(H50=H$2,H50,""),"")</f>
        <v/>
      </c>
      <c r="G51" s="18"/>
      <c r="H51" s="150" t="str">
        <f>IF(E$67="comprobar",COUNTIF(D50:D54,"x"),"")</f>
        <v/>
      </c>
      <c r="Y51" s="4"/>
      <c r="Z51" s="4"/>
      <c r="AA51" s="4"/>
      <c r="AB51" s="4"/>
      <c r="AC51" s="4"/>
      <c r="AD51" s="4"/>
      <c r="AE51" s="4"/>
      <c r="AF51" s="4"/>
      <c r="AG51" s="4"/>
      <c r="AH51" s="4"/>
      <c r="AI51" s="4"/>
      <c r="AJ51" s="4"/>
      <c r="AK51" s="4"/>
      <c r="AL51" s="4"/>
      <c r="AM51" s="4"/>
      <c r="AN51" s="4"/>
    </row>
    <row r="52" spans="1:40" x14ac:dyDescent="0.2">
      <c r="B52" s="41"/>
      <c r="C52" s="47" t="s">
        <v>57</v>
      </c>
      <c r="D52" s="37"/>
      <c r="E52" s="58" t="s">
        <v>17</v>
      </c>
      <c r="F52" s="21" t="str">
        <f>IF(H52=-0.33,IF(H50=H$1,H50,""),"")</f>
        <v/>
      </c>
      <c r="G52" s="18"/>
      <c r="H52" s="151">
        <f>IF(H51=1,IF(H50=H$2,1,-0.33),0)</f>
        <v>0</v>
      </c>
      <c r="Y52" s="4"/>
      <c r="Z52" s="4"/>
      <c r="AA52" s="4"/>
      <c r="AB52" s="4"/>
      <c r="AC52" s="4"/>
      <c r="AD52" s="4"/>
      <c r="AE52" s="4"/>
      <c r="AF52" s="4"/>
      <c r="AG52" s="4"/>
      <c r="AH52" s="4"/>
      <c r="AI52" s="4"/>
      <c r="AJ52" s="4"/>
      <c r="AK52" s="4"/>
      <c r="AL52" s="4"/>
      <c r="AM52" s="4"/>
      <c r="AN52" s="4"/>
    </row>
    <row r="53" spans="1:40" x14ac:dyDescent="0.2">
      <c r="B53" s="41"/>
      <c r="C53" s="47" t="s">
        <v>29</v>
      </c>
      <c r="D53" s="37"/>
      <c r="E53" s="58" t="s">
        <v>18</v>
      </c>
      <c r="F53" s="24"/>
      <c r="G53" s="18"/>
      <c r="H53" s="151"/>
      <c r="Y53" s="4"/>
      <c r="Z53" s="4"/>
      <c r="AA53" s="4"/>
      <c r="AB53" s="4"/>
      <c r="AC53" s="4"/>
      <c r="AD53" s="4"/>
      <c r="AE53" s="4"/>
      <c r="AF53" s="4"/>
      <c r="AG53" s="4"/>
      <c r="AH53" s="4"/>
      <c r="AI53" s="4"/>
      <c r="AJ53" s="4"/>
      <c r="AK53" s="4"/>
      <c r="AL53" s="4"/>
      <c r="AM53" s="4"/>
      <c r="AN53" s="4"/>
    </row>
    <row r="54" spans="1:40" x14ac:dyDescent="0.2">
      <c r="B54" s="41"/>
      <c r="C54" s="8"/>
      <c r="D54" s="37"/>
      <c r="E54" s="58" t="s">
        <v>19</v>
      </c>
      <c r="F54" s="19"/>
      <c r="G54" s="18"/>
      <c r="H54" s="151"/>
      <c r="Y54" s="4"/>
      <c r="Z54" s="4"/>
      <c r="AA54" s="4"/>
      <c r="AB54" s="4"/>
      <c r="AC54" s="4"/>
      <c r="AD54" s="4"/>
      <c r="AE54" s="4"/>
      <c r="AF54" s="4"/>
      <c r="AG54" s="4"/>
      <c r="AH54" s="4"/>
      <c r="AI54" s="4"/>
      <c r="AJ54" s="4"/>
      <c r="AK54" s="4"/>
      <c r="AL54" s="4"/>
      <c r="AM54" s="4"/>
      <c r="AN54" s="4"/>
    </row>
    <row r="55" spans="1:40" s="16" customFormat="1" ht="48" x14ac:dyDescent="0.2">
      <c r="A55" s="4"/>
      <c r="B55" s="42">
        <v>9</v>
      </c>
      <c r="C55" s="31" t="s">
        <v>58</v>
      </c>
      <c r="D55" s="38"/>
      <c r="E55" s="57"/>
      <c r="F55" s="25"/>
      <c r="G55" s="18"/>
      <c r="H55" s="18"/>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
      <c r="B56" s="44"/>
      <c r="C56" s="46" t="s">
        <v>59</v>
      </c>
      <c r="D56" s="37"/>
      <c r="E56" s="58" t="s">
        <v>15</v>
      </c>
      <c r="F56" s="24"/>
      <c r="G56" s="18"/>
      <c r="H56" s="150" t="b">
        <f>IF(D56="x",H$2,H$1)</f>
        <v>0</v>
      </c>
      <c r="Y56" s="4"/>
      <c r="Z56" s="4"/>
      <c r="AA56" s="4"/>
      <c r="AB56" s="4"/>
      <c r="AC56" s="4"/>
      <c r="AD56" s="4"/>
      <c r="AE56" s="4"/>
      <c r="AF56" s="4"/>
      <c r="AG56" s="4"/>
      <c r="AH56" s="4"/>
      <c r="AI56" s="4"/>
      <c r="AJ56" s="4"/>
      <c r="AK56" s="4"/>
      <c r="AL56" s="4"/>
      <c r="AM56" s="4"/>
      <c r="AN56" s="4"/>
    </row>
    <row r="57" spans="1:40" x14ac:dyDescent="0.2">
      <c r="B57" s="41"/>
      <c r="C57" s="47" t="s">
        <v>60</v>
      </c>
      <c r="D57" s="37"/>
      <c r="E57" s="58" t="s">
        <v>16</v>
      </c>
      <c r="F57" s="20" t="str">
        <f>IF(H58=1,IF(H56=H$2,H56,""),"")</f>
        <v/>
      </c>
      <c r="G57" s="18"/>
      <c r="H57" s="150" t="str">
        <f>IF(E$67="comprobar",COUNTIF(D56:D60,"x"),"")</f>
        <v/>
      </c>
      <c r="Y57" s="4"/>
      <c r="Z57" s="4"/>
      <c r="AA57" s="4"/>
      <c r="AB57" s="4"/>
      <c r="AC57" s="4"/>
      <c r="AD57" s="4"/>
      <c r="AE57" s="4"/>
      <c r="AF57" s="4"/>
      <c r="AG57" s="4"/>
      <c r="AH57" s="4"/>
      <c r="AI57" s="4"/>
      <c r="AJ57" s="4"/>
      <c r="AK57" s="4"/>
      <c r="AL57" s="4"/>
      <c r="AM57" s="4"/>
      <c r="AN57" s="4"/>
    </row>
    <row r="58" spans="1:40" x14ac:dyDescent="0.2">
      <c r="B58" s="41"/>
      <c r="C58" s="47" t="s">
        <v>61</v>
      </c>
      <c r="D58" s="37"/>
      <c r="E58" s="58" t="s">
        <v>17</v>
      </c>
      <c r="F58" s="21" t="str">
        <f>IF(H58=-0.33,IF(H56=H$1,H56,""),"")</f>
        <v/>
      </c>
      <c r="G58" s="18"/>
      <c r="H58" s="151">
        <f>IF(H57=1,IF(H56=H$2,1,-0.33),0)</f>
        <v>0</v>
      </c>
      <c r="Y58" s="4"/>
      <c r="Z58" s="4"/>
      <c r="AA58" s="4"/>
      <c r="AB58" s="4"/>
      <c r="AC58" s="4"/>
      <c r="AD58" s="4"/>
      <c r="AE58" s="4"/>
      <c r="AF58" s="4"/>
      <c r="AG58" s="4"/>
      <c r="AH58" s="4"/>
      <c r="AI58" s="4"/>
      <c r="AJ58" s="4"/>
      <c r="AK58" s="4"/>
      <c r="AL58" s="4"/>
      <c r="AM58" s="4"/>
      <c r="AN58" s="4"/>
    </row>
    <row r="59" spans="1:40" x14ac:dyDescent="0.2">
      <c r="B59" s="41"/>
      <c r="C59" s="47" t="s">
        <v>29</v>
      </c>
      <c r="D59" s="37"/>
      <c r="E59" s="58" t="s">
        <v>18</v>
      </c>
      <c r="F59" s="24"/>
      <c r="G59" s="18"/>
      <c r="H59" s="150"/>
      <c r="Y59" s="4"/>
      <c r="Z59" s="4"/>
      <c r="AA59" s="4"/>
      <c r="AB59" s="4"/>
      <c r="AC59" s="4"/>
      <c r="AD59" s="4"/>
      <c r="AE59" s="4"/>
      <c r="AF59" s="4"/>
      <c r="AG59" s="4"/>
      <c r="AH59" s="4"/>
      <c r="AI59" s="4"/>
      <c r="AJ59" s="4"/>
      <c r="AK59" s="4"/>
      <c r="AL59" s="4"/>
      <c r="AM59" s="4"/>
      <c r="AN59" s="4"/>
    </row>
    <row r="60" spans="1:40" x14ac:dyDescent="0.2">
      <c r="B60" s="41"/>
      <c r="C60" s="8"/>
      <c r="D60" s="37"/>
      <c r="E60" s="58" t="s">
        <v>19</v>
      </c>
      <c r="F60" s="19"/>
      <c r="G60" s="18"/>
      <c r="H60" s="18"/>
      <c r="Y60" s="4"/>
      <c r="Z60" s="4"/>
      <c r="AA60" s="4"/>
      <c r="AB60" s="4"/>
      <c r="AC60" s="4"/>
      <c r="AD60" s="4"/>
      <c r="AE60" s="4"/>
      <c r="AF60" s="4"/>
      <c r="AG60" s="4"/>
      <c r="AH60" s="4"/>
      <c r="AI60" s="4"/>
      <c r="AJ60" s="4"/>
      <c r="AK60" s="4"/>
      <c r="AL60" s="4"/>
      <c r="AM60" s="4"/>
      <c r="AN60" s="4"/>
    </row>
    <row r="61" spans="1:40" s="16" customFormat="1" x14ac:dyDescent="0.2">
      <c r="A61" s="4"/>
      <c r="B61" s="42">
        <v>10</v>
      </c>
      <c r="C61" s="12" t="s">
        <v>62</v>
      </c>
      <c r="D61" s="38"/>
      <c r="E61" s="57"/>
      <c r="F61" s="25"/>
      <c r="G61" s="152"/>
      <c r="H61" s="152"/>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
      <c r="B62" s="44"/>
      <c r="C62" s="46" t="s">
        <v>63</v>
      </c>
      <c r="D62" s="37"/>
      <c r="E62" s="58" t="s">
        <v>15</v>
      </c>
      <c r="F62" s="24"/>
      <c r="G62" s="152"/>
      <c r="H62" s="150" t="b">
        <f>IF(D64="x",H$2,H$1)</f>
        <v>0</v>
      </c>
      <c r="Y62" s="4"/>
      <c r="Z62" s="4"/>
      <c r="AA62" s="4"/>
      <c r="AB62" s="4"/>
      <c r="AC62" s="4"/>
      <c r="AD62" s="4"/>
      <c r="AE62" s="4"/>
      <c r="AF62" s="4"/>
      <c r="AG62" s="4"/>
      <c r="AH62" s="4"/>
      <c r="AI62" s="4"/>
      <c r="AJ62" s="4"/>
      <c r="AK62" s="4"/>
      <c r="AL62" s="4"/>
      <c r="AM62" s="4"/>
      <c r="AN62" s="4"/>
    </row>
    <row r="63" spans="1:40" x14ac:dyDescent="0.2">
      <c r="B63" s="41"/>
      <c r="C63" s="47" t="s">
        <v>64</v>
      </c>
      <c r="D63" s="37"/>
      <c r="E63" s="58" t="s">
        <v>16</v>
      </c>
      <c r="F63" s="20" t="str">
        <f>IF(H64=1,IF(H62=H$2,H62,""),"")</f>
        <v/>
      </c>
      <c r="G63" s="152"/>
      <c r="H63" s="150" t="str">
        <f>IF(E$67="comprobar",COUNTIF(D62:D66,"x"),"")</f>
        <v/>
      </c>
      <c r="Y63" s="4"/>
      <c r="Z63" s="4"/>
      <c r="AA63" s="4"/>
      <c r="AB63" s="4"/>
      <c r="AC63" s="4"/>
      <c r="AD63" s="4"/>
      <c r="AE63" s="4"/>
      <c r="AF63" s="4"/>
      <c r="AG63" s="4"/>
      <c r="AH63" s="4"/>
      <c r="AI63" s="4"/>
      <c r="AJ63" s="4"/>
      <c r="AK63" s="4"/>
      <c r="AL63" s="4"/>
      <c r="AM63" s="4"/>
      <c r="AN63" s="4"/>
    </row>
    <row r="64" spans="1:40" x14ac:dyDescent="0.2">
      <c r="B64" s="41"/>
      <c r="C64" s="47" t="s">
        <v>65</v>
      </c>
      <c r="D64" s="37"/>
      <c r="E64" s="58" t="s">
        <v>17</v>
      </c>
      <c r="F64" s="21" t="str">
        <f>IF(H64=-0.33,IF(H62=H$1,H62,""),"")</f>
        <v/>
      </c>
      <c r="G64" s="152"/>
      <c r="H64" s="151">
        <f>IF(H63=1,IF(H62=H$2,1,-0.33),0)</f>
        <v>0</v>
      </c>
      <c r="Y64" s="4"/>
      <c r="Z64" s="4"/>
      <c r="AA64" s="4"/>
      <c r="AB64" s="4"/>
      <c r="AC64" s="4"/>
      <c r="AD64" s="4"/>
      <c r="AE64" s="4"/>
      <c r="AF64" s="4"/>
      <c r="AG64" s="4"/>
      <c r="AH64" s="4"/>
      <c r="AI64" s="4"/>
      <c r="AJ64" s="4"/>
      <c r="AK64" s="4"/>
      <c r="AL64" s="4"/>
      <c r="AM64" s="4"/>
      <c r="AN64" s="4"/>
    </row>
    <row r="65" spans="1:40" x14ac:dyDescent="0.2">
      <c r="B65" s="41"/>
      <c r="C65" s="47" t="s">
        <v>66</v>
      </c>
      <c r="D65" s="37"/>
      <c r="E65" s="58" t="s">
        <v>18</v>
      </c>
      <c r="F65" s="24"/>
      <c r="G65" s="152"/>
      <c r="H65" s="151"/>
      <c r="Y65" s="4"/>
      <c r="Z65" s="4"/>
      <c r="AA65" s="4"/>
      <c r="AB65" s="4"/>
      <c r="AC65" s="4"/>
      <c r="AD65" s="4"/>
      <c r="AE65" s="4"/>
      <c r="AF65" s="4"/>
      <c r="AG65" s="4"/>
      <c r="AH65" s="4"/>
      <c r="AI65" s="4"/>
      <c r="AJ65" s="4"/>
      <c r="AK65" s="4"/>
      <c r="AL65" s="4"/>
      <c r="AM65" s="4"/>
      <c r="AN65" s="4"/>
    </row>
    <row r="66" spans="1:40" x14ac:dyDescent="0.2">
      <c r="B66" s="41"/>
      <c r="C66" s="8" t="s">
        <v>67</v>
      </c>
      <c r="D66" s="37"/>
      <c r="E66" s="58" t="s">
        <v>19</v>
      </c>
      <c r="F66" s="19"/>
      <c r="G66" s="152"/>
      <c r="H66" s="151"/>
      <c r="Y66" s="4"/>
      <c r="Z66" s="4"/>
      <c r="AA66" s="4"/>
      <c r="AB66" s="4"/>
      <c r="AC66" s="4"/>
      <c r="AD66" s="4"/>
      <c r="AE66" s="4"/>
      <c r="AF66" s="4"/>
      <c r="AG66" s="4"/>
      <c r="AH66" s="4"/>
      <c r="AI66" s="4"/>
      <c r="AJ66" s="4"/>
      <c r="AK66" s="4"/>
      <c r="AL66" s="4"/>
      <c r="AM66" s="4"/>
      <c r="AN66" s="4"/>
    </row>
    <row r="67" spans="1:40" x14ac:dyDescent="0.2">
      <c r="B67" s="44"/>
      <c r="D67" s="53"/>
      <c r="E67" s="59"/>
      <c r="F67" s="19"/>
      <c r="G67" s="18"/>
      <c r="H67" s="18"/>
      <c r="Y67" s="4"/>
      <c r="Z67" s="4"/>
      <c r="AA67" s="4"/>
      <c r="AB67" s="4"/>
      <c r="AC67" s="4"/>
      <c r="AD67" s="4"/>
      <c r="AE67" s="4"/>
      <c r="AF67" s="4"/>
      <c r="AG67" s="4"/>
      <c r="AH67" s="4"/>
      <c r="AI67" s="4"/>
      <c r="AJ67" s="4"/>
      <c r="AK67" s="4"/>
      <c r="AL67" s="4"/>
      <c r="AM67" s="4"/>
      <c r="AN67" s="4"/>
    </row>
    <row r="68" spans="1:40" x14ac:dyDescent="0.2">
      <c r="B68" s="44"/>
      <c r="D68" s="53"/>
      <c r="E68" s="62"/>
      <c r="F68" s="26" t="s">
        <v>8</v>
      </c>
      <c r="G68" s="18" t="s">
        <v>6</v>
      </c>
      <c r="H68" s="18" t="s">
        <v>7</v>
      </c>
      <c r="Y68" s="4"/>
      <c r="Z68" s="4"/>
      <c r="AA68" s="4"/>
      <c r="AB68" s="4"/>
      <c r="AC68" s="4"/>
      <c r="AD68" s="4"/>
      <c r="AE68" s="4"/>
      <c r="AF68" s="4"/>
      <c r="AG68" s="4"/>
      <c r="AH68" s="4"/>
      <c r="AI68" s="4"/>
      <c r="AJ68" s="4"/>
      <c r="AK68" s="4"/>
      <c r="AL68" s="4"/>
      <c r="AM68" s="4"/>
      <c r="AN68" s="4"/>
    </row>
    <row r="69" spans="1:40" ht="20" x14ac:dyDescent="0.2">
      <c r="B69" s="44"/>
      <c r="C69" s="75"/>
      <c r="D69" s="193"/>
      <c r="E69" s="193"/>
      <c r="F69" s="27" t="str">
        <f>IF(E67="comprobar",H64+H58+H52+H46+H40+H34+H28+H22+H16+H10,"")</f>
        <v/>
      </c>
      <c r="G69" s="18">
        <f>10/2</f>
        <v>5</v>
      </c>
      <c r="H69" s="18"/>
      <c r="Y69" s="4"/>
      <c r="Z69" s="4"/>
      <c r="AA69" s="4"/>
      <c r="AB69" s="4"/>
      <c r="AC69" s="4"/>
      <c r="AD69" s="4"/>
      <c r="AE69" s="4"/>
      <c r="AF69" s="4"/>
      <c r="AG69" s="4"/>
      <c r="AH69" s="4"/>
      <c r="AI69" s="4"/>
      <c r="AJ69" s="4"/>
      <c r="AK69" s="4"/>
      <c r="AL69" s="4"/>
      <c r="AM69" s="4"/>
      <c r="AN69" s="4"/>
    </row>
    <row r="70" spans="1:40" ht="17" thickBot="1" x14ac:dyDescent="0.25">
      <c r="B70" s="45"/>
      <c r="C70" s="28"/>
      <c r="D70" s="29"/>
      <c r="E70" s="60"/>
      <c r="F70" s="30" t="str">
        <f>IF(F69&gt;G69,G68,H68)</f>
        <v>APROBADO</v>
      </c>
      <c r="G70" s="18"/>
      <c r="H70" s="18"/>
      <c r="Y70" s="4"/>
      <c r="Z70" s="4"/>
      <c r="AA70" s="4"/>
      <c r="AB70" s="4"/>
      <c r="AC70" s="4"/>
      <c r="AD70" s="4"/>
      <c r="AE70" s="4"/>
      <c r="AF70" s="4"/>
      <c r="AG70" s="4"/>
      <c r="AH70" s="4"/>
      <c r="AI70" s="4"/>
      <c r="AJ70" s="4"/>
      <c r="AK70" s="4"/>
      <c r="AL70" s="4"/>
      <c r="AM70" s="4"/>
      <c r="AN70" s="4"/>
    </row>
    <row r="71" spans="1:40" ht="29" x14ac:dyDescent="0.35">
      <c r="B71" s="177" t="s">
        <v>21</v>
      </c>
      <c r="C71" s="198" t="s">
        <v>9</v>
      </c>
      <c r="D71" s="198"/>
      <c r="E71" s="198"/>
      <c r="F71" s="199"/>
      <c r="G71" s="18"/>
      <c r="H71" s="18"/>
      <c r="Y71" s="4"/>
      <c r="Z71" s="4"/>
      <c r="AA71" s="4"/>
      <c r="AB71" s="4"/>
      <c r="AC71" s="4"/>
      <c r="AD71" s="4"/>
      <c r="AE71" s="4"/>
      <c r="AF71" s="4"/>
      <c r="AG71" s="4"/>
      <c r="AH71" s="4"/>
      <c r="AI71" s="4"/>
      <c r="AJ71" s="4"/>
      <c r="AK71" s="4"/>
      <c r="AL71" s="4"/>
      <c r="AM71" s="4"/>
      <c r="AN71" s="4"/>
    </row>
    <row r="72" spans="1:40" s="16" customFormat="1" x14ac:dyDescent="0.2">
      <c r="A72" s="4"/>
      <c r="B72" s="42">
        <v>1</v>
      </c>
      <c r="C72" s="12" t="s">
        <v>68</v>
      </c>
      <c r="D72" s="38"/>
      <c r="E72" s="57"/>
      <c r="F72" s="25"/>
      <c r="G72" s="18"/>
      <c r="H72" s="18"/>
      <c r="I72" s="4"/>
      <c r="J72" s="4"/>
      <c r="K72" s="4"/>
      <c r="L72" s="4"/>
      <c r="M72" s="4"/>
      <c r="N72" s="4"/>
      <c r="O72" s="4"/>
      <c r="P72" s="4"/>
      <c r="Q72" s="4"/>
      <c r="R72" s="4"/>
      <c r="S72" s="4"/>
      <c r="T72" s="4"/>
      <c r="U72" s="4"/>
      <c r="V72" s="4"/>
      <c r="W72" s="4"/>
      <c r="X72" s="4"/>
    </row>
    <row r="73" spans="1:40" x14ac:dyDescent="0.2">
      <c r="B73" s="44"/>
      <c r="C73" s="46" t="s">
        <v>69</v>
      </c>
      <c r="D73" s="37"/>
      <c r="E73" s="58" t="s">
        <v>15</v>
      </c>
      <c r="F73" s="24"/>
      <c r="G73" s="18"/>
      <c r="H73" s="150" t="b">
        <f>IF(D74="x",H$2,H$1)</f>
        <v>0</v>
      </c>
      <c r="Y73" s="4"/>
      <c r="Z73" s="4"/>
      <c r="AA73" s="4"/>
      <c r="AB73" s="4"/>
      <c r="AC73" s="4"/>
      <c r="AD73" s="4"/>
      <c r="AE73" s="4"/>
      <c r="AF73" s="4"/>
      <c r="AG73" s="4"/>
      <c r="AH73" s="4"/>
      <c r="AI73" s="4"/>
      <c r="AJ73" s="4"/>
      <c r="AK73" s="4"/>
      <c r="AL73" s="4"/>
      <c r="AM73" s="4"/>
      <c r="AN73" s="4"/>
    </row>
    <row r="74" spans="1:40" x14ac:dyDescent="0.2">
      <c r="B74" s="41"/>
      <c r="C74" s="47" t="s">
        <v>70</v>
      </c>
      <c r="D74" s="37"/>
      <c r="E74" s="58" t="s">
        <v>16</v>
      </c>
      <c r="F74" s="20" t="str">
        <f>IF(H75=1,IF(H73=H$2,H73,""),"")</f>
        <v/>
      </c>
      <c r="G74" s="18"/>
      <c r="H74" s="150" t="str">
        <f>IF(E$132="comprobar",COUNTIF(D73:D77,"x"),"")</f>
        <v/>
      </c>
      <c r="Y74" s="4"/>
      <c r="Z74" s="4"/>
      <c r="AA74" s="4"/>
      <c r="AB74" s="4"/>
      <c r="AC74" s="4"/>
      <c r="AD74" s="4"/>
      <c r="AE74" s="4"/>
      <c r="AF74" s="4"/>
      <c r="AG74" s="4"/>
      <c r="AH74" s="4"/>
      <c r="AI74" s="4"/>
      <c r="AJ74" s="4"/>
      <c r="AK74" s="4"/>
      <c r="AL74" s="4"/>
      <c r="AM74" s="4"/>
      <c r="AN74" s="4"/>
    </row>
    <row r="75" spans="1:40" x14ac:dyDescent="0.2">
      <c r="B75" s="41"/>
      <c r="C75" s="47" t="s">
        <v>71</v>
      </c>
      <c r="D75" s="37"/>
      <c r="E75" s="58" t="s">
        <v>17</v>
      </c>
      <c r="F75" s="21" t="str">
        <f>IF(H75=-0.33,IF(H73=H$1,H73,""),"")</f>
        <v/>
      </c>
      <c r="G75" s="18"/>
      <c r="H75" s="151">
        <f>IF(H74=1,IF(H73=H$2,1,-0.33),0)</f>
        <v>0</v>
      </c>
      <c r="Y75" s="4"/>
      <c r="Z75" s="4"/>
      <c r="AA75" s="4"/>
      <c r="AB75" s="4"/>
      <c r="AC75" s="4"/>
      <c r="AD75" s="4"/>
      <c r="AE75" s="4"/>
      <c r="AF75" s="4"/>
      <c r="AG75" s="4"/>
      <c r="AH75" s="4"/>
      <c r="AI75" s="4"/>
      <c r="AJ75" s="4"/>
      <c r="AK75" s="4"/>
      <c r="AL75" s="4"/>
      <c r="AM75" s="4"/>
      <c r="AN75" s="4"/>
    </row>
    <row r="76" spans="1:40" x14ac:dyDescent="0.2">
      <c r="B76" s="41"/>
      <c r="C76" s="47" t="s">
        <v>72</v>
      </c>
      <c r="D76" s="37"/>
      <c r="E76" s="58" t="s">
        <v>18</v>
      </c>
      <c r="F76" s="24"/>
      <c r="G76" s="18"/>
      <c r="H76" s="151"/>
      <c r="Y76" s="4"/>
      <c r="Z76" s="4"/>
      <c r="AA76" s="4"/>
      <c r="AB76" s="4"/>
      <c r="AC76" s="4"/>
      <c r="AD76" s="4"/>
      <c r="AE76" s="4"/>
      <c r="AF76" s="4"/>
      <c r="AG76" s="4"/>
      <c r="AH76" s="4"/>
      <c r="AI76" s="4"/>
      <c r="AJ76" s="4"/>
      <c r="AK76" s="4"/>
      <c r="AL76" s="4"/>
      <c r="AM76" s="4"/>
      <c r="AN76" s="4"/>
    </row>
    <row r="77" spans="1:40" x14ac:dyDescent="0.2">
      <c r="B77" s="41"/>
      <c r="C77" s="8"/>
      <c r="D77" s="37"/>
      <c r="E77" s="58" t="s">
        <v>19</v>
      </c>
      <c r="F77" s="19"/>
      <c r="G77" s="18"/>
      <c r="H77" s="151"/>
      <c r="Y77" s="4"/>
      <c r="Z77" s="4"/>
      <c r="AA77" s="4"/>
      <c r="AB77" s="4"/>
      <c r="AC77" s="4"/>
      <c r="AD77" s="4"/>
      <c r="AE77" s="4"/>
      <c r="AF77" s="4"/>
      <c r="AG77" s="4"/>
      <c r="AH77" s="4"/>
      <c r="AI77" s="4"/>
      <c r="AJ77" s="4"/>
      <c r="AK77" s="4"/>
      <c r="AL77" s="4"/>
      <c r="AM77" s="4"/>
      <c r="AN77" s="4"/>
    </row>
    <row r="78" spans="1:40" s="32" customFormat="1" x14ac:dyDescent="0.2">
      <c r="A78" s="4"/>
      <c r="B78" s="42">
        <v>2</v>
      </c>
      <c r="C78" s="12" t="s">
        <v>73</v>
      </c>
      <c r="D78" s="38"/>
      <c r="E78" s="57"/>
      <c r="F78" s="25"/>
      <c r="G78" s="18"/>
      <c r="H78" s="18"/>
      <c r="I78" s="153"/>
      <c r="J78" s="153"/>
      <c r="K78" s="153"/>
      <c r="L78" s="153"/>
      <c r="M78" s="153"/>
      <c r="N78" s="153"/>
      <c r="O78" s="153"/>
      <c r="P78" s="153"/>
      <c r="Q78" s="153"/>
      <c r="R78" s="153"/>
      <c r="S78" s="153"/>
      <c r="T78" s="153"/>
      <c r="U78" s="153"/>
      <c r="V78" s="153"/>
      <c r="W78" s="153"/>
      <c r="X78" s="153"/>
    </row>
    <row r="79" spans="1:40" x14ac:dyDescent="0.2">
      <c r="B79" s="44"/>
      <c r="C79" s="46" t="s">
        <v>74</v>
      </c>
      <c r="D79" s="37"/>
      <c r="E79" s="58" t="s">
        <v>15</v>
      </c>
      <c r="F79" s="24"/>
      <c r="G79" s="18"/>
      <c r="H79" s="150" t="b">
        <f>IF(D81="x",H$2,H$1)</f>
        <v>0</v>
      </c>
      <c r="Y79" s="4"/>
      <c r="Z79" s="4"/>
      <c r="AA79" s="4"/>
      <c r="AB79" s="4"/>
      <c r="AC79" s="4"/>
      <c r="AD79" s="4"/>
      <c r="AE79" s="4"/>
      <c r="AF79" s="4"/>
      <c r="AG79" s="4"/>
      <c r="AH79" s="4"/>
      <c r="AI79" s="4"/>
      <c r="AJ79" s="4"/>
      <c r="AK79" s="4"/>
      <c r="AL79" s="4"/>
      <c r="AM79" s="4"/>
      <c r="AN79" s="4"/>
    </row>
    <row r="80" spans="1:40" x14ac:dyDescent="0.2">
      <c r="B80" s="41"/>
      <c r="C80" s="47" t="s">
        <v>75</v>
      </c>
      <c r="D80" s="37"/>
      <c r="E80" s="58" t="s">
        <v>16</v>
      </c>
      <c r="F80" s="20" t="str">
        <f>IF(H81=1,IF(H79=H$2,H79,""),"")</f>
        <v/>
      </c>
      <c r="G80" s="18"/>
      <c r="H80" s="150" t="str">
        <f>IF(E$132="comprobar",COUNTIF(D79:D83,"x"),"")</f>
        <v/>
      </c>
      <c r="Y80" s="4"/>
      <c r="Z80" s="4"/>
      <c r="AA80" s="4"/>
      <c r="AB80" s="4"/>
      <c r="AC80" s="4"/>
      <c r="AD80" s="4"/>
      <c r="AE80" s="4"/>
      <c r="AF80" s="4"/>
      <c r="AG80" s="4"/>
      <c r="AH80" s="4"/>
      <c r="AI80" s="4"/>
      <c r="AJ80" s="4"/>
      <c r="AK80" s="4"/>
      <c r="AL80" s="4"/>
      <c r="AM80" s="4"/>
      <c r="AN80" s="4"/>
    </row>
    <row r="81" spans="1:40" x14ac:dyDescent="0.2">
      <c r="B81" s="41"/>
      <c r="C81" s="47" t="s">
        <v>76</v>
      </c>
      <c r="D81" s="37"/>
      <c r="E81" s="58" t="s">
        <v>17</v>
      </c>
      <c r="F81" s="21" t="str">
        <f>IF(H81=-0.33,IF(H79=H$1,H79,""),"")</f>
        <v/>
      </c>
      <c r="G81" s="18"/>
      <c r="H81" s="151">
        <f t="shared" ref="H81" si="1">IF(H80=1,IF(H79=H$2,1,-0.33),0)</f>
        <v>0</v>
      </c>
      <c r="Y81" s="4"/>
      <c r="Z81" s="4"/>
      <c r="AA81" s="4"/>
      <c r="AB81" s="4"/>
      <c r="AC81" s="4"/>
      <c r="AD81" s="4"/>
      <c r="AE81" s="4"/>
      <c r="AF81" s="4"/>
      <c r="AG81" s="4"/>
      <c r="AH81" s="4"/>
      <c r="AI81" s="4"/>
      <c r="AJ81" s="4"/>
      <c r="AK81" s="4"/>
      <c r="AL81" s="4"/>
      <c r="AM81" s="4"/>
      <c r="AN81" s="4"/>
    </row>
    <row r="82" spans="1:40" x14ac:dyDescent="0.2">
      <c r="B82" s="41"/>
      <c r="C82" s="47" t="s">
        <v>77</v>
      </c>
      <c r="D82" s="37"/>
      <c r="E82" s="58" t="s">
        <v>18</v>
      </c>
      <c r="F82" s="24"/>
      <c r="G82" s="18"/>
      <c r="H82" s="151"/>
      <c r="Y82" s="4"/>
      <c r="Z82" s="4"/>
      <c r="AA82" s="4"/>
      <c r="AB82" s="4"/>
      <c r="AC82" s="4"/>
      <c r="AD82" s="4"/>
      <c r="AE82" s="4"/>
      <c r="AF82" s="4"/>
      <c r="AG82" s="4"/>
      <c r="AH82" s="4"/>
      <c r="AI82" s="4"/>
      <c r="AJ82" s="4"/>
      <c r="AK82" s="4"/>
      <c r="AL82" s="4"/>
      <c r="AM82" s="4"/>
      <c r="AN82" s="4"/>
    </row>
    <row r="83" spans="1:40" x14ac:dyDescent="0.2">
      <c r="B83" s="41"/>
      <c r="C83" s="8"/>
      <c r="D83" s="37"/>
      <c r="E83" s="58" t="s">
        <v>19</v>
      </c>
      <c r="F83" s="19"/>
      <c r="G83" s="18"/>
      <c r="H83" s="151"/>
      <c r="Y83" s="4"/>
      <c r="Z83" s="4"/>
      <c r="AA83" s="4"/>
      <c r="AB83" s="4"/>
      <c r="AC83" s="4"/>
      <c r="AD83" s="4"/>
      <c r="AE83" s="4"/>
      <c r="AF83" s="4"/>
      <c r="AG83" s="4"/>
      <c r="AH83" s="4"/>
      <c r="AI83" s="4"/>
      <c r="AJ83" s="4"/>
      <c r="AK83" s="4"/>
      <c r="AL83" s="4"/>
      <c r="AM83" s="4"/>
      <c r="AN83" s="4"/>
    </row>
    <row r="84" spans="1:40" s="32" customFormat="1" x14ac:dyDescent="0.2">
      <c r="A84" s="155"/>
      <c r="B84" s="42">
        <v>3</v>
      </c>
      <c r="C84" s="12" t="s">
        <v>78</v>
      </c>
      <c r="D84" s="63"/>
      <c r="E84" s="61"/>
      <c r="F84" s="55"/>
      <c r="G84" s="154"/>
      <c r="H84" s="154"/>
      <c r="I84" s="153"/>
      <c r="J84" s="153"/>
      <c r="K84" s="153"/>
      <c r="L84" s="153"/>
      <c r="M84" s="153"/>
      <c r="N84" s="153"/>
      <c r="O84" s="153"/>
      <c r="P84" s="153"/>
      <c r="Q84" s="153"/>
      <c r="R84" s="153"/>
      <c r="S84" s="153"/>
      <c r="T84" s="153"/>
      <c r="U84" s="153"/>
      <c r="V84" s="153"/>
      <c r="W84" s="153"/>
      <c r="X84" s="153"/>
    </row>
    <row r="85" spans="1:40" x14ac:dyDescent="0.2">
      <c r="B85" s="44"/>
      <c r="C85" s="46" t="s">
        <v>79</v>
      </c>
      <c r="D85" s="37"/>
      <c r="E85" s="58" t="s">
        <v>15</v>
      </c>
      <c r="F85" s="24"/>
      <c r="G85" s="18"/>
      <c r="H85" s="150" t="b">
        <f>IF(D88="x",H$2,H$1)</f>
        <v>0</v>
      </c>
      <c r="Y85" s="4"/>
      <c r="Z85" s="4"/>
      <c r="AA85" s="4"/>
      <c r="AB85" s="4"/>
      <c r="AC85" s="4"/>
      <c r="AD85" s="4"/>
      <c r="AE85" s="4"/>
      <c r="AF85" s="4"/>
      <c r="AG85" s="4"/>
      <c r="AH85" s="4"/>
      <c r="AI85" s="4"/>
      <c r="AJ85" s="4"/>
      <c r="AK85" s="4"/>
      <c r="AL85" s="4"/>
      <c r="AM85" s="4"/>
      <c r="AN85" s="4"/>
    </row>
    <row r="86" spans="1:40" x14ac:dyDescent="0.2">
      <c r="B86" s="41"/>
      <c r="C86" s="47" t="s">
        <v>80</v>
      </c>
      <c r="D86" s="37"/>
      <c r="E86" s="58" t="s">
        <v>16</v>
      </c>
      <c r="F86" s="20" t="str">
        <f>IF(H87=1,IF(H85=H$2,H85,""),"")</f>
        <v/>
      </c>
      <c r="G86" s="18"/>
      <c r="H86" s="150" t="str">
        <f>IF(E$132="comprobar",COUNTIF(D85:D89,"x"),"")</f>
        <v/>
      </c>
      <c r="Y86" s="4"/>
      <c r="Z86" s="4"/>
      <c r="AA86" s="4"/>
      <c r="AB86" s="4"/>
      <c r="AC86" s="4"/>
      <c r="AD86" s="4"/>
      <c r="AE86" s="4"/>
      <c r="AF86" s="4"/>
      <c r="AG86" s="4"/>
      <c r="AH86" s="4"/>
      <c r="AI86" s="4"/>
      <c r="AJ86" s="4"/>
      <c r="AK86" s="4"/>
      <c r="AL86" s="4"/>
      <c r="AM86" s="4"/>
      <c r="AN86" s="4"/>
    </row>
    <row r="87" spans="1:40" x14ac:dyDescent="0.2">
      <c r="B87" s="41"/>
      <c r="C87" s="47" t="s">
        <v>81</v>
      </c>
      <c r="D87" s="37"/>
      <c r="E87" s="58" t="s">
        <v>17</v>
      </c>
      <c r="F87" s="21" t="str">
        <f>IF(H87=-0.33,IF(H85=H$1,H85,""),"")</f>
        <v/>
      </c>
      <c r="G87" s="18"/>
      <c r="H87" s="151">
        <f t="shared" ref="H87" si="2">IF(H86=1,IF(H85=H$2,1,-0.33),0)</f>
        <v>0</v>
      </c>
      <c r="Y87" s="4"/>
      <c r="Z87" s="4"/>
      <c r="AA87" s="4"/>
      <c r="AB87" s="4"/>
      <c r="AC87" s="4"/>
      <c r="AD87" s="4"/>
      <c r="AE87" s="4"/>
      <c r="AF87" s="4"/>
      <c r="AG87" s="4"/>
      <c r="AH87" s="4"/>
      <c r="AI87" s="4"/>
      <c r="AJ87" s="4"/>
      <c r="AK87" s="4"/>
      <c r="AL87" s="4"/>
      <c r="AM87" s="4"/>
      <c r="AN87" s="4"/>
    </row>
    <row r="88" spans="1:40" x14ac:dyDescent="0.2">
      <c r="B88" s="41"/>
      <c r="C88" s="47" t="s">
        <v>82</v>
      </c>
      <c r="D88" s="37"/>
      <c r="E88" s="58" t="s">
        <v>18</v>
      </c>
      <c r="F88" s="24"/>
      <c r="G88" s="18"/>
      <c r="H88" s="151"/>
      <c r="Y88" s="4"/>
      <c r="Z88" s="4"/>
      <c r="AA88" s="4"/>
      <c r="AB88" s="4"/>
      <c r="AC88" s="4"/>
      <c r="AD88" s="4"/>
      <c r="AE88" s="4"/>
      <c r="AF88" s="4"/>
      <c r="AG88" s="4"/>
      <c r="AH88" s="4"/>
      <c r="AI88" s="4"/>
      <c r="AJ88" s="4"/>
      <c r="AK88" s="4"/>
      <c r="AL88" s="4"/>
      <c r="AM88" s="4"/>
      <c r="AN88" s="4"/>
    </row>
    <row r="89" spans="1:40" x14ac:dyDescent="0.2">
      <c r="B89" s="41"/>
      <c r="C89" s="8"/>
      <c r="D89" s="37"/>
      <c r="E89" s="58" t="s">
        <v>19</v>
      </c>
      <c r="F89" s="19"/>
      <c r="G89" s="18"/>
      <c r="H89" s="151"/>
      <c r="Y89" s="4"/>
      <c r="Z89" s="4"/>
      <c r="AA89" s="4"/>
      <c r="AB89" s="4"/>
      <c r="AC89" s="4"/>
      <c r="AD89" s="4"/>
      <c r="AE89" s="4"/>
      <c r="AF89" s="4"/>
      <c r="AG89" s="4"/>
      <c r="AH89" s="4"/>
      <c r="AI89" s="4"/>
      <c r="AJ89" s="4"/>
      <c r="AK89" s="4"/>
      <c r="AL89" s="4"/>
      <c r="AM89" s="4"/>
      <c r="AN89" s="4"/>
    </row>
    <row r="90" spans="1:40" s="16" customFormat="1" x14ac:dyDescent="0.2">
      <c r="A90" s="4"/>
      <c r="B90" s="42">
        <v>4</v>
      </c>
      <c r="C90" s="12" t="s">
        <v>83</v>
      </c>
      <c r="D90" s="38"/>
      <c r="E90" s="57"/>
      <c r="F90" s="25"/>
      <c r="G90" s="18"/>
      <c r="H90" s="18"/>
      <c r="I90" s="4"/>
      <c r="J90" s="4"/>
      <c r="K90" s="4"/>
      <c r="L90" s="4"/>
      <c r="M90" s="4"/>
      <c r="N90" s="4"/>
      <c r="O90" s="4"/>
      <c r="P90" s="4"/>
      <c r="Q90" s="4"/>
      <c r="R90" s="4"/>
      <c r="S90" s="4"/>
      <c r="T90" s="4"/>
      <c r="U90" s="4"/>
      <c r="V90" s="4"/>
      <c r="W90" s="4"/>
      <c r="X90" s="4"/>
    </row>
    <row r="91" spans="1:40" x14ac:dyDescent="0.2">
      <c r="B91" s="44"/>
      <c r="C91" s="46" t="s">
        <v>84</v>
      </c>
      <c r="D91" s="37"/>
      <c r="E91" s="58" t="s">
        <v>15</v>
      </c>
      <c r="F91" s="24"/>
      <c r="G91" s="18"/>
      <c r="H91" s="150" t="b">
        <f>IF(D91="x",H$2,H$1)</f>
        <v>0</v>
      </c>
      <c r="Y91" s="4"/>
      <c r="Z91" s="4"/>
      <c r="AA91" s="4"/>
      <c r="AB91" s="4"/>
      <c r="AC91" s="4"/>
      <c r="AD91" s="4"/>
      <c r="AE91" s="4"/>
      <c r="AF91" s="4"/>
      <c r="AG91" s="4"/>
      <c r="AH91" s="4"/>
      <c r="AI91" s="4"/>
      <c r="AJ91" s="4"/>
      <c r="AK91" s="4"/>
      <c r="AL91" s="4"/>
      <c r="AM91" s="4"/>
      <c r="AN91" s="4"/>
    </row>
    <row r="92" spans="1:40" x14ac:dyDescent="0.2">
      <c r="B92" s="41"/>
      <c r="C92" s="47" t="s">
        <v>85</v>
      </c>
      <c r="D92" s="37"/>
      <c r="E92" s="58" t="s">
        <v>16</v>
      </c>
      <c r="F92" s="20" t="str">
        <f>IF(H93=1,IF(H91=H$2,H91,""),"")</f>
        <v/>
      </c>
      <c r="G92" s="18"/>
      <c r="H92" s="150" t="str">
        <f>IF(E$132="comprobar",COUNTIF(D91:D95,"x"),"")</f>
        <v/>
      </c>
      <c r="Y92" s="4"/>
      <c r="Z92" s="4"/>
      <c r="AA92" s="4"/>
      <c r="AB92" s="4"/>
      <c r="AC92" s="4"/>
      <c r="AD92" s="4"/>
      <c r="AE92" s="4"/>
      <c r="AF92" s="4"/>
      <c r="AG92" s="4"/>
      <c r="AH92" s="4"/>
      <c r="AI92" s="4"/>
      <c r="AJ92" s="4"/>
      <c r="AK92" s="4"/>
      <c r="AL92" s="4"/>
      <c r="AM92" s="4"/>
      <c r="AN92" s="4"/>
    </row>
    <row r="93" spans="1:40" x14ac:dyDescent="0.2">
      <c r="B93" s="41"/>
      <c r="C93" s="47" t="s">
        <v>86</v>
      </c>
      <c r="D93" s="37"/>
      <c r="E93" s="58" t="s">
        <v>17</v>
      </c>
      <c r="F93" s="21" t="str">
        <f>IF(H93=-0.33,IF(H91=H$1,H91,""),"")</f>
        <v/>
      </c>
      <c r="G93" s="18"/>
      <c r="H93" s="151">
        <f t="shared" ref="H93" si="3">IF(H92=1,IF(H91=H$2,1,-0.33),0)</f>
        <v>0</v>
      </c>
      <c r="Y93" s="4"/>
      <c r="Z93" s="4"/>
      <c r="AA93" s="4"/>
      <c r="AB93" s="4"/>
      <c r="AC93" s="4"/>
      <c r="AD93" s="4"/>
      <c r="AE93" s="4"/>
      <c r="AF93" s="4"/>
      <c r="AG93" s="4"/>
      <c r="AH93" s="4"/>
      <c r="AI93" s="4"/>
      <c r="AJ93" s="4"/>
      <c r="AK93" s="4"/>
      <c r="AL93" s="4"/>
      <c r="AM93" s="4"/>
      <c r="AN93" s="4"/>
    </row>
    <row r="94" spans="1:40" x14ac:dyDescent="0.2">
      <c r="B94" s="41"/>
      <c r="C94" s="47" t="s">
        <v>87</v>
      </c>
      <c r="D94" s="37"/>
      <c r="E94" s="58" t="s">
        <v>18</v>
      </c>
      <c r="F94" s="24"/>
      <c r="G94" s="18"/>
      <c r="H94" s="151"/>
      <c r="Y94" s="4"/>
      <c r="Z94" s="4"/>
      <c r="AA94" s="4"/>
      <c r="AB94" s="4"/>
      <c r="AC94" s="4"/>
      <c r="AD94" s="4"/>
      <c r="AE94" s="4"/>
      <c r="AF94" s="4"/>
      <c r="AG94" s="4"/>
      <c r="AH94" s="4"/>
      <c r="AI94" s="4"/>
      <c r="AJ94" s="4"/>
      <c r="AK94" s="4"/>
      <c r="AL94" s="4"/>
      <c r="AM94" s="4"/>
      <c r="AN94" s="4"/>
    </row>
    <row r="95" spans="1:40" x14ac:dyDescent="0.2">
      <c r="B95" s="41"/>
      <c r="C95" s="8"/>
      <c r="D95" s="37"/>
      <c r="E95" s="58" t="s">
        <v>19</v>
      </c>
      <c r="F95" s="19"/>
      <c r="G95" s="18"/>
      <c r="H95" s="151"/>
      <c r="Y95" s="4"/>
      <c r="Z95" s="4"/>
      <c r="AA95" s="4"/>
      <c r="AB95" s="4"/>
      <c r="AC95" s="4"/>
      <c r="AD95" s="4"/>
      <c r="AE95" s="4"/>
      <c r="AF95" s="4"/>
      <c r="AG95" s="4"/>
      <c r="AH95" s="4"/>
      <c r="AI95" s="4"/>
      <c r="AJ95" s="4"/>
      <c r="AK95" s="4"/>
      <c r="AL95" s="4"/>
      <c r="AM95" s="4"/>
      <c r="AN95" s="4"/>
    </row>
    <row r="96" spans="1:40" s="16" customFormat="1" x14ac:dyDescent="0.2">
      <c r="A96" s="4"/>
      <c r="B96" s="42">
        <v>5</v>
      </c>
      <c r="C96" s="12" t="s">
        <v>88</v>
      </c>
      <c r="D96" s="38"/>
      <c r="E96" s="57"/>
      <c r="F96" s="25"/>
      <c r="G96" s="18"/>
      <c r="H96" s="18"/>
      <c r="I96" s="4"/>
      <c r="J96" s="4"/>
      <c r="K96" s="4"/>
      <c r="L96" s="4"/>
      <c r="M96" s="4"/>
      <c r="N96" s="4"/>
      <c r="O96" s="4"/>
      <c r="P96" s="4"/>
      <c r="Q96" s="4"/>
      <c r="R96" s="4"/>
      <c r="S96" s="4"/>
      <c r="T96" s="4"/>
      <c r="U96" s="4"/>
      <c r="V96" s="4"/>
      <c r="W96" s="4"/>
      <c r="X96" s="4"/>
    </row>
    <row r="97" spans="1:40" x14ac:dyDescent="0.2">
      <c r="B97" s="44"/>
      <c r="C97" s="46" t="s">
        <v>89</v>
      </c>
      <c r="D97" s="37"/>
      <c r="E97" s="58" t="s">
        <v>15</v>
      </c>
      <c r="F97" s="24"/>
      <c r="G97" s="18"/>
      <c r="H97" s="150" t="b">
        <f>IF(D100="x",H$2,H$1)</f>
        <v>0</v>
      </c>
      <c r="Y97" s="4"/>
      <c r="Z97" s="4"/>
      <c r="AA97" s="4"/>
      <c r="AB97" s="4"/>
      <c r="AC97" s="4"/>
      <c r="AD97" s="4"/>
      <c r="AE97" s="4"/>
      <c r="AF97" s="4"/>
      <c r="AG97" s="4"/>
      <c r="AH97" s="4"/>
      <c r="AI97" s="4"/>
      <c r="AJ97" s="4"/>
      <c r="AK97" s="4"/>
      <c r="AL97" s="4"/>
      <c r="AM97" s="4"/>
      <c r="AN97" s="4"/>
    </row>
    <row r="98" spans="1:40" x14ac:dyDescent="0.2">
      <c r="B98" s="41"/>
      <c r="C98" s="47" t="s">
        <v>90</v>
      </c>
      <c r="D98" s="37"/>
      <c r="E98" s="58" t="s">
        <v>16</v>
      </c>
      <c r="F98" s="20" t="str">
        <f>IF(H99=1,IF(H97=H$2,H97,""),"")</f>
        <v/>
      </c>
      <c r="G98" s="18"/>
      <c r="H98" s="150" t="str">
        <f>IF(E$132="comprobar",COUNTIF(D97:D101,"x"),"")</f>
        <v/>
      </c>
      <c r="Y98" s="4"/>
      <c r="Z98" s="4"/>
      <c r="AA98" s="4"/>
      <c r="AB98" s="4"/>
      <c r="AC98" s="4"/>
      <c r="AD98" s="4"/>
      <c r="AE98" s="4"/>
      <c r="AF98" s="4"/>
      <c r="AG98" s="4"/>
      <c r="AH98" s="4"/>
      <c r="AI98" s="4"/>
      <c r="AJ98" s="4"/>
      <c r="AK98" s="4"/>
      <c r="AL98" s="4"/>
      <c r="AM98" s="4"/>
      <c r="AN98" s="4"/>
    </row>
    <row r="99" spans="1:40" x14ac:dyDescent="0.2">
      <c r="B99" s="41"/>
      <c r="C99" s="47" t="s">
        <v>91</v>
      </c>
      <c r="D99" s="37"/>
      <c r="E99" s="58" t="s">
        <v>17</v>
      </c>
      <c r="F99" s="21" t="str">
        <f>IF(H99=-0.33,IF(H97=H$1,H97,""),"")</f>
        <v/>
      </c>
      <c r="G99" s="18"/>
      <c r="H99" s="151">
        <f t="shared" ref="H99" si="4">IF(H98=1,IF(H97=H$2,1,-0.33),0)</f>
        <v>0</v>
      </c>
      <c r="Y99" s="4"/>
      <c r="Z99" s="4"/>
      <c r="AA99" s="4"/>
      <c r="AB99" s="4"/>
      <c r="AC99" s="4"/>
      <c r="AD99" s="4"/>
      <c r="AE99" s="4"/>
      <c r="AF99" s="4"/>
      <c r="AG99" s="4"/>
      <c r="AH99" s="4"/>
      <c r="AI99" s="4"/>
      <c r="AJ99" s="4"/>
      <c r="AK99" s="4"/>
      <c r="AL99" s="4"/>
      <c r="AM99" s="4"/>
      <c r="AN99" s="4"/>
    </row>
    <row r="100" spans="1:40" x14ac:dyDescent="0.2">
      <c r="B100" s="41"/>
      <c r="C100" s="47" t="s">
        <v>70</v>
      </c>
      <c r="D100" s="37"/>
      <c r="E100" s="58" t="s">
        <v>18</v>
      </c>
      <c r="F100" s="24"/>
      <c r="G100" s="18"/>
      <c r="H100" s="151"/>
      <c r="Y100" s="4"/>
      <c r="Z100" s="4"/>
      <c r="AA100" s="4"/>
      <c r="AB100" s="4"/>
      <c r="AC100" s="4"/>
      <c r="AD100" s="4"/>
      <c r="AE100" s="4"/>
      <c r="AF100" s="4"/>
      <c r="AG100" s="4"/>
      <c r="AH100" s="4"/>
      <c r="AI100" s="4"/>
      <c r="AJ100" s="4"/>
      <c r="AK100" s="4"/>
      <c r="AL100" s="4"/>
      <c r="AM100" s="4"/>
      <c r="AN100" s="4"/>
    </row>
    <row r="101" spans="1:40" x14ac:dyDescent="0.2">
      <c r="B101" s="41"/>
      <c r="C101" s="8"/>
      <c r="D101" s="37"/>
      <c r="E101" s="58" t="s">
        <v>19</v>
      </c>
      <c r="F101" s="19"/>
      <c r="G101" s="18"/>
      <c r="H101" s="151"/>
      <c r="Y101" s="4"/>
      <c r="Z101" s="4"/>
      <c r="AA101" s="4"/>
      <c r="AB101" s="4"/>
      <c r="AC101" s="4"/>
      <c r="AD101" s="4"/>
      <c r="AE101" s="4"/>
      <c r="AF101" s="4"/>
      <c r="AG101" s="4"/>
      <c r="AH101" s="4"/>
      <c r="AI101" s="4"/>
      <c r="AJ101" s="4"/>
      <c r="AK101" s="4"/>
      <c r="AL101" s="4"/>
      <c r="AM101" s="4"/>
      <c r="AN101" s="4"/>
    </row>
    <row r="102" spans="1:40" s="16" customFormat="1" ht="32" x14ac:dyDescent="0.2">
      <c r="A102" s="4"/>
      <c r="B102" s="42">
        <v>6</v>
      </c>
      <c r="C102" s="31" t="s">
        <v>92</v>
      </c>
      <c r="D102" s="38"/>
      <c r="E102" s="57"/>
      <c r="F102" s="25"/>
      <c r="G102" s="18"/>
      <c r="H102" s="18"/>
      <c r="I102" s="4"/>
      <c r="J102" s="4"/>
      <c r="K102" s="4"/>
      <c r="L102" s="4"/>
      <c r="M102" s="4"/>
      <c r="N102" s="4"/>
      <c r="O102" s="4"/>
      <c r="P102" s="4"/>
      <c r="Q102" s="4"/>
      <c r="R102" s="4"/>
      <c r="S102" s="4"/>
      <c r="T102" s="4"/>
      <c r="U102" s="4"/>
      <c r="V102" s="4"/>
      <c r="W102" s="4"/>
      <c r="X102" s="4"/>
    </row>
    <row r="103" spans="1:40" x14ac:dyDescent="0.2">
      <c r="B103" s="44"/>
      <c r="C103" s="46" t="s">
        <v>93</v>
      </c>
      <c r="D103" s="37"/>
      <c r="E103" s="58" t="s">
        <v>15</v>
      </c>
      <c r="F103" s="24"/>
      <c r="G103" s="18"/>
      <c r="H103" s="150" t="b">
        <f>IF(D104="x",H$2,H$1)</f>
        <v>0</v>
      </c>
      <c r="Y103" s="4"/>
      <c r="Z103" s="4"/>
      <c r="AA103" s="4"/>
      <c r="AB103" s="4"/>
      <c r="AC103" s="4"/>
      <c r="AD103" s="4"/>
      <c r="AE103" s="4"/>
      <c r="AF103" s="4"/>
      <c r="AG103" s="4"/>
      <c r="AH103" s="4"/>
      <c r="AI103" s="4"/>
      <c r="AJ103" s="4"/>
      <c r="AK103" s="4"/>
      <c r="AL103" s="4"/>
      <c r="AM103" s="4"/>
      <c r="AN103" s="4"/>
    </row>
    <row r="104" spans="1:40" x14ac:dyDescent="0.2">
      <c r="B104" s="41"/>
      <c r="C104" s="47" t="s">
        <v>94</v>
      </c>
      <c r="D104" s="37"/>
      <c r="E104" s="58" t="s">
        <v>16</v>
      </c>
      <c r="F104" s="20" t="str">
        <f>IF(H105=1,IF(H103=H$2,H103,""),"")</f>
        <v/>
      </c>
      <c r="G104" s="18"/>
      <c r="H104" s="150" t="str">
        <f>IF(E$132="comprobar",COUNTIF(D103:D107,"x"),"")</f>
        <v/>
      </c>
      <c r="Y104" s="4"/>
      <c r="Z104" s="4"/>
      <c r="AA104" s="4"/>
      <c r="AB104" s="4"/>
      <c r="AC104" s="4"/>
      <c r="AD104" s="4"/>
      <c r="AE104" s="4"/>
      <c r="AF104" s="4"/>
      <c r="AG104" s="4"/>
      <c r="AH104" s="4"/>
      <c r="AI104" s="4"/>
      <c r="AJ104" s="4"/>
      <c r="AK104" s="4"/>
      <c r="AL104" s="4"/>
      <c r="AM104" s="4"/>
      <c r="AN104" s="4"/>
    </row>
    <row r="105" spans="1:40" x14ac:dyDescent="0.2">
      <c r="B105" s="41"/>
      <c r="C105" s="47" t="s">
        <v>95</v>
      </c>
      <c r="D105" s="37"/>
      <c r="E105" s="58" t="s">
        <v>17</v>
      </c>
      <c r="F105" s="21" t="str">
        <f>IF(H105=-0.33,IF(H103=H$1,H103,""),"")</f>
        <v/>
      </c>
      <c r="G105" s="18"/>
      <c r="H105" s="151">
        <f t="shared" ref="H105" si="5">IF(H104=1,IF(H103=H$2,1,-0.33),0)</f>
        <v>0</v>
      </c>
      <c r="Y105" s="4"/>
      <c r="Z105" s="4"/>
      <c r="AA105" s="4"/>
      <c r="AB105" s="4"/>
      <c r="AC105" s="4"/>
      <c r="AD105" s="4"/>
      <c r="AE105" s="4"/>
      <c r="AF105" s="4"/>
      <c r="AG105" s="4"/>
      <c r="AH105" s="4"/>
      <c r="AI105" s="4"/>
      <c r="AJ105" s="4"/>
      <c r="AK105" s="4"/>
      <c r="AL105" s="4"/>
      <c r="AM105" s="4"/>
      <c r="AN105" s="4"/>
    </row>
    <row r="106" spans="1:40" x14ac:dyDescent="0.2">
      <c r="B106" s="41"/>
      <c r="C106" s="47" t="s">
        <v>96</v>
      </c>
      <c r="D106" s="37"/>
      <c r="E106" s="58" t="s">
        <v>18</v>
      </c>
      <c r="F106" s="24"/>
      <c r="G106" s="18"/>
      <c r="H106" s="151"/>
      <c r="Y106" s="4"/>
      <c r="Z106" s="4"/>
      <c r="AA106" s="4"/>
      <c r="AB106" s="4"/>
      <c r="AC106" s="4"/>
      <c r="AD106" s="4"/>
      <c r="AE106" s="4"/>
      <c r="AF106" s="4"/>
      <c r="AG106" s="4"/>
      <c r="AH106" s="4"/>
      <c r="AI106" s="4"/>
      <c r="AJ106" s="4"/>
      <c r="AK106" s="4"/>
      <c r="AL106" s="4"/>
      <c r="AM106" s="4"/>
      <c r="AN106" s="4"/>
    </row>
    <row r="107" spans="1:40" x14ac:dyDescent="0.2">
      <c r="B107" s="41"/>
      <c r="C107" s="8"/>
      <c r="D107" s="37"/>
      <c r="E107" s="58" t="s">
        <v>19</v>
      </c>
      <c r="F107" s="19"/>
      <c r="G107" s="18"/>
      <c r="H107" s="151"/>
      <c r="Y107" s="4"/>
      <c r="Z107" s="4"/>
      <c r="AA107" s="4"/>
      <c r="AB107" s="4"/>
      <c r="AC107" s="4"/>
      <c r="AD107" s="4"/>
      <c r="AE107" s="4"/>
      <c r="AF107" s="4"/>
      <c r="AG107" s="4"/>
      <c r="AH107" s="4"/>
      <c r="AI107" s="4"/>
      <c r="AJ107" s="4"/>
      <c r="AK107" s="4"/>
      <c r="AL107" s="4"/>
      <c r="AM107" s="4"/>
      <c r="AN107" s="4"/>
    </row>
    <row r="108" spans="1:40" s="16" customFormat="1" x14ac:dyDescent="0.2">
      <c r="A108" s="4"/>
      <c r="B108" s="42">
        <v>7</v>
      </c>
      <c r="C108" s="12" t="s">
        <v>97</v>
      </c>
      <c r="D108" s="38"/>
      <c r="E108" s="57"/>
      <c r="F108" s="25"/>
      <c r="G108" s="18"/>
      <c r="H108" s="18"/>
      <c r="I108" s="4"/>
      <c r="J108" s="4"/>
      <c r="K108" s="4"/>
      <c r="L108" s="4"/>
      <c r="M108" s="4"/>
      <c r="N108" s="4"/>
      <c r="O108" s="4"/>
      <c r="P108" s="4"/>
      <c r="Q108" s="4"/>
      <c r="R108" s="4"/>
      <c r="S108" s="4"/>
      <c r="T108" s="4"/>
      <c r="U108" s="4"/>
      <c r="V108" s="4"/>
      <c r="W108" s="4"/>
      <c r="X108" s="4"/>
    </row>
    <row r="109" spans="1:40" x14ac:dyDescent="0.2">
      <c r="B109" s="44"/>
      <c r="C109" s="46" t="s">
        <v>98</v>
      </c>
      <c r="D109" s="37"/>
      <c r="E109" s="58" t="s">
        <v>15</v>
      </c>
      <c r="F109" s="24"/>
      <c r="G109" s="18"/>
      <c r="H109" s="150" t="b">
        <f>IF(D109="x",H$2,H$1)</f>
        <v>0</v>
      </c>
      <c r="Y109" s="4"/>
      <c r="Z109" s="4"/>
      <c r="AA109" s="4"/>
      <c r="AB109" s="4"/>
      <c r="AC109" s="4"/>
      <c r="AD109" s="4"/>
      <c r="AE109" s="4"/>
      <c r="AF109" s="4"/>
      <c r="AG109" s="4"/>
      <c r="AH109" s="4"/>
      <c r="AI109" s="4"/>
      <c r="AJ109" s="4"/>
      <c r="AK109" s="4"/>
      <c r="AL109" s="4"/>
      <c r="AM109" s="4"/>
      <c r="AN109" s="4"/>
    </row>
    <row r="110" spans="1:40" x14ac:dyDescent="0.2">
      <c r="B110" s="41"/>
      <c r="C110" s="47" t="s">
        <v>99</v>
      </c>
      <c r="D110" s="37"/>
      <c r="E110" s="58" t="s">
        <v>16</v>
      </c>
      <c r="F110" s="20" t="str">
        <f>IF(H111=1,IF(H109=H$2,H109,""),"")</f>
        <v/>
      </c>
      <c r="G110" s="18"/>
      <c r="H110" s="150" t="str">
        <f>IF(E$132="comprobar",COUNTIF(D109:D113,"x"),"")</f>
        <v/>
      </c>
      <c r="Y110" s="4"/>
      <c r="Z110" s="4"/>
      <c r="AA110" s="4"/>
      <c r="AB110" s="4"/>
      <c r="AC110" s="4"/>
      <c r="AD110" s="4"/>
      <c r="AE110" s="4"/>
      <c r="AF110" s="4"/>
      <c r="AG110" s="4"/>
      <c r="AH110" s="4"/>
      <c r="AI110" s="4"/>
      <c r="AJ110" s="4"/>
      <c r="AK110" s="4"/>
      <c r="AL110" s="4"/>
      <c r="AM110" s="4"/>
      <c r="AN110" s="4"/>
    </row>
    <row r="111" spans="1:40" x14ac:dyDescent="0.2">
      <c r="B111" s="41"/>
      <c r="C111" s="47" t="s">
        <v>100</v>
      </c>
      <c r="D111" s="37"/>
      <c r="E111" s="58" t="s">
        <v>17</v>
      </c>
      <c r="F111" s="21" t="str">
        <f>IF(H111=-0.33,IF(H109=H$1,H109,""),"")</f>
        <v/>
      </c>
      <c r="G111" s="18"/>
      <c r="H111" s="151">
        <f t="shared" ref="H111" si="6">IF(H110=1,IF(H109=H$2,1,-0.33),0)</f>
        <v>0</v>
      </c>
      <c r="Y111" s="4"/>
      <c r="Z111" s="4"/>
      <c r="AA111" s="4"/>
      <c r="AB111" s="4"/>
      <c r="AC111" s="4"/>
      <c r="AD111" s="4"/>
      <c r="AE111" s="4"/>
      <c r="AF111" s="4"/>
      <c r="AG111" s="4"/>
      <c r="AH111" s="4"/>
      <c r="AI111" s="4"/>
      <c r="AJ111" s="4"/>
      <c r="AK111" s="4"/>
      <c r="AL111" s="4"/>
      <c r="AM111" s="4"/>
      <c r="AN111" s="4"/>
    </row>
    <row r="112" spans="1:40" x14ac:dyDescent="0.2">
      <c r="B112" s="41"/>
      <c r="C112" s="47" t="s">
        <v>101</v>
      </c>
      <c r="D112" s="37"/>
      <c r="E112" s="58" t="s">
        <v>18</v>
      </c>
      <c r="F112" s="24"/>
      <c r="G112" s="18"/>
      <c r="H112" s="151"/>
      <c r="Y112" s="4"/>
      <c r="Z112" s="4"/>
      <c r="AA112" s="4"/>
      <c r="AB112" s="4"/>
      <c r="AC112" s="4"/>
      <c r="AD112" s="4"/>
      <c r="AE112" s="4"/>
      <c r="AF112" s="4"/>
      <c r="AG112" s="4"/>
      <c r="AH112" s="4"/>
      <c r="AI112" s="4"/>
      <c r="AJ112" s="4"/>
      <c r="AK112" s="4"/>
      <c r="AL112" s="4"/>
      <c r="AM112" s="4"/>
      <c r="AN112" s="4"/>
    </row>
    <row r="113" spans="1:40" x14ac:dyDescent="0.2">
      <c r="B113" s="41"/>
      <c r="C113" s="8"/>
      <c r="D113" s="37"/>
      <c r="E113" s="58" t="s">
        <v>19</v>
      </c>
      <c r="F113" s="19"/>
      <c r="G113" s="18"/>
      <c r="H113" s="151"/>
      <c r="Y113" s="4"/>
      <c r="Z113" s="4"/>
      <c r="AA113" s="4"/>
      <c r="AB113" s="4"/>
      <c r="AC113" s="4"/>
      <c r="AD113" s="4"/>
      <c r="AE113" s="4"/>
      <c r="AF113" s="4"/>
      <c r="AG113" s="4"/>
      <c r="AH113" s="4"/>
      <c r="AI113" s="4"/>
      <c r="AJ113" s="4"/>
      <c r="AK113" s="4"/>
      <c r="AL113" s="4"/>
      <c r="AM113" s="4"/>
      <c r="AN113" s="4"/>
    </row>
    <row r="114" spans="1:40" s="16" customFormat="1" x14ac:dyDescent="0.2">
      <c r="A114" s="4"/>
      <c r="B114" s="42">
        <v>8</v>
      </c>
      <c r="C114" s="12" t="s">
        <v>102</v>
      </c>
      <c r="D114" s="38"/>
      <c r="E114" s="57"/>
      <c r="F114" s="25"/>
      <c r="G114" s="18"/>
      <c r="H114" s="18"/>
      <c r="I114" s="4"/>
      <c r="J114" s="4"/>
      <c r="K114" s="4"/>
      <c r="L114" s="4"/>
      <c r="M114" s="4"/>
      <c r="N114" s="4"/>
      <c r="O114" s="4"/>
      <c r="P114" s="4"/>
      <c r="Q114" s="4"/>
      <c r="R114" s="4"/>
      <c r="S114" s="4"/>
      <c r="T114" s="4"/>
      <c r="U114" s="4"/>
      <c r="V114" s="4"/>
      <c r="W114" s="4"/>
      <c r="X114" s="4"/>
    </row>
    <row r="115" spans="1:40" x14ac:dyDescent="0.2">
      <c r="B115" s="44"/>
      <c r="C115" s="46" t="s">
        <v>103</v>
      </c>
      <c r="D115" s="37"/>
      <c r="E115" s="58" t="s">
        <v>15</v>
      </c>
      <c r="F115" s="24"/>
      <c r="G115" s="18"/>
      <c r="H115" s="150" t="b">
        <f>IF(D116="x",H$2,H$1)</f>
        <v>0</v>
      </c>
      <c r="Y115" s="4"/>
      <c r="Z115" s="4"/>
      <c r="AA115" s="4"/>
      <c r="AB115" s="4"/>
      <c r="AC115" s="4"/>
      <c r="AD115" s="4"/>
      <c r="AE115" s="4"/>
      <c r="AF115" s="4"/>
      <c r="AG115" s="4"/>
      <c r="AH115" s="4"/>
      <c r="AI115" s="4"/>
      <c r="AJ115" s="4"/>
      <c r="AK115" s="4"/>
      <c r="AL115" s="4"/>
      <c r="AM115" s="4"/>
      <c r="AN115" s="4"/>
    </row>
    <row r="116" spans="1:40" x14ac:dyDescent="0.2">
      <c r="B116" s="41"/>
      <c r="C116" s="47" t="s">
        <v>104</v>
      </c>
      <c r="D116" s="37"/>
      <c r="E116" s="58" t="s">
        <v>16</v>
      </c>
      <c r="F116" s="20" t="str">
        <f>IF(H117=1,IF(H115=H$2,H115,""),"")</f>
        <v/>
      </c>
      <c r="G116" s="18"/>
      <c r="H116" s="150" t="str">
        <f>IF(E$132="comprobar",COUNTIF(D115:D119,"x"),"")</f>
        <v/>
      </c>
      <c r="Y116" s="4"/>
      <c r="Z116" s="4"/>
      <c r="AA116" s="4"/>
      <c r="AB116" s="4"/>
      <c r="AC116" s="4"/>
      <c r="AD116" s="4"/>
      <c r="AE116" s="4"/>
      <c r="AF116" s="4"/>
      <c r="AG116" s="4"/>
      <c r="AH116" s="4"/>
      <c r="AI116" s="4"/>
      <c r="AJ116" s="4"/>
      <c r="AK116" s="4"/>
      <c r="AL116" s="4"/>
      <c r="AM116" s="4"/>
      <c r="AN116" s="4"/>
    </row>
    <row r="117" spans="1:40" x14ac:dyDescent="0.2">
      <c r="B117" s="41"/>
      <c r="C117" s="47" t="s">
        <v>105</v>
      </c>
      <c r="D117" s="37"/>
      <c r="E117" s="58" t="s">
        <v>17</v>
      </c>
      <c r="F117" s="21" t="str">
        <f>IF(H117=-0.33,IF(H115=H$1,H115,""),"")</f>
        <v/>
      </c>
      <c r="G117" s="18"/>
      <c r="H117" s="151">
        <f t="shared" ref="H117" si="7">IF(H116=1,IF(H115=H$2,1,-0.33),0)</f>
        <v>0</v>
      </c>
      <c r="Y117" s="4"/>
      <c r="Z117" s="4"/>
      <c r="AA117" s="4"/>
      <c r="AB117" s="4"/>
      <c r="AC117" s="4"/>
      <c r="AD117" s="4"/>
      <c r="AE117" s="4"/>
      <c r="AF117" s="4"/>
      <c r="AG117" s="4"/>
      <c r="AH117" s="4"/>
      <c r="AI117" s="4"/>
      <c r="AJ117" s="4"/>
      <c r="AK117" s="4"/>
      <c r="AL117" s="4"/>
      <c r="AM117" s="4"/>
      <c r="AN117" s="4"/>
    </row>
    <row r="118" spans="1:40" x14ac:dyDescent="0.2">
      <c r="B118" s="41"/>
      <c r="C118" s="47" t="s">
        <v>101</v>
      </c>
      <c r="D118" s="37"/>
      <c r="E118" s="58" t="s">
        <v>18</v>
      </c>
      <c r="F118" s="24"/>
      <c r="G118" s="18"/>
      <c r="H118" s="151"/>
      <c r="Y118" s="4"/>
      <c r="Z118" s="4"/>
      <c r="AA118" s="4"/>
      <c r="AB118" s="4"/>
      <c r="AC118" s="4"/>
      <c r="AD118" s="4"/>
      <c r="AE118" s="4"/>
      <c r="AF118" s="4"/>
      <c r="AG118" s="4"/>
      <c r="AH118" s="4"/>
      <c r="AI118" s="4"/>
      <c r="AJ118" s="4"/>
      <c r="AK118" s="4"/>
      <c r="AL118" s="4"/>
      <c r="AM118" s="4"/>
      <c r="AN118" s="4"/>
    </row>
    <row r="119" spans="1:40" x14ac:dyDescent="0.2">
      <c r="B119" s="41"/>
      <c r="C119" s="8"/>
      <c r="D119" s="37"/>
      <c r="E119" s="58" t="s">
        <v>19</v>
      </c>
      <c r="F119" s="19"/>
      <c r="G119" s="18"/>
      <c r="H119" s="151"/>
      <c r="Y119" s="4"/>
      <c r="Z119" s="4"/>
      <c r="AA119" s="4"/>
      <c r="AB119" s="4"/>
      <c r="AC119" s="4"/>
      <c r="AD119" s="4"/>
      <c r="AE119" s="4"/>
      <c r="AF119" s="4"/>
      <c r="AG119" s="4"/>
      <c r="AH119" s="4"/>
      <c r="AI119" s="4"/>
      <c r="AJ119" s="4"/>
      <c r="AK119" s="4"/>
      <c r="AL119" s="4"/>
      <c r="AM119" s="4"/>
      <c r="AN119" s="4"/>
    </row>
    <row r="120" spans="1:40" s="16" customFormat="1" x14ac:dyDescent="0.2">
      <c r="A120" s="4"/>
      <c r="B120" s="42">
        <v>9</v>
      </c>
      <c r="C120" s="31" t="s">
        <v>106</v>
      </c>
      <c r="D120" s="38"/>
      <c r="E120" s="57"/>
      <c r="F120" s="25"/>
      <c r="G120" s="18"/>
      <c r="H120" s="18"/>
      <c r="I120" s="4"/>
      <c r="J120" s="4"/>
      <c r="K120" s="4"/>
      <c r="L120" s="4"/>
      <c r="M120" s="4"/>
      <c r="N120" s="4"/>
      <c r="O120" s="4"/>
      <c r="P120" s="4"/>
      <c r="Q120" s="4"/>
      <c r="R120" s="4"/>
      <c r="S120" s="4"/>
      <c r="T120" s="4"/>
      <c r="U120" s="4"/>
      <c r="V120" s="4"/>
      <c r="W120" s="4"/>
      <c r="X120" s="4"/>
    </row>
    <row r="121" spans="1:40" x14ac:dyDescent="0.2">
      <c r="B121" s="44"/>
      <c r="C121" s="46" t="s">
        <v>98</v>
      </c>
      <c r="D121" s="37"/>
      <c r="E121" s="58" t="s">
        <v>15</v>
      </c>
      <c r="F121" s="24"/>
      <c r="G121" s="18"/>
      <c r="H121" s="150" t="b">
        <f>IF(D123="x",H$2,H$1)</f>
        <v>0</v>
      </c>
      <c r="Y121" s="4"/>
      <c r="Z121" s="4"/>
      <c r="AA121" s="4"/>
      <c r="AB121" s="4"/>
      <c r="AC121" s="4"/>
      <c r="AD121" s="4"/>
      <c r="AE121" s="4"/>
      <c r="AF121" s="4"/>
      <c r="AG121" s="4"/>
      <c r="AH121" s="4"/>
      <c r="AI121" s="4"/>
      <c r="AJ121" s="4"/>
      <c r="AK121" s="4"/>
      <c r="AL121" s="4"/>
      <c r="AM121" s="4"/>
      <c r="AN121" s="4"/>
    </row>
    <row r="122" spans="1:40" x14ac:dyDescent="0.2">
      <c r="B122" s="41"/>
      <c r="C122" s="47" t="s">
        <v>99</v>
      </c>
      <c r="D122" s="37"/>
      <c r="E122" s="58" t="s">
        <v>16</v>
      </c>
      <c r="F122" s="20" t="str">
        <f>IF(H123=1,IF(H121=H$2,H121,""),"")</f>
        <v/>
      </c>
      <c r="G122" s="18"/>
      <c r="H122" s="150" t="str">
        <f>IF(E$132="comprobar",COUNTIF(D121:D125,"x"),"")</f>
        <v/>
      </c>
      <c r="Y122" s="4"/>
      <c r="Z122" s="4"/>
      <c r="AA122" s="4"/>
      <c r="AB122" s="4"/>
      <c r="AC122" s="4"/>
      <c r="AD122" s="4"/>
      <c r="AE122" s="4"/>
      <c r="AF122" s="4"/>
      <c r="AG122" s="4"/>
      <c r="AH122" s="4"/>
      <c r="AI122" s="4"/>
      <c r="AJ122" s="4"/>
      <c r="AK122" s="4"/>
      <c r="AL122" s="4"/>
      <c r="AM122" s="4"/>
      <c r="AN122" s="4"/>
    </row>
    <row r="123" spans="1:40" x14ac:dyDescent="0.2">
      <c r="B123" s="41"/>
      <c r="C123" s="47" t="s">
        <v>107</v>
      </c>
      <c r="D123" s="37"/>
      <c r="E123" s="58" t="s">
        <v>17</v>
      </c>
      <c r="F123" s="21" t="str">
        <f>IF(H123=-0.33,IF(H121=H$1,H121,""),"")</f>
        <v/>
      </c>
      <c r="G123" s="18"/>
      <c r="H123" s="151">
        <f t="shared" ref="H123" si="8">IF(H122=1,IF(H121=H$2,1,-0.33),0)</f>
        <v>0</v>
      </c>
      <c r="Y123" s="4"/>
      <c r="Z123" s="4"/>
      <c r="AA123" s="4"/>
      <c r="AB123" s="4"/>
      <c r="AC123" s="4"/>
      <c r="AD123" s="4"/>
      <c r="AE123" s="4"/>
      <c r="AF123" s="4"/>
      <c r="AG123" s="4"/>
      <c r="AH123" s="4"/>
      <c r="AI123" s="4"/>
      <c r="AJ123" s="4"/>
      <c r="AK123" s="4"/>
      <c r="AL123" s="4"/>
      <c r="AM123" s="4"/>
      <c r="AN123" s="4"/>
    </row>
    <row r="124" spans="1:40" x14ac:dyDescent="0.2">
      <c r="B124" s="41"/>
      <c r="C124" s="47" t="s">
        <v>101</v>
      </c>
      <c r="D124" s="37"/>
      <c r="E124" s="58" t="s">
        <v>18</v>
      </c>
      <c r="F124" s="24"/>
      <c r="G124" s="18"/>
      <c r="H124" s="151"/>
      <c r="Y124" s="4"/>
      <c r="Z124" s="4"/>
      <c r="AA124" s="4"/>
      <c r="AB124" s="4"/>
      <c r="AC124" s="4"/>
      <c r="AD124" s="4"/>
      <c r="AE124" s="4"/>
      <c r="AF124" s="4"/>
      <c r="AG124" s="4"/>
      <c r="AH124" s="4"/>
      <c r="AI124" s="4"/>
      <c r="AJ124" s="4"/>
      <c r="AK124" s="4"/>
      <c r="AL124" s="4"/>
      <c r="AM124" s="4"/>
      <c r="AN124" s="4"/>
    </row>
    <row r="125" spans="1:40" x14ac:dyDescent="0.2">
      <c r="B125" s="41"/>
      <c r="C125" s="8"/>
      <c r="D125" s="37"/>
      <c r="E125" s="58" t="s">
        <v>19</v>
      </c>
      <c r="F125" s="19"/>
      <c r="G125" s="18"/>
      <c r="H125" s="151"/>
      <c r="Y125" s="4"/>
      <c r="Z125" s="4"/>
      <c r="AA125" s="4"/>
      <c r="AB125" s="4"/>
      <c r="AC125" s="4"/>
      <c r="AD125" s="4"/>
      <c r="AE125" s="4"/>
      <c r="AF125" s="4"/>
      <c r="AG125" s="4"/>
      <c r="AH125" s="4"/>
      <c r="AI125" s="4"/>
      <c r="AJ125" s="4"/>
      <c r="AK125" s="4"/>
      <c r="AL125" s="4"/>
      <c r="AM125" s="4"/>
      <c r="AN125" s="4"/>
    </row>
    <row r="126" spans="1:40" s="16" customFormat="1" x14ac:dyDescent="0.2">
      <c r="A126" s="4"/>
      <c r="B126" s="42">
        <v>10</v>
      </c>
      <c r="C126" s="12" t="s">
        <v>108</v>
      </c>
      <c r="D126" s="38"/>
      <c r="E126" s="57"/>
      <c r="F126" s="25"/>
      <c r="G126" s="152"/>
      <c r="H126" s="18"/>
      <c r="I126" s="4"/>
      <c r="J126" s="4"/>
      <c r="K126" s="4"/>
      <c r="L126" s="4"/>
      <c r="M126" s="4"/>
      <c r="N126" s="4"/>
      <c r="O126" s="4"/>
      <c r="P126" s="4"/>
      <c r="Q126" s="4"/>
      <c r="R126" s="4"/>
      <c r="S126" s="4"/>
      <c r="T126" s="4"/>
      <c r="U126" s="4"/>
      <c r="V126" s="4"/>
      <c r="W126" s="4"/>
      <c r="X126" s="4"/>
    </row>
    <row r="127" spans="1:40" x14ac:dyDescent="0.2">
      <c r="B127" s="44"/>
      <c r="C127" s="46" t="s">
        <v>101</v>
      </c>
      <c r="D127" s="37"/>
      <c r="E127" s="58" t="s">
        <v>15</v>
      </c>
      <c r="F127" s="24"/>
      <c r="G127" s="152"/>
      <c r="H127" s="150" t="b">
        <f>IF(D129="x",H$2,H$1)</f>
        <v>0</v>
      </c>
      <c r="Y127" s="4"/>
      <c r="Z127" s="4"/>
      <c r="AA127" s="4"/>
      <c r="AB127" s="4"/>
      <c r="AC127" s="4"/>
      <c r="AD127" s="4"/>
      <c r="AE127" s="4"/>
      <c r="AF127" s="4"/>
      <c r="AG127" s="4"/>
      <c r="AH127" s="4"/>
      <c r="AI127" s="4"/>
      <c r="AJ127" s="4"/>
      <c r="AK127" s="4"/>
      <c r="AL127" s="4"/>
      <c r="AM127" s="4"/>
      <c r="AN127" s="4"/>
    </row>
    <row r="128" spans="1:40" x14ac:dyDescent="0.2">
      <c r="B128" s="41"/>
      <c r="C128" s="47" t="s">
        <v>98</v>
      </c>
      <c r="D128" s="37"/>
      <c r="E128" s="58" t="s">
        <v>16</v>
      </c>
      <c r="F128" s="20" t="str">
        <f>IF(H129=1,IF(H127=H$2,H127,""),"")</f>
        <v/>
      </c>
      <c r="G128" s="152"/>
      <c r="H128" s="150" t="str">
        <f>IF(E$132="comprobar",COUNTIF(D127:D131,"x"),"")</f>
        <v/>
      </c>
      <c r="Y128" s="4"/>
      <c r="Z128" s="4"/>
      <c r="AA128" s="4"/>
      <c r="AB128" s="4"/>
      <c r="AC128" s="4"/>
      <c r="AD128" s="4"/>
      <c r="AE128" s="4"/>
      <c r="AF128" s="4"/>
      <c r="AG128" s="4"/>
      <c r="AH128" s="4"/>
      <c r="AI128" s="4"/>
      <c r="AJ128" s="4"/>
      <c r="AK128" s="4"/>
      <c r="AL128" s="4"/>
      <c r="AM128" s="4"/>
      <c r="AN128" s="4"/>
    </row>
    <row r="129" spans="1:40" x14ac:dyDescent="0.2">
      <c r="B129" s="41"/>
      <c r="C129" s="47" t="s">
        <v>109</v>
      </c>
      <c r="D129" s="37"/>
      <c r="E129" s="58" t="s">
        <v>17</v>
      </c>
      <c r="F129" s="21" t="str">
        <f>IF(H129=-0.33,IF(H127=H$1,H127,""),"")</f>
        <v/>
      </c>
      <c r="G129" s="152"/>
      <c r="H129" s="151">
        <f t="shared" ref="H129" si="9">IF(H128=1,IF(H127=H$2,1,-0.33),0)</f>
        <v>0</v>
      </c>
      <c r="Y129" s="4"/>
      <c r="Z129" s="4"/>
      <c r="AA129" s="4"/>
      <c r="AB129" s="4"/>
      <c r="AC129" s="4"/>
      <c r="AD129" s="4"/>
      <c r="AE129" s="4"/>
      <c r="AF129" s="4"/>
      <c r="AG129" s="4"/>
      <c r="AH129" s="4"/>
      <c r="AI129" s="4"/>
      <c r="AJ129" s="4"/>
      <c r="AK129" s="4"/>
      <c r="AL129" s="4"/>
      <c r="AM129" s="4"/>
      <c r="AN129" s="4"/>
    </row>
    <row r="130" spans="1:40" x14ac:dyDescent="0.2">
      <c r="B130" s="41"/>
      <c r="C130" s="47" t="s">
        <v>99</v>
      </c>
      <c r="D130" s="37"/>
      <c r="E130" s="58" t="s">
        <v>18</v>
      </c>
      <c r="F130" s="24"/>
      <c r="G130" s="152"/>
      <c r="H130" s="151"/>
      <c r="Y130" s="4"/>
      <c r="Z130" s="4"/>
      <c r="AA130" s="4"/>
      <c r="AB130" s="4"/>
      <c r="AC130" s="4"/>
      <c r="AD130" s="4"/>
      <c r="AE130" s="4"/>
      <c r="AF130" s="4"/>
      <c r="AG130" s="4"/>
      <c r="AH130" s="4"/>
      <c r="AI130" s="4"/>
      <c r="AJ130" s="4"/>
      <c r="AK130" s="4"/>
      <c r="AL130" s="4"/>
      <c r="AM130" s="4"/>
      <c r="AN130" s="4"/>
    </row>
    <row r="131" spans="1:40" x14ac:dyDescent="0.2">
      <c r="B131" s="41"/>
      <c r="C131" s="8"/>
      <c r="D131" s="37"/>
      <c r="E131" s="58" t="s">
        <v>19</v>
      </c>
      <c r="F131" s="19"/>
      <c r="G131" s="152"/>
      <c r="H131" s="151"/>
      <c r="Y131" s="4"/>
      <c r="Z131" s="4"/>
      <c r="AA131" s="4"/>
      <c r="AB131" s="4"/>
      <c r="AC131" s="4"/>
      <c r="AD131" s="4"/>
      <c r="AE131" s="4"/>
      <c r="AF131" s="4"/>
      <c r="AG131" s="4"/>
      <c r="AH131" s="4"/>
      <c r="AI131" s="4"/>
      <c r="AJ131" s="4"/>
      <c r="AK131" s="4"/>
      <c r="AL131" s="4"/>
      <c r="AM131" s="4"/>
      <c r="AN131" s="4"/>
    </row>
    <row r="132" spans="1:40" x14ac:dyDescent="0.2">
      <c r="B132" s="44"/>
      <c r="C132" s="40"/>
      <c r="D132" s="53"/>
      <c r="E132" s="59"/>
      <c r="F132" s="19"/>
      <c r="G132" s="18"/>
      <c r="H132" s="18"/>
      <c r="Y132" s="4"/>
      <c r="Z132" s="4"/>
      <c r="AA132" s="4"/>
      <c r="AB132" s="4"/>
      <c r="AC132" s="4"/>
      <c r="AD132" s="4"/>
      <c r="AE132" s="4"/>
      <c r="AF132" s="4"/>
      <c r="AG132" s="4"/>
      <c r="AH132" s="4"/>
      <c r="AI132" s="4"/>
      <c r="AJ132" s="4"/>
      <c r="AK132" s="4"/>
      <c r="AL132" s="4"/>
      <c r="AM132" s="4"/>
      <c r="AN132" s="4"/>
    </row>
    <row r="133" spans="1:40" x14ac:dyDescent="0.2">
      <c r="B133" s="44"/>
      <c r="C133" s="17"/>
      <c r="D133" s="53"/>
      <c r="E133" s="62"/>
      <c r="F133" s="26" t="s">
        <v>8</v>
      </c>
      <c r="G133" s="18" t="s">
        <v>6</v>
      </c>
      <c r="H133" s="18" t="s">
        <v>7</v>
      </c>
      <c r="Y133" s="4"/>
      <c r="Z133" s="4"/>
      <c r="AA133" s="4"/>
      <c r="AB133" s="4"/>
      <c r="AC133" s="4"/>
      <c r="AD133" s="4"/>
      <c r="AE133" s="4"/>
      <c r="AF133" s="4"/>
      <c r="AG133" s="4"/>
      <c r="AH133" s="4"/>
      <c r="AI133" s="4"/>
      <c r="AJ133" s="4"/>
      <c r="AK133" s="4"/>
      <c r="AL133" s="4"/>
      <c r="AM133" s="4"/>
      <c r="AN133" s="4"/>
    </row>
    <row r="134" spans="1:40" ht="20" x14ac:dyDescent="0.2">
      <c r="B134" s="44"/>
      <c r="C134" s="17"/>
      <c r="D134" s="52"/>
      <c r="E134" s="56"/>
      <c r="F134" s="27" t="str">
        <f>IF(E132="comprobar",H129+H123+H117+H111+H105+H99+H93+H87+H81+H75,"")</f>
        <v/>
      </c>
      <c r="G134" s="18">
        <f>10/2</f>
        <v>5</v>
      </c>
      <c r="H134" s="18"/>
      <c r="Y134" s="4"/>
      <c r="Z134" s="4"/>
      <c r="AA134" s="4"/>
      <c r="AB134" s="4"/>
      <c r="AC134" s="4"/>
      <c r="AD134" s="4"/>
      <c r="AE134" s="4"/>
      <c r="AF134" s="4"/>
      <c r="AG134" s="4"/>
      <c r="AH134" s="4"/>
      <c r="AI134" s="4"/>
      <c r="AJ134" s="4"/>
      <c r="AK134" s="4"/>
      <c r="AL134" s="4"/>
      <c r="AM134" s="4"/>
      <c r="AN134" s="4"/>
    </row>
    <row r="135" spans="1:40" ht="17" thickBot="1" x14ac:dyDescent="0.25">
      <c r="B135" s="45"/>
      <c r="C135" s="28"/>
      <c r="D135" s="29"/>
      <c r="E135" s="60"/>
      <c r="F135" s="30" t="str">
        <f>IF(F134&gt;G134,G133,H133)</f>
        <v>APROBADO</v>
      </c>
      <c r="G135" s="18"/>
      <c r="H135" s="18"/>
      <c r="Y135" s="4"/>
      <c r="Z135" s="4"/>
      <c r="AA135" s="4"/>
      <c r="AB135" s="4"/>
      <c r="AC135" s="4"/>
      <c r="AD135" s="4"/>
      <c r="AE135" s="4"/>
      <c r="AF135" s="4"/>
      <c r="AG135" s="4"/>
      <c r="AH135" s="4"/>
      <c r="AI135" s="4"/>
      <c r="AJ135" s="4"/>
      <c r="AK135" s="4"/>
      <c r="AL135" s="4"/>
      <c r="AM135" s="4"/>
      <c r="AN135" s="4"/>
    </row>
    <row r="136" spans="1:40" ht="29" x14ac:dyDescent="0.35">
      <c r="B136" s="177" t="s">
        <v>21</v>
      </c>
      <c r="C136" s="118" t="s">
        <v>10</v>
      </c>
      <c r="D136" s="50"/>
      <c r="E136" s="50"/>
      <c r="F136" s="51"/>
      <c r="Y136" s="4"/>
      <c r="Z136" s="4"/>
      <c r="AA136" s="4"/>
      <c r="AB136" s="4"/>
      <c r="AC136" s="4"/>
      <c r="AD136" s="4"/>
      <c r="AE136" s="4"/>
      <c r="AF136" s="4"/>
      <c r="AG136" s="4"/>
      <c r="AH136" s="4"/>
      <c r="AI136" s="4"/>
      <c r="AJ136" s="4"/>
      <c r="AK136" s="4"/>
      <c r="AL136" s="4"/>
      <c r="AM136" s="4"/>
      <c r="AN136" s="4"/>
    </row>
    <row r="137" spans="1:40" s="48" customFormat="1" ht="32" customHeight="1" x14ac:dyDescent="0.2">
      <c r="A137" s="155"/>
      <c r="B137" s="194" t="s">
        <v>110</v>
      </c>
      <c r="C137" s="195"/>
      <c r="D137" s="77"/>
      <c r="E137" s="49"/>
      <c r="F137" s="78"/>
      <c r="G137" s="154"/>
      <c r="H137" s="154"/>
      <c r="I137" s="155"/>
      <c r="J137" s="155"/>
      <c r="K137" s="155"/>
      <c r="L137" s="155"/>
      <c r="M137" s="155"/>
      <c r="N137" s="155"/>
      <c r="O137" s="155"/>
      <c r="P137" s="155"/>
      <c r="Q137" s="155"/>
      <c r="R137" s="155"/>
      <c r="S137" s="155"/>
      <c r="T137" s="155"/>
      <c r="U137" s="155"/>
      <c r="V137" s="155"/>
      <c r="W137" s="155"/>
      <c r="X137" s="155"/>
    </row>
    <row r="138" spans="1:40" ht="19" x14ac:dyDescent="0.25">
      <c r="B138" s="79" t="s">
        <v>121</v>
      </c>
      <c r="C138" s="80"/>
      <c r="D138" s="37"/>
      <c r="E138" s="58" t="s">
        <v>15</v>
      </c>
      <c r="F138" s="24"/>
      <c r="G138" s="18"/>
      <c r="H138" s="150" t="b">
        <f>IF(D140="x",H$2,H$1)</f>
        <v>0</v>
      </c>
      <c r="Y138" s="4"/>
      <c r="Z138" s="4"/>
      <c r="AA138" s="4"/>
      <c r="AB138" s="4"/>
      <c r="AC138" s="4"/>
      <c r="AD138" s="4"/>
      <c r="AE138" s="4"/>
      <c r="AF138" s="4"/>
      <c r="AG138" s="4"/>
      <c r="AH138" s="4"/>
      <c r="AI138" s="4"/>
      <c r="AJ138" s="4"/>
      <c r="AK138" s="4"/>
      <c r="AL138" s="4"/>
      <c r="AM138" s="4"/>
      <c r="AN138" s="4"/>
    </row>
    <row r="139" spans="1:40" ht="19" x14ac:dyDescent="0.25">
      <c r="B139" s="81" t="s">
        <v>122</v>
      </c>
      <c r="C139" s="82"/>
      <c r="D139" s="37"/>
      <c r="E139" s="58" t="s">
        <v>16</v>
      </c>
      <c r="F139" s="20" t="str">
        <f>IF(H140=1,IF(H138=H$2,H138,""),"")</f>
        <v/>
      </c>
      <c r="G139" s="18"/>
      <c r="H139" s="150" t="str">
        <f>IF(E197="comprobar",COUNTIF(D138:D142,"x"),"")</f>
        <v/>
      </c>
      <c r="Y139" s="4"/>
      <c r="Z139" s="4"/>
      <c r="AA139" s="4"/>
      <c r="AB139" s="4"/>
      <c r="AC139" s="4"/>
      <c r="AD139" s="4"/>
      <c r="AE139" s="4"/>
      <c r="AF139" s="4"/>
      <c r="AG139" s="4"/>
      <c r="AH139" s="4"/>
      <c r="AI139" s="4"/>
      <c r="AJ139" s="4"/>
      <c r="AK139" s="4"/>
      <c r="AL139" s="4"/>
      <c r="AM139" s="4"/>
      <c r="AN139" s="4"/>
    </row>
    <row r="140" spans="1:40" ht="19" x14ac:dyDescent="0.25">
      <c r="B140" s="81" t="s">
        <v>123</v>
      </c>
      <c r="C140" s="82"/>
      <c r="D140" s="37"/>
      <c r="E140" s="58" t="s">
        <v>17</v>
      </c>
      <c r="F140" s="21" t="str">
        <f>IF(H140=-0.33,IF(H138=H$1,H138,""),"")</f>
        <v/>
      </c>
      <c r="G140" s="18"/>
      <c r="H140" s="151">
        <f t="shared" ref="H140:H194" si="10">IF(H139=1,IF(H138=H$2,1,-0.33),0)</f>
        <v>0</v>
      </c>
      <c r="Y140" s="4"/>
      <c r="Z140" s="4"/>
      <c r="AA140" s="4"/>
      <c r="AB140" s="4"/>
      <c r="AC140" s="4"/>
      <c r="AD140" s="4"/>
      <c r="AE140" s="4"/>
      <c r="AF140" s="4"/>
      <c r="AG140" s="4"/>
      <c r="AH140" s="4"/>
      <c r="AI140" s="4"/>
      <c r="AJ140" s="4"/>
      <c r="AK140" s="4"/>
      <c r="AL140" s="4"/>
      <c r="AM140" s="4"/>
      <c r="AN140" s="4"/>
    </row>
    <row r="141" spans="1:40" ht="19" x14ac:dyDescent="0.25">
      <c r="B141" s="81" t="s">
        <v>124</v>
      </c>
      <c r="C141" s="82"/>
      <c r="D141" s="37"/>
      <c r="E141" s="58" t="s">
        <v>18</v>
      </c>
      <c r="F141" s="24"/>
      <c r="G141" s="18"/>
      <c r="H141" s="151"/>
      <c r="Y141" s="4"/>
      <c r="Z141" s="4"/>
      <c r="AA141" s="4"/>
      <c r="AB141" s="4"/>
      <c r="AC141" s="4"/>
      <c r="AD141" s="4"/>
      <c r="AE141" s="4"/>
      <c r="AF141" s="4"/>
      <c r="AG141" s="4"/>
      <c r="AH141" s="4"/>
      <c r="AI141" s="4"/>
      <c r="AJ141" s="4"/>
      <c r="AK141" s="4"/>
      <c r="AL141" s="4"/>
      <c r="AM141" s="4"/>
      <c r="AN141" s="4"/>
    </row>
    <row r="142" spans="1:40" ht="19" x14ac:dyDescent="0.25">
      <c r="B142" s="81"/>
      <c r="C142" s="83"/>
      <c r="D142" s="37"/>
      <c r="E142" s="58" t="s">
        <v>19</v>
      </c>
      <c r="F142" s="19"/>
      <c r="G142" s="18"/>
      <c r="H142" s="151"/>
      <c r="Y142" s="4"/>
      <c r="Z142" s="4"/>
      <c r="AA142" s="4"/>
      <c r="AB142" s="4"/>
      <c r="AC142" s="4"/>
      <c r="AD142" s="4"/>
      <c r="AE142" s="4"/>
      <c r="AF142" s="4"/>
      <c r="AG142" s="4"/>
      <c r="AH142" s="4"/>
      <c r="AI142" s="4"/>
      <c r="AJ142" s="4"/>
      <c r="AK142" s="4"/>
      <c r="AL142" s="4"/>
      <c r="AM142" s="4"/>
      <c r="AN142" s="4"/>
    </row>
    <row r="143" spans="1:40" s="16" customFormat="1" ht="19" x14ac:dyDescent="0.25">
      <c r="A143" s="4"/>
      <c r="B143" s="84" t="s">
        <v>111</v>
      </c>
      <c r="C143" s="85"/>
      <c r="D143" s="38"/>
      <c r="E143" s="57"/>
      <c r="F143" s="25"/>
      <c r="G143" s="18"/>
      <c r="H143" s="18"/>
      <c r="I143" s="4"/>
      <c r="J143" s="4"/>
      <c r="K143" s="4"/>
      <c r="L143" s="4"/>
      <c r="M143" s="4"/>
      <c r="N143" s="4"/>
      <c r="O143" s="4"/>
      <c r="P143" s="4"/>
      <c r="Q143" s="4"/>
      <c r="R143" s="4"/>
      <c r="S143" s="4"/>
      <c r="T143" s="4"/>
      <c r="U143" s="4"/>
      <c r="V143" s="4"/>
      <c r="W143" s="4"/>
      <c r="X143" s="4"/>
    </row>
    <row r="144" spans="1:40" ht="19" hidden="1" x14ac:dyDescent="0.25">
      <c r="B144" s="79"/>
      <c r="C144" s="80"/>
      <c r="D144" s="76"/>
      <c r="E144" s="58"/>
      <c r="F144" s="24"/>
      <c r="G144" s="18"/>
      <c r="H144" s="150" t="b">
        <f>IF(D146="x",H$2,H$1)</f>
        <v>0</v>
      </c>
      <c r="Y144" s="4"/>
      <c r="Z144" s="4"/>
      <c r="AA144" s="4"/>
      <c r="AB144" s="4"/>
      <c r="AC144" s="4"/>
      <c r="AD144" s="4"/>
      <c r="AE144" s="4"/>
      <c r="AF144" s="4"/>
      <c r="AG144" s="4"/>
      <c r="AH144" s="4"/>
      <c r="AI144" s="4"/>
      <c r="AJ144" s="4"/>
      <c r="AK144" s="4"/>
      <c r="AL144" s="4"/>
      <c r="AM144" s="4"/>
      <c r="AN144" s="4"/>
    </row>
    <row r="145" spans="1:40" ht="19" x14ac:dyDescent="0.25">
      <c r="B145" s="81" t="s">
        <v>125</v>
      </c>
      <c r="C145" s="82"/>
      <c r="D145" s="37"/>
      <c r="E145" s="58" t="s">
        <v>15</v>
      </c>
      <c r="F145" s="20" t="str">
        <f>IF(H146=1,IF(H144=H$2,H144,""),"")</f>
        <v/>
      </c>
      <c r="G145" s="18"/>
      <c r="H145" s="150" t="b">
        <f>IF(D146="x",H$2,H$1)</f>
        <v>0</v>
      </c>
      <c r="Y145" s="4"/>
      <c r="Z145" s="4"/>
      <c r="AA145" s="4"/>
      <c r="AB145" s="4"/>
      <c r="AC145" s="4"/>
      <c r="AD145" s="4"/>
      <c r="AE145" s="4"/>
      <c r="AF145" s="4"/>
      <c r="AG145" s="4"/>
      <c r="AH145" s="4"/>
      <c r="AI145" s="4"/>
      <c r="AJ145" s="4"/>
      <c r="AK145" s="4"/>
      <c r="AL145" s="4"/>
      <c r="AM145" s="4"/>
      <c r="AN145" s="4"/>
    </row>
    <row r="146" spans="1:40" ht="19" x14ac:dyDescent="0.25">
      <c r="B146" s="81" t="s">
        <v>126</v>
      </c>
      <c r="C146" s="82"/>
      <c r="D146" s="37"/>
      <c r="E146" s="58" t="s">
        <v>16</v>
      </c>
      <c r="F146" s="21" t="str">
        <f>IF(H146=-0.33,IF(H144=H$1,H144,""),"")</f>
        <v/>
      </c>
      <c r="G146" s="18"/>
      <c r="H146" s="150" t="str">
        <f>IF(E$197="comprobar",COUNTIF(D145:D149,"x"),"")</f>
        <v/>
      </c>
      <c r="Y146" s="4"/>
      <c r="Z146" s="4"/>
      <c r="AA146" s="4"/>
      <c r="AB146" s="4"/>
      <c r="AC146" s="4"/>
      <c r="AD146" s="4"/>
      <c r="AE146" s="4"/>
      <c r="AF146" s="4"/>
      <c r="AG146" s="4"/>
      <c r="AH146" s="4"/>
      <c r="AI146" s="4"/>
      <c r="AJ146" s="4"/>
      <c r="AK146" s="4"/>
      <c r="AL146" s="4"/>
      <c r="AM146" s="4"/>
      <c r="AN146" s="4"/>
    </row>
    <row r="147" spans="1:40" ht="19" x14ac:dyDescent="0.25">
      <c r="B147" s="81" t="s">
        <v>127</v>
      </c>
      <c r="C147" s="82"/>
      <c r="D147" s="37"/>
      <c r="E147" s="58" t="s">
        <v>17</v>
      </c>
      <c r="F147" s="24"/>
      <c r="G147" s="18"/>
      <c r="H147" s="151">
        <f t="shared" si="10"/>
        <v>0</v>
      </c>
      <c r="Y147" s="4"/>
      <c r="Z147" s="4"/>
      <c r="AA147" s="4"/>
      <c r="AB147" s="4"/>
      <c r="AC147" s="4"/>
      <c r="AD147" s="4"/>
      <c r="AE147" s="4"/>
      <c r="AF147" s="4"/>
      <c r="AG147" s="4"/>
      <c r="AH147" s="4"/>
      <c r="AI147" s="4"/>
      <c r="AJ147" s="4"/>
      <c r="AK147" s="4"/>
      <c r="AL147" s="4"/>
      <c r="AM147" s="4"/>
      <c r="AN147" s="4"/>
    </row>
    <row r="148" spans="1:40" ht="19" x14ac:dyDescent="0.25">
      <c r="B148" s="81" t="s">
        <v>128</v>
      </c>
      <c r="C148" s="83"/>
      <c r="D148" s="37"/>
      <c r="E148" s="58" t="s">
        <v>18</v>
      </c>
      <c r="F148" s="19"/>
      <c r="G148" s="18"/>
      <c r="H148" s="151"/>
      <c r="Y148" s="4"/>
      <c r="Z148" s="4"/>
      <c r="AA148" s="4"/>
      <c r="AB148" s="4"/>
      <c r="AC148" s="4"/>
      <c r="AD148" s="4"/>
      <c r="AE148" s="4"/>
      <c r="AF148" s="4"/>
      <c r="AG148" s="4"/>
      <c r="AH148" s="4"/>
      <c r="AI148" s="4"/>
      <c r="AJ148" s="4"/>
      <c r="AK148" s="4"/>
      <c r="AL148" s="4"/>
      <c r="AM148" s="4"/>
      <c r="AN148" s="4"/>
    </row>
    <row r="149" spans="1:40" s="16" customFormat="1" ht="19" x14ac:dyDescent="0.25">
      <c r="A149" s="155"/>
      <c r="B149" s="84" t="s">
        <v>112</v>
      </c>
      <c r="C149" s="85"/>
      <c r="D149" s="38"/>
      <c r="E149" s="57"/>
      <c r="F149" s="25"/>
      <c r="G149" s="18"/>
      <c r="H149" s="18"/>
      <c r="I149" s="4"/>
      <c r="J149" s="4"/>
      <c r="K149" s="4"/>
      <c r="L149" s="4"/>
      <c r="M149" s="4"/>
      <c r="N149" s="4"/>
      <c r="O149" s="4"/>
      <c r="P149" s="4"/>
      <c r="Q149" s="4"/>
      <c r="R149" s="4"/>
      <c r="S149" s="4"/>
      <c r="T149" s="4"/>
      <c r="U149" s="4"/>
      <c r="V149" s="4"/>
      <c r="W149" s="4"/>
      <c r="X149" s="4"/>
    </row>
    <row r="150" spans="1:40" ht="19" x14ac:dyDescent="0.25">
      <c r="B150" s="79" t="s">
        <v>129</v>
      </c>
      <c r="C150" s="80"/>
      <c r="D150" s="37"/>
      <c r="E150" s="58" t="s">
        <v>15</v>
      </c>
      <c r="F150" s="24"/>
      <c r="G150" s="18"/>
      <c r="H150" s="150" t="b">
        <f>IF(D152="x",H$2,H$1)</f>
        <v>0</v>
      </c>
      <c r="Y150" s="4"/>
      <c r="Z150" s="4"/>
      <c r="AA150" s="4"/>
      <c r="AB150" s="4"/>
      <c r="AC150" s="4"/>
      <c r="AD150" s="4"/>
      <c r="AE150" s="4"/>
      <c r="AF150" s="4"/>
      <c r="AG150" s="4"/>
      <c r="AH150" s="4"/>
      <c r="AI150" s="4"/>
      <c r="AJ150" s="4"/>
      <c r="AK150" s="4"/>
      <c r="AL150" s="4"/>
      <c r="AM150" s="4"/>
      <c r="AN150" s="4"/>
    </row>
    <row r="151" spans="1:40" ht="19" x14ac:dyDescent="0.25">
      <c r="B151" s="81" t="s">
        <v>130</v>
      </c>
      <c r="C151" s="82"/>
      <c r="D151" s="37"/>
      <c r="E151" s="58" t="s">
        <v>16</v>
      </c>
      <c r="F151" s="20" t="str">
        <f>IF(H152=1,IF(H150=H$2,H150,""),"")</f>
        <v/>
      </c>
      <c r="G151" s="18"/>
      <c r="H151" s="150" t="str">
        <f>IF(E$197="comprobar",COUNTIF(D150:D154,"x"),"")</f>
        <v/>
      </c>
      <c r="Y151" s="4"/>
      <c r="Z151" s="4"/>
      <c r="AA151" s="4"/>
      <c r="AB151" s="4"/>
      <c r="AC151" s="4"/>
      <c r="AD151" s="4"/>
      <c r="AE151" s="4"/>
      <c r="AF151" s="4"/>
      <c r="AG151" s="4"/>
      <c r="AH151" s="4"/>
      <c r="AI151" s="4"/>
      <c r="AJ151" s="4"/>
      <c r="AK151" s="4"/>
      <c r="AL151" s="4"/>
      <c r="AM151" s="4"/>
      <c r="AN151" s="4"/>
    </row>
    <row r="152" spans="1:40" ht="19" x14ac:dyDescent="0.25">
      <c r="B152" s="81" t="s">
        <v>131</v>
      </c>
      <c r="C152" s="82"/>
      <c r="D152" s="37"/>
      <c r="E152" s="58" t="s">
        <v>17</v>
      </c>
      <c r="F152" s="21" t="str">
        <f>IF(H152=-0.33,IF(H150=H$1,H150,""),"")</f>
        <v/>
      </c>
      <c r="G152" s="18"/>
      <c r="H152" s="151">
        <f t="shared" si="10"/>
        <v>0</v>
      </c>
      <c r="Y152" s="4"/>
      <c r="Z152" s="4"/>
      <c r="AA152" s="4"/>
      <c r="AB152" s="4"/>
      <c r="AC152" s="4"/>
      <c r="AD152" s="4"/>
      <c r="AE152" s="4"/>
      <c r="AF152" s="4"/>
      <c r="AG152" s="4"/>
      <c r="AH152" s="4"/>
      <c r="AI152" s="4"/>
      <c r="AJ152" s="4"/>
      <c r="AK152" s="4"/>
      <c r="AL152" s="4"/>
      <c r="AM152" s="4"/>
      <c r="AN152" s="4"/>
    </row>
    <row r="153" spans="1:40" ht="19" x14ac:dyDescent="0.25">
      <c r="B153" s="81" t="s">
        <v>124</v>
      </c>
      <c r="C153" s="82"/>
      <c r="D153" s="37"/>
      <c r="E153" s="58" t="s">
        <v>18</v>
      </c>
      <c r="F153" s="24"/>
      <c r="G153" s="18"/>
      <c r="H153" s="151"/>
      <c r="Y153" s="4"/>
      <c r="Z153" s="4"/>
      <c r="AA153" s="4"/>
      <c r="AB153" s="4"/>
      <c r="AC153" s="4"/>
      <c r="AD153" s="4"/>
      <c r="AE153" s="4"/>
      <c r="AF153" s="4"/>
      <c r="AG153" s="4"/>
      <c r="AH153" s="4"/>
      <c r="AI153" s="4"/>
      <c r="AJ153" s="4"/>
      <c r="AK153" s="4"/>
      <c r="AL153" s="4"/>
      <c r="AM153" s="4"/>
      <c r="AN153" s="4"/>
    </row>
    <row r="154" spans="1:40" ht="19" x14ac:dyDescent="0.25">
      <c r="B154" s="81"/>
      <c r="C154" s="83"/>
      <c r="D154" s="37"/>
      <c r="E154" s="58" t="s">
        <v>19</v>
      </c>
      <c r="F154" s="19"/>
      <c r="G154" s="18"/>
      <c r="H154" s="151"/>
      <c r="Y154" s="4"/>
      <c r="Z154" s="4"/>
      <c r="AA154" s="4"/>
      <c r="AB154" s="4"/>
      <c r="AC154" s="4"/>
      <c r="AD154" s="4"/>
      <c r="AE154" s="4"/>
      <c r="AF154" s="4"/>
      <c r="AG154" s="4"/>
      <c r="AH154" s="4"/>
      <c r="AI154" s="4"/>
      <c r="AJ154" s="4"/>
      <c r="AK154" s="4"/>
      <c r="AL154" s="4"/>
      <c r="AM154" s="4"/>
      <c r="AN154" s="4"/>
    </row>
    <row r="155" spans="1:40" s="16" customFormat="1" ht="19" x14ac:dyDescent="0.25">
      <c r="A155" s="4"/>
      <c r="B155" s="84" t="s">
        <v>113</v>
      </c>
      <c r="C155" s="85"/>
      <c r="D155" s="38"/>
      <c r="E155" s="57"/>
      <c r="F155" s="25"/>
      <c r="G155" s="18"/>
      <c r="H155" s="18"/>
      <c r="I155" s="4"/>
      <c r="J155" s="4"/>
      <c r="K155" s="4"/>
      <c r="L155" s="4"/>
      <c r="M155" s="4"/>
      <c r="N155" s="4"/>
      <c r="O155" s="4"/>
      <c r="P155" s="4"/>
      <c r="Q155" s="4"/>
      <c r="R155" s="4"/>
      <c r="S155" s="4"/>
      <c r="T155" s="4"/>
      <c r="U155" s="4"/>
      <c r="V155" s="4"/>
      <c r="W155" s="4"/>
      <c r="X155" s="4"/>
    </row>
    <row r="156" spans="1:40" ht="19" x14ac:dyDescent="0.25">
      <c r="B156" s="79" t="s">
        <v>132</v>
      </c>
      <c r="C156" s="80"/>
      <c r="D156" s="37"/>
      <c r="E156" s="58" t="s">
        <v>15</v>
      </c>
      <c r="F156" s="24"/>
      <c r="G156" s="18"/>
      <c r="H156" s="150" t="b">
        <f>IF(D158="x",H$2,H$1)</f>
        <v>0</v>
      </c>
      <c r="Y156" s="4"/>
      <c r="Z156" s="4"/>
      <c r="AA156" s="4"/>
      <c r="AB156" s="4"/>
      <c r="AC156" s="4"/>
      <c r="AD156" s="4"/>
      <c r="AE156" s="4"/>
      <c r="AF156" s="4"/>
      <c r="AG156" s="4"/>
      <c r="AH156" s="4"/>
      <c r="AI156" s="4"/>
      <c r="AJ156" s="4"/>
      <c r="AK156" s="4"/>
      <c r="AL156" s="4"/>
      <c r="AM156" s="4"/>
      <c r="AN156" s="4"/>
    </row>
    <row r="157" spans="1:40" ht="19" x14ac:dyDescent="0.25">
      <c r="B157" s="81" t="s">
        <v>133</v>
      </c>
      <c r="C157" s="82"/>
      <c r="D157" s="37"/>
      <c r="E157" s="58" t="s">
        <v>16</v>
      </c>
      <c r="F157" s="20" t="str">
        <f>IF(H158=1,IF(H156=H$2,H156,""),"")</f>
        <v/>
      </c>
      <c r="G157" s="18"/>
      <c r="H157" s="150" t="str">
        <f>IF(E$197="comprobar",COUNTIF(D156:D160,"x"),"")</f>
        <v/>
      </c>
      <c r="Y157" s="4"/>
      <c r="Z157" s="4"/>
      <c r="AA157" s="4"/>
      <c r="AB157" s="4"/>
      <c r="AC157" s="4"/>
      <c r="AD157" s="4"/>
      <c r="AE157" s="4"/>
      <c r="AF157" s="4"/>
      <c r="AG157" s="4"/>
      <c r="AH157" s="4"/>
      <c r="AI157" s="4"/>
      <c r="AJ157" s="4"/>
      <c r="AK157" s="4"/>
      <c r="AL157" s="4"/>
      <c r="AM157" s="4"/>
      <c r="AN157" s="4"/>
    </row>
    <row r="158" spans="1:40" ht="19" x14ac:dyDescent="0.25">
      <c r="B158" s="81" t="s">
        <v>134</v>
      </c>
      <c r="C158" s="82"/>
      <c r="D158" s="37"/>
      <c r="E158" s="58" t="s">
        <v>17</v>
      </c>
      <c r="F158" s="21" t="str">
        <f>IF(H158=-0.33,IF(H156=H$1,H156,""),"")</f>
        <v/>
      </c>
      <c r="G158" s="18"/>
      <c r="H158" s="151">
        <f t="shared" si="10"/>
        <v>0</v>
      </c>
      <c r="Y158" s="4"/>
      <c r="Z158" s="4"/>
      <c r="AA158" s="4"/>
      <c r="AB158" s="4"/>
      <c r="AC158" s="4"/>
      <c r="AD158" s="4"/>
      <c r="AE158" s="4"/>
      <c r="AF158" s="4"/>
      <c r="AG158" s="4"/>
      <c r="AH158" s="4"/>
      <c r="AI158" s="4"/>
      <c r="AJ158" s="4"/>
      <c r="AK158" s="4"/>
      <c r="AL158" s="4"/>
      <c r="AM158" s="4"/>
      <c r="AN158" s="4"/>
    </row>
    <row r="159" spans="1:40" ht="19" x14ac:dyDescent="0.25">
      <c r="B159" s="81" t="s">
        <v>135</v>
      </c>
      <c r="C159" s="82"/>
      <c r="D159" s="37"/>
      <c r="E159" s="58" t="s">
        <v>18</v>
      </c>
      <c r="F159" s="24"/>
      <c r="G159" s="18"/>
      <c r="H159" s="151"/>
      <c r="Y159" s="4"/>
      <c r="Z159" s="4"/>
      <c r="AA159" s="4"/>
      <c r="AB159" s="4"/>
      <c r="AC159" s="4"/>
      <c r="AD159" s="4"/>
      <c r="AE159" s="4"/>
      <c r="AF159" s="4"/>
      <c r="AG159" s="4"/>
      <c r="AH159" s="4"/>
      <c r="AI159" s="4"/>
      <c r="AJ159" s="4"/>
      <c r="AK159" s="4"/>
      <c r="AL159" s="4"/>
      <c r="AM159" s="4"/>
      <c r="AN159" s="4"/>
    </row>
    <row r="160" spans="1:40" ht="19" x14ac:dyDescent="0.25">
      <c r="B160" s="81"/>
      <c r="C160" s="83"/>
      <c r="D160" s="37"/>
      <c r="E160" s="58" t="s">
        <v>19</v>
      </c>
      <c r="F160" s="19"/>
      <c r="G160" s="18"/>
      <c r="H160" s="151"/>
      <c r="Y160" s="4"/>
      <c r="Z160" s="4"/>
      <c r="AA160" s="4"/>
      <c r="AB160" s="4"/>
      <c r="AC160" s="4"/>
      <c r="AD160" s="4"/>
      <c r="AE160" s="4"/>
      <c r="AF160" s="4"/>
      <c r="AG160" s="4"/>
      <c r="AH160" s="4"/>
      <c r="AI160" s="4"/>
      <c r="AJ160" s="4"/>
      <c r="AK160" s="4"/>
      <c r="AL160" s="4"/>
      <c r="AM160" s="4"/>
      <c r="AN160" s="4"/>
    </row>
    <row r="161" spans="1:40" s="16" customFormat="1" ht="19" x14ac:dyDescent="0.25">
      <c r="A161" s="4"/>
      <c r="B161" s="84" t="s">
        <v>114</v>
      </c>
      <c r="C161" s="85"/>
      <c r="D161" s="38"/>
      <c r="E161" s="57"/>
      <c r="F161" s="25"/>
      <c r="G161" s="18"/>
      <c r="H161" s="18"/>
      <c r="I161" s="4"/>
      <c r="J161" s="4"/>
      <c r="K161" s="4"/>
      <c r="L161" s="4"/>
      <c r="M161" s="4"/>
      <c r="N161" s="4"/>
      <c r="O161" s="4"/>
      <c r="P161" s="4"/>
      <c r="Q161" s="4"/>
      <c r="R161" s="4"/>
      <c r="S161" s="4"/>
      <c r="T161" s="4"/>
      <c r="U161" s="4"/>
      <c r="V161" s="4"/>
      <c r="W161" s="4"/>
      <c r="X161" s="4"/>
    </row>
    <row r="162" spans="1:40" ht="19" x14ac:dyDescent="0.25">
      <c r="B162" s="79" t="s">
        <v>136</v>
      </c>
      <c r="C162" s="80"/>
      <c r="D162" s="37"/>
      <c r="E162" s="58" t="s">
        <v>15</v>
      </c>
      <c r="F162" s="24"/>
      <c r="G162" s="18"/>
      <c r="H162" s="150" t="b">
        <f>IF(D163="x",H$2,H$1)</f>
        <v>0</v>
      </c>
      <c r="Y162" s="4"/>
      <c r="Z162" s="4"/>
      <c r="AA162" s="4"/>
      <c r="AB162" s="4"/>
      <c r="AC162" s="4"/>
      <c r="AD162" s="4"/>
      <c r="AE162" s="4"/>
      <c r="AF162" s="4"/>
      <c r="AG162" s="4"/>
      <c r="AH162" s="4"/>
      <c r="AI162" s="4"/>
      <c r="AJ162" s="4"/>
      <c r="AK162" s="4"/>
      <c r="AL162" s="4"/>
      <c r="AM162" s="4"/>
      <c r="AN162" s="4"/>
    </row>
    <row r="163" spans="1:40" ht="19" x14ac:dyDescent="0.25">
      <c r="B163" s="81" t="s">
        <v>137</v>
      </c>
      <c r="C163" s="82"/>
      <c r="D163" s="37"/>
      <c r="E163" s="58" t="s">
        <v>16</v>
      </c>
      <c r="F163" s="20" t="str">
        <f>IF(H164=1,IF(H162=H$2,H162,""),"")</f>
        <v/>
      </c>
      <c r="G163" s="18"/>
      <c r="H163" s="150" t="str">
        <f>IF(E$197="comprobar",COUNTIF(D162:D166,"x"),"")</f>
        <v/>
      </c>
      <c r="Y163" s="4"/>
      <c r="Z163" s="4"/>
      <c r="AA163" s="4"/>
      <c r="AB163" s="4"/>
      <c r="AC163" s="4"/>
      <c r="AD163" s="4"/>
      <c r="AE163" s="4"/>
      <c r="AF163" s="4"/>
      <c r="AG163" s="4"/>
      <c r="AH163" s="4"/>
      <c r="AI163" s="4"/>
      <c r="AJ163" s="4"/>
      <c r="AK163" s="4"/>
      <c r="AL163" s="4"/>
      <c r="AM163" s="4"/>
      <c r="AN163" s="4"/>
    </row>
    <row r="164" spans="1:40" ht="19" x14ac:dyDescent="0.25">
      <c r="B164" s="81" t="s">
        <v>138</v>
      </c>
      <c r="C164" s="82"/>
      <c r="D164" s="37"/>
      <c r="E164" s="58" t="s">
        <v>17</v>
      </c>
      <c r="F164" s="21" t="str">
        <f>IF(H164=-0.33,IF(H162=H$1,H162,""),"")</f>
        <v/>
      </c>
      <c r="G164" s="18"/>
      <c r="H164" s="151">
        <f t="shared" si="10"/>
        <v>0</v>
      </c>
      <c r="Y164" s="4"/>
      <c r="Z164" s="4"/>
      <c r="AA164" s="4"/>
      <c r="AB164" s="4"/>
      <c r="AC164" s="4"/>
      <c r="AD164" s="4"/>
      <c r="AE164" s="4"/>
      <c r="AF164" s="4"/>
      <c r="AG164" s="4"/>
      <c r="AH164" s="4"/>
      <c r="AI164" s="4"/>
      <c r="AJ164" s="4"/>
      <c r="AK164" s="4"/>
      <c r="AL164" s="4"/>
      <c r="AM164" s="4"/>
      <c r="AN164" s="4"/>
    </row>
    <row r="165" spans="1:40" ht="19" x14ac:dyDescent="0.25">
      <c r="B165" s="81" t="s">
        <v>139</v>
      </c>
      <c r="C165" s="82"/>
      <c r="D165" s="37"/>
      <c r="E165" s="58" t="s">
        <v>18</v>
      </c>
      <c r="F165" s="24"/>
      <c r="G165" s="18"/>
      <c r="H165" s="151"/>
      <c r="Y165" s="4"/>
      <c r="Z165" s="4"/>
      <c r="AA165" s="4"/>
      <c r="AB165" s="4"/>
      <c r="AC165" s="4"/>
      <c r="AD165" s="4"/>
      <c r="AE165" s="4"/>
      <c r="AF165" s="4"/>
      <c r="AG165" s="4"/>
      <c r="AH165" s="4"/>
      <c r="AI165" s="4"/>
      <c r="AJ165" s="4"/>
      <c r="AK165" s="4"/>
      <c r="AL165" s="4"/>
      <c r="AM165" s="4"/>
      <c r="AN165" s="4"/>
    </row>
    <row r="166" spans="1:40" ht="19" x14ac:dyDescent="0.25">
      <c r="B166" s="81"/>
      <c r="C166" s="83"/>
      <c r="D166" s="37"/>
      <c r="E166" s="58" t="s">
        <v>19</v>
      </c>
      <c r="F166" s="19"/>
      <c r="G166" s="18"/>
      <c r="H166" s="151"/>
      <c r="Y166" s="4"/>
      <c r="Z166" s="4"/>
      <c r="AA166" s="4"/>
      <c r="AB166" s="4"/>
      <c r="AC166" s="4"/>
      <c r="AD166" s="4"/>
      <c r="AE166" s="4"/>
      <c r="AF166" s="4"/>
      <c r="AG166" s="4"/>
      <c r="AH166" s="4"/>
      <c r="AI166" s="4"/>
      <c r="AJ166" s="4"/>
      <c r="AK166" s="4"/>
      <c r="AL166" s="4"/>
      <c r="AM166" s="4"/>
      <c r="AN166" s="4"/>
    </row>
    <row r="167" spans="1:40" s="16" customFormat="1" ht="19" x14ac:dyDescent="0.25">
      <c r="A167" s="4"/>
      <c r="B167" s="84" t="s">
        <v>115</v>
      </c>
      <c r="C167" s="86"/>
      <c r="D167" s="38"/>
      <c r="E167" s="57"/>
      <c r="F167" s="25"/>
      <c r="G167" s="18"/>
      <c r="H167" s="18"/>
      <c r="I167" s="4"/>
      <c r="J167" s="4"/>
      <c r="K167" s="4"/>
      <c r="L167" s="4"/>
      <c r="M167" s="4"/>
      <c r="N167" s="4"/>
      <c r="O167" s="4"/>
      <c r="P167" s="4"/>
      <c r="Q167" s="4"/>
      <c r="R167" s="4"/>
      <c r="S167" s="4"/>
      <c r="T167" s="4"/>
      <c r="U167" s="4"/>
      <c r="V167" s="4"/>
      <c r="W167" s="4"/>
      <c r="X167" s="4"/>
    </row>
    <row r="168" spans="1:40" ht="19" x14ac:dyDescent="0.25">
      <c r="B168" s="79" t="s">
        <v>140</v>
      </c>
      <c r="C168" s="80"/>
      <c r="D168" s="37"/>
      <c r="E168" s="58" t="s">
        <v>15</v>
      </c>
      <c r="F168" s="24"/>
      <c r="G168" s="18"/>
      <c r="H168" s="150" t="b">
        <f>IF(D168="x",H$2,H$1)</f>
        <v>0</v>
      </c>
      <c r="Y168" s="4"/>
      <c r="Z168" s="4"/>
      <c r="AA168" s="4"/>
      <c r="AB168" s="4"/>
      <c r="AC168" s="4"/>
      <c r="AD168" s="4"/>
      <c r="AE168" s="4"/>
      <c r="AF168" s="4"/>
      <c r="AG168" s="4"/>
      <c r="AH168" s="4"/>
      <c r="AI168" s="4"/>
      <c r="AJ168" s="4"/>
      <c r="AK168" s="4"/>
      <c r="AL168" s="4"/>
      <c r="AM168" s="4"/>
      <c r="AN168" s="4"/>
    </row>
    <row r="169" spans="1:40" ht="19" x14ac:dyDescent="0.25">
      <c r="B169" s="81" t="s">
        <v>141</v>
      </c>
      <c r="C169" s="82"/>
      <c r="D169" s="37"/>
      <c r="E169" s="58" t="s">
        <v>16</v>
      </c>
      <c r="F169" s="20" t="str">
        <f>IF(H170=1,IF(H168=H$2,H168,""),"")</f>
        <v/>
      </c>
      <c r="G169" s="18"/>
      <c r="H169" s="150" t="str">
        <f>IF(E$197="comprobar",COUNTIF(D168:D172,"x"),"")</f>
        <v/>
      </c>
      <c r="Y169" s="4"/>
      <c r="Z169" s="4"/>
      <c r="AA169" s="4"/>
      <c r="AB169" s="4"/>
      <c r="AC169" s="4"/>
      <c r="AD169" s="4"/>
      <c r="AE169" s="4"/>
      <c r="AF169" s="4"/>
      <c r="AG169" s="4"/>
      <c r="AH169" s="4"/>
      <c r="AI169" s="4"/>
      <c r="AJ169" s="4"/>
      <c r="AK169" s="4"/>
      <c r="AL169" s="4"/>
      <c r="AM169" s="4"/>
      <c r="AN169" s="4"/>
    </row>
    <row r="170" spans="1:40" ht="19" x14ac:dyDescent="0.25">
      <c r="B170" s="81" t="s">
        <v>142</v>
      </c>
      <c r="C170" s="82"/>
      <c r="D170" s="37"/>
      <c r="E170" s="58" t="s">
        <v>17</v>
      </c>
      <c r="F170" s="21" t="str">
        <f>IF(H170=-0.33,IF(H168=H$1,H168,""),"")</f>
        <v/>
      </c>
      <c r="G170" s="18"/>
      <c r="H170" s="151">
        <f t="shared" si="10"/>
        <v>0</v>
      </c>
      <c r="Y170" s="4"/>
      <c r="Z170" s="4"/>
      <c r="AA170" s="4"/>
      <c r="AB170" s="4"/>
      <c r="AC170" s="4"/>
      <c r="AD170" s="4"/>
      <c r="AE170" s="4"/>
      <c r="AF170" s="4"/>
      <c r="AG170" s="4"/>
      <c r="AH170" s="4"/>
      <c r="AI170" s="4"/>
      <c r="AJ170" s="4"/>
      <c r="AK170" s="4"/>
      <c r="AL170" s="4"/>
      <c r="AM170" s="4"/>
      <c r="AN170" s="4"/>
    </row>
    <row r="171" spans="1:40" ht="19" x14ac:dyDescent="0.25">
      <c r="B171" s="81" t="s">
        <v>143</v>
      </c>
      <c r="C171" s="82"/>
      <c r="D171" s="37"/>
      <c r="E171" s="58" t="s">
        <v>18</v>
      </c>
      <c r="F171" s="24"/>
      <c r="G171" s="18"/>
      <c r="H171" s="151"/>
      <c r="Y171" s="4"/>
      <c r="Z171" s="4"/>
      <c r="AA171" s="4"/>
      <c r="AB171" s="4"/>
      <c r="AC171" s="4"/>
      <c r="AD171" s="4"/>
      <c r="AE171" s="4"/>
      <c r="AF171" s="4"/>
      <c r="AG171" s="4"/>
      <c r="AH171" s="4"/>
      <c r="AI171" s="4"/>
      <c r="AJ171" s="4"/>
      <c r="AK171" s="4"/>
      <c r="AL171" s="4"/>
      <c r="AM171" s="4"/>
      <c r="AN171" s="4"/>
    </row>
    <row r="172" spans="1:40" ht="19" x14ac:dyDescent="0.25">
      <c r="B172" s="81"/>
      <c r="C172" s="83"/>
      <c r="D172" s="37"/>
      <c r="E172" s="58" t="s">
        <v>19</v>
      </c>
      <c r="F172" s="19"/>
      <c r="G172" s="18"/>
      <c r="H172" s="151"/>
      <c r="Y172" s="4"/>
      <c r="Z172" s="4"/>
      <c r="AA172" s="4"/>
      <c r="AB172" s="4"/>
      <c r="AC172" s="4"/>
      <c r="AD172" s="4"/>
      <c r="AE172" s="4"/>
      <c r="AF172" s="4"/>
      <c r="AG172" s="4"/>
      <c r="AH172" s="4"/>
      <c r="AI172" s="4"/>
      <c r="AJ172" s="4"/>
      <c r="AK172" s="4"/>
      <c r="AL172" s="4"/>
      <c r="AM172" s="4"/>
      <c r="AN172" s="4"/>
    </row>
    <row r="173" spans="1:40" s="16" customFormat="1" ht="19" x14ac:dyDescent="0.25">
      <c r="A173" s="4"/>
      <c r="B173" s="84" t="s">
        <v>116</v>
      </c>
      <c r="C173" s="85"/>
      <c r="D173" s="38"/>
      <c r="E173" s="57"/>
      <c r="F173" s="25"/>
      <c r="G173" s="18"/>
      <c r="H173" s="18"/>
      <c r="I173" s="4"/>
      <c r="J173" s="4"/>
      <c r="K173" s="4"/>
      <c r="L173" s="4"/>
      <c r="M173" s="4"/>
      <c r="N173" s="4"/>
      <c r="O173" s="4"/>
      <c r="P173" s="4"/>
      <c r="Q173" s="4"/>
      <c r="R173" s="4"/>
      <c r="S173" s="4"/>
      <c r="T173" s="4"/>
      <c r="U173" s="4"/>
      <c r="V173" s="4"/>
      <c r="W173" s="4"/>
      <c r="X173" s="4"/>
    </row>
    <row r="174" spans="1:40" s="33" customFormat="1" ht="19" x14ac:dyDescent="0.25">
      <c r="A174" s="4"/>
      <c r="B174" s="79" t="s">
        <v>144</v>
      </c>
      <c r="C174" s="80"/>
      <c r="D174" s="37"/>
      <c r="E174" s="58" t="s">
        <v>15</v>
      </c>
      <c r="F174" s="24"/>
      <c r="G174" s="18"/>
      <c r="H174" s="150" t="b">
        <f>IF(D175="x",H$2,H$1)</f>
        <v>0</v>
      </c>
      <c r="I174" s="54"/>
      <c r="J174" s="54"/>
      <c r="K174" s="54"/>
      <c r="L174" s="54"/>
      <c r="M174" s="54"/>
      <c r="N174" s="54"/>
      <c r="O174" s="54"/>
      <c r="P174" s="54"/>
      <c r="Q174" s="54"/>
      <c r="R174" s="54"/>
      <c r="S174" s="54"/>
      <c r="T174" s="54"/>
      <c r="U174" s="54"/>
      <c r="V174" s="54"/>
      <c r="W174" s="54"/>
      <c r="X174" s="54"/>
      <c r="Y174" s="54"/>
      <c r="Z174" s="54"/>
      <c r="AA174" s="54"/>
      <c r="AB174" s="54"/>
      <c r="AC174" s="54"/>
      <c r="AD174" s="54"/>
      <c r="AE174" s="54"/>
      <c r="AF174" s="54"/>
      <c r="AG174" s="54"/>
      <c r="AH174" s="54"/>
      <c r="AI174" s="54"/>
      <c r="AJ174" s="54"/>
      <c r="AK174" s="54"/>
      <c r="AL174" s="54"/>
      <c r="AM174" s="54"/>
      <c r="AN174" s="54"/>
    </row>
    <row r="175" spans="1:40" ht="19" x14ac:dyDescent="0.25">
      <c r="B175" s="81" t="s">
        <v>145</v>
      </c>
      <c r="C175" s="82"/>
      <c r="D175" s="37"/>
      <c r="E175" s="58" t="s">
        <v>16</v>
      </c>
      <c r="F175" s="20" t="str">
        <f>IF(H176=1,IF(H174=H$2,H174,""),"")</f>
        <v/>
      </c>
      <c r="G175" s="18"/>
      <c r="H175" s="150" t="str">
        <f>IF(E$197="comprobar",COUNTIF(D174:D178,"x"),"")</f>
        <v/>
      </c>
      <c r="Y175" s="4"/>
      <c r="Z175" s="4"/>
      <c r="AA175" s="4"/>
      <c r="AB175" s="4"/>
      <c r="AC175" s="4"/>
      <c r="AD175" s="4"/>
      <c r="AE175" s="4"/>
      <c r="AF175" s="4"/>
      <c r="AG175" s="4"/>
      <c r="AH175" s="4"/>
      <c r="AI175" s="4"/>
      <c r="AJ175" s="4"/>
      <c r="AK175" s="4"/>
      <c r="AL175" s="4"/>
      <c r="AM175" s="4"/>
      <c r="AN175" s="4"/>
    </row>
    <row r="176" spans="1:40" ht="19" x14ac:dyDescent="0.25">
      <c r="B176" s="81" t="s">
        <v>146</v>
      </c>
      <c r="C176" s="82"/>
      <c r="D176" s="37"/>
      <c r="E176" s="58" t="s">
        <v>17</v>
      </c>
      <c r="F176" s="21" t="str">
        <f>IF(H176=-0.33,IF(H174=H$1,H174,""),"")</f>
        <v/>
      </c>
      <c r="G176" s="18"/>
      <c r="H176" s="151">
        <f t="shared" si="10"/>
        <v>0</v>
      </c>
      <c r="Y176" s="4"/>
      <c r="Z176" s="4"/>
      <c r="AA176" s="4"/>
      <c r="AB176" s="4"/>
      <c r="AC176" s="4"/>
      <c r="AD176" s="4"/>
      <c r="AE176" s="4"/>
      <c r="AF176" s="4"/>
      <c r="AG176" s="4"/>
      <c r="AH176" s="4"/>
      <c r="AI176" s="4"/>
      <c r="AJ176" s="4"/>
      <c r="AK176" s="4"/>
      <c r="AL176" s="4"/>
      <c r="AM176" s="4"/>
      <c r="AN176" s="4"/>
    </row>
    <row r="177" spans="1:40" ht="19" x14ac:dyDescent="0.25">
      <c r="B177" s="81" t="s">
        <v>147</v>
      </c>
      <c r="C177" s="82"/>
      <c r="D177" s="37"/>
      <c r="E177" s="58" t="s">
        <v>18</v>
      </c>
      <c r="F177" s="24"/>
      <c r="G177" s="18"/>
      <c r="H177" s="151"/>
      <c r="Y177" s="4"/>
      <c r="Z177" s="4"/>
      <c r="AA177" s="4"/>
      <c r="AB177" s="4"/>
      <c r="AC177" s="4"/>
      <c r="AD177" s="4"/>
      <c r="AE177" s="4"/>
      <c r="AF177" s="4"/>
      <c r="AG177" s="4"/>
      <c r="AH177" s="4"/>
      <c r="AI177" s="4"/>
      <c r="AJ177" s="4"/>
      <c r="AK177" s="4"/>
      <c r="AL177" s="4"/>
      <c r="AM177" s="4"/>
      <c r="AN177" s="4"/>
    </row>
    <row r="178" spans="1:40" ht="19" x14ac:dyDescent="0.25">
      <c r="B178" s="81"/>
      <c r="C178" s="83"/>
      <c r="D178" s="37"/>
      <c r="E178" s="58" t="s">
        <v>19</v>
      </c>
      <c r="F178" s="19"/>
      <c r="G178" s="18"/>
      <c r="H178" s="151"/>
      <c r="Y178" s="4"/>
      <c r="Z178" s="4"/>
      <c r="AA178" s="4"/>
      <c r="AB178" s="4"/>
      <c r="AC178" s="4"/>
      <c r="AD178" s="4"/>
      <c r="AE178" s="4"/>
      <c r="AF178" s="4"/>
      <c r="AG178" s="4"/>
      <c r="AH178" s="4"/>
      <c r="AI178" s="4"/>
      <c r="AJ178" s="4"/>
      <c r="AK178" s="4"/>
      <c r="AL178" s="4"/>
      <c r="AM178" s="4"/>
      <c r="AN178" s="4"/>
    </row>
    <row r="179" spans="1:40" s="16" customFormat="1" ht="19" x14ac:dyDescent="0.25">
      <c r="A179" s="4"/>
      <c r="B179" s="84" t="s">
        <v>117</v>
      </c>
      <c r="C179" s="85"/>
      <c r="D179" s="38"/>
      <c r="E179" s="57"/>
      <c r="F179" s="25"/>
      <c r="G179" s="18"/>
      <c r="H179" s="18"/>
      <c r="I179" s="4"/>
      <c r="J179" s="4"/>
      <c r="K179" s="4"/>
      <c r="L179" s="4"/>
      <c r="M179" s="4"/>
      <c r="N179" s="4"/>
      <c r="O179" s="4"/>
      <c r="P179" s="4"/>
      <c r="Q179" s="4"/>
      <c r="R179" s="4"/>
      <c r="S179" s="4"/>
      <c r="T179" s="4"/>
      <c r="U179" s="4"/>
      <c r="V179" s="4"/>
      <c r="W179" s="4"/>
      <c r="X179" s="4"/>
    </row>
    <row r="180" spans="1:40" ht="19" x14ac:dyDescent="0.25">
      <c r="B180" s="79" t="s">
        <v>148</v>
      </c>
      <c r="C180" s="80"/>
      <c r="D180" s="37"/>
      <c r="E180" s="58" t="s">
        <v>15</v>
      </c>
      <c r="F180" s="24"/>
      <c r="G180" s="18"/>
      <c r="H180" s="150" t="b">
        <f>IF(D180="x",H$2,H$1)</f>
        <v>0</v>
      </c>
      <c r="Y180" s="4"/>
      <c r="Z180" s="4"/>
      <c r="AA180" s="4"/>
      <c r="AB180" s="4"/>
      <c r="AC180" s="4"/>
      <c r="AD180" s="4"/>
      <c r="AE180" s="4"/>
      <c r="AF180" s="4"/>
      <c r="AG180" s="4"/>
      <c r="AH180" s="4"/>
      <c r="AI180" s="4"/>
      <c r="AJ180" s="4"/>
      <c r="AK180" s="4"/>
      <c r="AL180" s="4"/>
      <c r="AM180" s="4"/>
      <c r="AN180" s="4"/>
    </row>
    <row r="181" spans="1:40" ht="19" x14ac:dyDescent="0.25">
      <c r="B181" s="81" t="s">
        <v>149</v>
      </c>
      <c r="C181" s="82"/>
      <c r="D181" s="37"/>
      <c r="E181" s="58" t="s">
        <v>16</v>
      </c>
      <c r="F181" s="20" t="str">
        <f>IF(H182=1,IF(H180=H$2,H180,""),"")</f>
        <v/>
      </c>
      <c r="G181" s="18"/>
      <c r="H181" s="150" t="str">
        <f>IF(E$197="comprobar",COUNTIF(D180:D184,"x"),"")</f>
        <v/>
      </c>
      <c r="Y181" s="4"/>
      <c r="Z181" s="4"/>
      <c r="AA181" s="4"/>
      <c r="AB181" s="4"/>
      <c r="AC181" s="4"/>
      <c r="AD181" s="4"/>
      <c r="AE181" s="4"/>
      <c r="AF181" s="4"/>
      <c r="AG181" s="4"/>
      <c r="AH181" s="4"/>
      <c r="AI181" s="4"/>
      <c r="AJ181" s="4"/>
      <c r="AK181" s="4"/>
      <c r="AL181" s="4"/>
      <c r="AM181" s="4"/>
      <c r="AN181" s="4"/>
    </row>
    <row r="182" spans="1:40" ht="19" x14ac:dyDescent="0.25">
      <c r="B182" s="81" t="s">
        <v>150</v>
      </c>
      <c r="C182" s="82"/>
      <c r="D182" s="37"/>
      <c r="E182" s="58" t="s">
        <v>17</v>
      </c>
      <c r="F182" s="21" t="str">
        <f>IF(H182=-0.33,IF(H180=H$1,H180,""),"")</f>
        <v/>
      </c>
      <c r="G182" s="18"/>
      <c r="H182" s="151">
        <f t="shared" si="10"/>
        <v>0</v>
      </c>
      <c r="Y182" s="4"/>
      <c r="Z182" s="4"/>
      <c r="AA182" s="4"/>
      <c r="AB182" s="4"/>
      <c r="AC182" s="4"/>
      <c r="AD182" s="4"/>
      <c r="AE182" s="4"/>
      <c r="AF182" s="4"/>
      <c r="AG182" s="4"/>
      <c r="AH182" s="4"/>
      <c r="AI182" s="4"/>
      <c r="AJ182" s="4"/>
      <c r="AK182" s="4"/>
      <c r="AL182" s="4"/>
      <c r="AM182" s="4"/>
      <c r="AN182" s="4"/>
    </row>
    <row r="183" spans="1:40" ht="19" x14ac:dyDescent="0.25">
      <c r="B183" s="81" t="s">
        <v>151</v>
      </c>
      <c r="C183" s="82"/>
      <c r="D183" s="37"/>
      <c r="E183" s="58" t="s">
        <v>18</v>
      </c>
      <c r="F183" s="24"/>
      <c r="G183" s="18"/>
      <c r="H183" s="151"/>
      <c r="Y183" s="4"/>
      <c r="Z183" s="4"/>
      <c r="AA183" s="4"/>
      <c r="AB183" s="4"/>
      <c r="AC183" s="4"/>
      <c r="AD183" s="4"/>
      <c r="AE183" s="4"/>
      <c r="AF183" s="4"/>
      <c r="AG183" s="4"/>
      <c r="AH183" s="4"/>
      <c r="AI183" s="4"/>
      <c r="AJ183" s="4"/>
      <c r="AK183" s="4"/>
      <c r="AL183" s="4"/>
      <c r="AM183" s="4"/>
      <c r="AN183" s="4"/>
    </row>
    <row r="184" spans="1:40" ht="19" x14ac:dyDescent="0.25">
      <c r="B184" s="81"/>
      <c r="C184" s="83"/>
      <c r="D184" s="37"/>
      <c r="E184" s="58" t="s">
        <v>19</v>
      </c>
      <c r="F184" s="19"/>
      <c r="G184" s="18"/>
      <c r="H184" s="151"/>
      <c r="Y184" s="4"/>
      <c r="Z184" s="4"/>
      <c r="AA184" s="4"/>
      <c r="AB184" s="4"/>
      <c r="AC184" s="4"/>
      <c r="AD184" s="4"/>
      <c r="AE184" s="4"/>
      <c r="AF184" s="4"/>
      <c r="AG184" s="4"/>
      <c r="AH184" s="4"/>
      <c r="AI184" s="4"/>
      <c r="AJ184" s="4"/>
      <c r="AK184" s="4"/>
      <c r="AL184" s="4"/>
      <c r="AM184" s="4"/>
      <c r="AN184" s="4"/>
    </row>
    <row r="185" spans="1:40" s="16" customFormat="1" ht="19" x14ac:dyDescent="0.25">
      <c r="A185" s="4"/>
      <c r="B185" s="84" t="s">
        <v>118</v>
      </c>
      <c r="C185" s="86"/>
      <c r="D185" s="38"/>
      <c r="E185" s="57"/>
      <c r="F185" s="25"/>
      <c r="G185" s="18"/>
      <c r="H185" s="18"/>
      <c r="I185" s="4"/>
      <c r="J185" s="4"/>
      <c r="K185" s="4"/>
      <c r="L185" s="4"/>
      <c r="M185" s="4"/>
      <c r="N185" s="4"/>
      <c r="O185" s="4"/>
      <c r="P185" s="4"/>
      <c r="Q185" s="4"/>
      <c r="R185" s="4"/>
      <c r="S185" s="4"/>
      <c r="T185" s="4"/>
      <c r="U185" s="4"/>
      <c r="V185" s="4"/>
      <c r="W185" s="4"/>
      <c r="X185" s="4"/>
    </row>
    <row r="186" spans="1:40" ht="19" x14ac:dyDescent="0.25">
      <c r="B186" s="79" t="s">
        <v>152</v>
      </c>
      <c r="C186" s="80"/>
      <c r="D186" s="37"/>
      <c r="E186" s="58" t="s">
        <v>15</v>
      </c>
      <c r="F186" s="24"/>
      <c r="G186" s="18"/>
      <c r="H186" s="150" t="b">
        <f>IF(D189="x",H$2,H$1)</f>
        <v>0</v>
      </c>
      <c r="Y186" s="4"/>
      <c r="Z186" s="4"/>
      <c r="AA186" s="4"/>
      <c r="AB186" s="4"/>
      <c r="AC186" s="4"/>
      <c r="AD186" s="4"/>
      <c r="AE186" s="4"/>
      <c r="AF186" s="4"/>
      <c r="AG186" s="4"/>
      <c r="AH186" s="4"/>
      <c r="AI186" s="4"/>
      <c r="AJ186" s="4"/>
      <c r="AK186" s="4"/>
      <c r="AL186" s="4"/>
      <c r="AM186" s="4"/>
      <c r="AN186" s="4"/>
    </row>
    <row r="187" spans="1:40" ht="19" x14ac:dyDescent="0.25">
      <c r="B187" s="81" t="s">
        <v>153</v>
      </c>
      <c r="C187" s="82"/>
      <c r="D187" s="37"/>
      <c r="E187" s="58" t="s">
        <v>16</v>
      </c>
      <c r="F187" s="20" t="str">
        <f>IF(H188=1,IF(H186=H$2,H186,""),"")</f>
        <v/>
      </c>
      <c r="G187" s="18"/>
      <c r="H187" s="150" t="str">
        <f>IF(E$197="comprobar",COUNTIF(D186:D190,"x"),"")</f>
        <v/>
      </c>
      <c r="Y187" s="4"/>
      <c r="Z187" s="4"/>
      <c r="AA187" s="4"/>
      <c r="AB187" s="4"/>
      <c r="AC187" s="4"/>
      <c r="AD187" s="4"/>
      <c r="AE187" s="4"/>
      <c r="AF187" s="4"/>
      <c r="AG187" s="4"/>
      <c r="AH187" s="4"/>
      <c r="AI187" s="4"/>
      <c r="AJ187" s="4"/>
      <c r="AK187" s="4"/>
      <c r="AL187" s="4"/>
      <c r="AM187" s="4"/>
      <c r="AN187" s="4"/>
    </row>
    <row r="188" spans="1:40" ht="19" x14ac:dyDescent="0.25">
      <c r="B188" s="81" t="s">
        <v>154</v>
      </c>
      <c r="C188" s="82"/>
      <c r="D188" s="37"/>
      <c r="E188" s="58" t="s">
        <v>17</v>
      </c>
      <c r="F188" s="21" t="str">
        <f>IF(H188=-0.33,IF(H186=H$1,H186,""),"")</f>
        <v/>
      </c>
      <c r="G188" s="18"/>
      <c r="H188" s="151">
        <f t="shared" si="10"/>
        <v>0</v>
      </c>
      <c r="Y188" s="4"/>
      <c r="Z188" s="4"/>
      <c r="AA188" s="4"/>
      <c r="AB188" s="4"/>
      <c r="AC188" s="4"/>
      <c r="AD188" s="4"/>
      <c r="AE188" s="4"/>
      <c r="AF188" s="4"/>
      <c r="AG188" s="4"/>
      <c r="AH188" s="4"/>
      <c r="AI188" s="4"/>
      <c r="AJ188" s="4"/>
      <c r="AK188" s="4"/>
      <c r="AL188" s="4"/>
      <c r="AM188" s="4"/>
      <c r="AN188" s="4"/>
    </row>
    <row r="189" spans="1:40" ht="19" x14ac:dyDescent="0.25">
      <c r="B189" s="81" t="s">
        <v>155</v>
      </c>
      <c r="C189" s="82"/>
      <c r="D189" s="37"/>
      <c r="E189" s="58" t="s">
        <v>18</v>
      </c>
      <c r="F189" s="24"/>
      <c r="G189" s="18"/>
      <c r="H189" s="151"/>
      <c r="Y189" s="4"/>
      <c r="Z189" s="4"/>
      <c r="AA189" s="4"/>
      <c r="AB189" s="4"/>
      <c r="AC189" s="4"/>
      <c r="AD189" s="4"/>
      <c r="AE189" s="4"/>
      <c r="AF189" s="4"/>
      <c r="AG189" s="4"/>
      <c r="AH189" s="4"/>
      <c r="AI189" s="4"/>
      <c r="AJ189" s="4"/>
      <c r="AK189" s="4"/>
      <c r="AL189" s="4"/>
      <c r="AM189" s="4"/>
      <c r="AN189" s="4"/>
    </row>
    <row r="190" spans="1:40" ht="19" x14ac:dyDescent="0.25">
      <c r="B190" s="81"/>
      <c r="C190" s="83"/>
      <c r="D190" s="37"/>
      <c r="E190" s="58" t="s">
        <v>19</v>
      </c>
      <c r="F190" s="19"/>
      <c r="G190" s="18"/>
      <c r="H190" s="151"/>
      <c r="Y190" s="4"/>
      <c r="Z190" s="4"/>
      <c r="AA190" s="4"/>
      <c r="AB190" s="4"/>
      <c r="AC190" s="4"/>
      <c r="AD190" s="4"/>
      <c r="AE190" s="4"/>
      <c r="AF190" s="4"/>
      <c r="AG190" s="4"/>
      <c r="AH190" s="4"/>
      <c r="AI190" s="4"/>
      <c r="AJ190" s="4"/>
      <c r="AK190" s="4"/>
      <c r="AL190" s="4"/>
      <c r="AM190" s="4"/>
      <c r="AN190" s="4"/>
    </row>
    <row r="191" spans="1:40" s="16" customFormat="1" ht="19" x14ac:dyDescent="0.25">
      <c r="A191" s="4"/>
      <c r="B191" s="84" t="s">
        <v>119</v>
      </c>
      <c r="C191" s="85"/>
      <c r="D191" s="38"/>
      <c r="E191" s="57"/>
      <c r="F191" s="25"/>
      <c r="G191" s="152"/>
      <c r="H191" s="18"/>
      <c r="I191" s="4"/>
      <c r="J191" s="4"/>
      <c r="K191" s="4"/>
      <c r="L191" s="4"/>
      <c r="M191" s="4"/>
      <c r="N191" s="4"/>
      <c r="O191" s="4"/>
      <c r="P191" s="4"/>
      <c r="Q191" s="4"/>
      <c r="R191" s="4"/>
      <c r="S191" s="4"/>
      <c r="T191" s="4"/>
      <c r="U191" s="4"/>
      <c r="V191" s="4"/>
      <c r="W191" s="4"/>
      <c r="X191" s="4"/>
    </row>
    <row r="192" spans="1:40" ht="19" x14ac:dyDescent="0.25">
      <c r="B192" s="79" t="s">
        <v>152</v>
      </c>
      <c r="C192" s="80"/>
      <c r="D192" s="37"/>
      <c r="E192" s="58" t="s">
        <v>15</v>
      </c>
      <c r="F192" s="24"/>
      <c r="G192" s="152"/>
      <c r="H192" s="150" t="b">
        <f>IF(D192="x",H$2,H$1)</f>
        <v>0</v>
      </c>
      <c r="Y192" s="4"/>
      <c r="Z192" s="4"/>
      <c r="AA192" s="4"/>
      <c r="AB192" s="4"/>
      <c r="AC192" s="4"/>
      <c r="AD192" s="4"/>
      <c r="AE192" s="4"/>
      <c r="AF192" s="4"/>
      <c r="AG192" s="4"/>
      <c r="AH192" s="4"/>
      <c r="AI192" s="4"/>
      <c r="AJ192" s="4"/>
      <c r="AK192" s="4"/>
      <c r="AL192" s="4"/>
      <c r="AM192" s="4"/>
      <c r="AN192" s="4"/>
    </row>
    <row r="193" spans="1:40" ht="19" x14ac:dyDescent="0.25">
      <c r="B193" s="81" t="s">
        <v>153</v>
      </c>
      <c r="C193" s="82"/>
      <c r="D193" s="37"/>
      <c r="E193" s="58" t="s">
        <v>16</v>
      </c>
      <c r="F193" s="20" t="str">
        <f>IF(H194=1,IF(H192=H$2,H192,""),"")</f>
        <v/>
      </c>
      <c r="G193" s="152"/>
      <c r="H193" s="150" t="str">
        <f>IF(E$197="comprobar",COUNTIF(D192:D196,"x"),"")</f>
        <v/>
      </c>
      <c r="Y193" s="4"/>
      <c r="Z193" s="4"/>
      <c r="AA193" s="4"/>
      <c r="AB193" s="4"/>
      <c r="AC193" s="4"/>
      <c r="AD193" s="4"/>
      <c r="AE193" s="4"/>
      <c r="AF193" s="4"/>
      <c r="AG193" s="4"/>
      <c r="AH193" s="4"/>
      <c r="AI193" s="4"/>
      <c r="AJ193" s="4"/>
      <c r="AK193" s="4"/>
      <c r="AL193" s="4"/>
      <c r="AM193" s="4"/>
      <c r="AN193" s="4"/>
    </row>
    <row r="194" spans="1:40" ht="19" x14ac:dyDescent="0.25">
      <c r="B194" s="81" t="s">
        <v>154</v>
      </c>
      <c r="C194" s="82"/>
      <c r="D194" s="37"/>
      <c r="E194" s="58" t="s">
        <v>17</v>
      </c>
      <c r="F194" s="21" t="str">
        <f>IF(H194=-0.33,IF(H192=H$1,H192,""),"")</f>
        <v/>
      </c>
      <c r="G194" s="152"/>
      <c r="H194" s="151">
        <f t="shared" si="10"/>
        <v>0</v>
      </c>
      <c r="Y194" s="4"/>
      <c r="Z194" s="4"/>
      <c r="AA194" s="4"/>
      <c r="AB194" s="4"/>
      <c r="AC194" s="4"/>
      <c r="AD194" s="4"/>
      <c r="AE194" s="4"/>
      <c r="AF194" s="4"/>
      <c r="AG194" s="4"/>
      <c r="AH194" s="4"/>
      <c r="AI194" s="4"/>
      <c r="AJ194" s="4"/>
      <c r="AK194" s="4"/>
      <c r="AL194" s="4"/>
      <c r="AM194" s="4"/>
      <c r="AN194" s="4"/>
    </row>
    <row r="195" spans="1:40" ht="19" x14ac:dyDescent="0.25">
      <c r="B195" s="81" t="s">
        <v>156</v>
      </c>
      <c r="C195" s="82"/>
      <c r="D195" s="37"/>
      <c r="E195" s="58" t="s">
        <v>18</v>
      </c>
      <c r="F195" s="24"/>
      <c r="G195" s="152"/>
      <c r="H195" s="151"/>
      <c r="Y195" s="4"/>
      <c r="Z195" s="4"/>
      <c r="AA195" s="4"/>
      <c r="AB195" s="4"/>
      <c r="AC195" s="4"/>
      <c r="AD195" s="4"/>
      <c r="AE195" s="4"/>
      <c r="AF195" s="4"/>
      <c r="AG195" s="4"/>
      <c r="AH195" s="4"/>
      <c r="AI195" s="4"/>
      <c r="AJ195" s="4"/>
      <c r="AK195" s="4"/>
      <c r="AL195" s="4"/>
      <c r="AM195" s="4"/>
      <c r="AN195" s="4"/>
    </row>
    <row r="196" spans="1:40" x14ac:dyDescent="0.2">
      <c r="B196" s="69"/>
      <c r="C196" s="70"/>
      <c r="D196" s="37"/>
      <c r="E196" s="58" t="s">
        <v>19</v>
      </c>
      <c r="F196" s="19"/>
      <c r="G196" s="152"/>
      <c r="H196" s="151"/>
      <c r="Y196" s="4"/>
      <c r="Z196" s="4"/>
      <c r="AA196" s="4"/>
      <c r="AB196" s="4"/>
      <c r="AC196" s="4"/>
      <c r="AD196" s="4"/>
      <c r="AE196" s="4"/>
      <c r="AF196" s="4"/>
      <c r="AG196" s="4"/>
      <c r="AH196" s="4"/>
      <c r="AI196" s="4"/>
      <c r="AJ196" s="4"/>
      <c r="AK196" s="4"/>
      <c r="AL196" s="4"/>
      <c r="AM196" s="4"/>
      <c r="AN196" s="4"/>
    </row>
    <row r="197" spans="1:40" x14ac:dyDescent="0.2">
      <c r="B197" s="44"/>
      <c r="C197" s="40"/>
      <c r="D197" s="53"/>
      <c r="E197" s="59"/>
      <c r="F197" s="19"/>
      <c r="G197" s="18"/>
      <c r="H197" s="18"/>
      <c r="Y197" s="4"/>
      <c r="Z197" s="4"/>
      <c r="AA197" s="4"/>
      <c r="AB197" s="4"/>
      <c r="AC197" s="4"/>
      <c r="AD197" s="4"/>
      <c r="AE197" s="4"/>
      <c r="AF197" s="4"/>
      <c r="AG197" s="4"/>
      <c r="AH197" s="4"/>
      <c r="AI197" s="4"/>
      <c r="AJ197" s="4"/>
      <c r="AK197" s="4"/>
      <c r="AL197" s="4"/>
      <c r="AM197" s="4"/>
      <c r="AN197" s="4"/>
    </row>
    <row r="198" spans="1:40" x14ac:dyDescent="0.2">
      <c r="B198" s="44"/>
      <c r="C198" s="17"/>
      <c r="D198" s="53"/>
      <c r="E198" s="62"/>
      <c r="F198" s="26" t="s">
        <v>8</v>
      </c>
      <c r="G198" s="18" t="s">
        <v>6</v>
      </c>
      <c r="H198" s="18" t="s">
        <v>7</v>
      </c>
      <c r="Y198" s="4"/>
      <c r="Z198" s="4"/>
      <c r="AA198" s="4"/>
      <c r="AB198" s="4"/>
      <c r="AC198" s="4"/>
      <c r="AD198" s="4"/>
      <c r="AE198" s="4"/>
      <c r="AF198" s="4"/>
      <c r="AG198" s="4"/>
      <c r="AH198" s="4"/>
      <c r="AI198" s="4"/>
      <c r="AJ198" s="4"/>
      <c r="AK198" s="4"/>
      <c r="AL198" s="4"/>
      <c r="AM198" s="4"/>
      <c r="AN198" s="4"/>
    </row>
    <row r="199" spans="1:40" ht="20" x14ac:dyDescent="0.2">
      <c r="B199" s="44"/>
      <c r="C199" s="17"/>
      <c r="D199" s="52"/>
      <c r="E199" s="56"/>
      <c r="F199" s="27" t="str">
        <f>IF(E197="comprobar",H194+H188+H182+H176+H170+H164+H158+H152+H146+H140,"")</f>
        <v/>
      </c>
      <c r="G199" s="18">
        <f>10/2</f>
        <v>5</v>
      </c>
      <c r="H199" s="18"/>
      <c r="Y199" s="4"/>
      <c r="Z199" s="4"/>
      <c r="AA199" s="4"/>
      <c r="AB199" s="4"/>
      <c r="AC199" s="4"/>
      <c r="AD199" s="4"/>
      <c r="AE199" s="4"/>
      <c r="AF199" s="4"/>
      <c r="AG199" s="4"/>
      <c r="AH199" s="4"/>
      <c r="AI199" s="4"/>
      <c r="AJ199" s="4"/>
      <c r="AK199" s="4"/>
      <c r="AL199" s="4"/>
      <c r="AM199" s="4"/>
      <c r="AN199" s="4"/>
    </row>
    <row r="200" spans="1:40" ht="17" thickBot="1" x14ac:dyDescent="0.25">
      <c r="B200" s="45"/>
      <c r="C200" s="28"/>
      <c r="D200" s="29"/>
      <c r="E200" s="60"/>
      <c r="F200" s="30" t="str">
        <f>IF(F199&gt;G199,G198,H198)</f>
        <v>APROBADO</v>
      </c>
      <c r="G200" s="18"/>
      <c r="H200" s="18"/>
      <c r="Y200" s="4"/>
      <c r="Z200" s="4"/>
      <c r="AA200" s="4"/>
      <c r="AB200" s="4"/>
      <c r="AC200" s="4"/>
      <c r="AD200" s="4"/>
      <c r="AE200" s="4"/>
      <c r="AF200" s="4"/>
      <c r="AG200" s="4"/>
      <c r="AH200" s="4"/>
      <c r="AI200" s="4"/>
      <c r="AJ200" s="4"/>
      <c r="AK200" s="4"/>
      <c r="AL200" s="4"/>
      <c r="AM200" s="4"/>
      <c r="AN200" s="4"/>
    </row>
    <row r="201" spans="1:40" ht="29" x14ac:dyDescent="0.35">
      <c r="B201" s="177" t="s">
        <v>21</v>
      </c>
      <c r="C201" s="118" t="s">
        <v>11</v>
      </c>
      <c r="D201" s="50"/>
      <c r="E201" s="50"/>
      <c r="F201" s="51"/>
      <c r="Y201" s="4"/>
      <c r="Z201" s="4"/>
      <c r="AA201" s="4"/>
      <c r="AB201" s="4"/>
      <c r="AC201" s="4"/>
      <c r="AD201" s="4"/>
      <c r="AE201" s="4"/>
      <c r="AF201" s="4"/>
      <c r="AG201" s="4"/>
      <c r="AH201" s="4"/>
      <c r="AI201" s="4"/>
      <c r="AJ201" s="4"/>
      <c r="AK201" s="4"/>
      <c r="AL201" s="4"/>
      <c r="AM201" s="4"/>
      <c r="AN201" s="4"/>
    </row>
    <row r="202" spans="1:40" s="16" customFormat="1" ht="19" x14ac:dyDescent="0.2">
      <c r="A202" s="4"/>
      <c r="B202" s="196" t="s">
        <v>157</v>
      </c>
      <c r="C202" s="197"/>
      <c r="D202" s="38"/>
      <c r="E202" s="57"/>
      <c r="F202" s="25"/>
      <c r="G202" s="18"/>
      <c r="H202" s="18"/>
      <c r="I202" s="4"/>
      <c r="J202" s="4"/>
      <c r="K202" s="4"/>
      <c r="L202" s="4"/>
      <c r="M202" s="4"/>
      <c r="N202" s="4"/>
      <c r="O202" s="4"/>
      <c r="P202" s="4"/>
      <c r="Q202" s="4"/>
      <c r="R202" s="4"/>
      <c r="S202" s="4"/>
      <c r="T202" s="4"/>
      <c r="U202" s="4"/>
      <c r="V202" s="4"/>
      <c r="W202" s="4"/>
      <c r="X202" s="4"/>
    </row>
    <row r="203" spans="1:40" ht="19" x14ac:dyDescent="0.25">
      <c r="B203" s="79" t="s">
        <v>171</v>
      </c>
      <c r="C203" s="80"/>
      <c r="D203" s="37"/>
      <c r="E203" s="58" t="s">
        <v>15</v>
      </c>
      <c r="F203" s="24"/>
      <c r="G203" s="18"/>
      <c r="H203" s="150" t="b">
        <f>IF(D205="x",H$2,H$1)</f>
        <v>0</v>
      </c>
      <c r="Y203" s="4"/>
      <c r="Z203" s="4"/>
      <c r="AA203" s="4"/>
      <c r="AB203" s="4"/>
      <c r="AC203" s="4"/>
      <c r="AD203" s="4"/>
      <c r="AE203" s="4"/>
      <c r="AF203" s="4"/>
      <c r="AG203" s="4"/>
      <c r="AH203" s="4"/>
      <c r="AI203" s="4"/>
      <c r="AJ203" s="4"/>
      <c r="AK203" s="4"/>
      <c r="AL203" s="4"/>
      <c r="AM203" s="4"/>
      <c r="AN203" s="4"/>
    </row>
    <row r="204" spans="1:40" ht="19" x14ac:dyDescent="0.25">
      <c r="B204" s="81" t="s">
        <v>172</v>
      </c>
      <c r="C204" s="82"/>
      <c r="D204" s="37"/>
      <c r="E204" s="58" t="s">
        <v>16</v>
      </c>
      <c r="F204" s="20" t="str">
        <f>IF(H205=1,IF(H203=H$2,H203,""),"")</f>
        <v/>
      </c>
      <c r="G204" s="18"/>
      <c r="H204" s="150" t="str">
        <f>IF(E262="comprobar",COUNTIF(D203:D207,"x"),"")</f>
        <v/>
      </c>
      <c r="Y204" s="4"/>
      <c r="Z204" s="4"/>
      <c r="AA204" s="4"/>
      <c r="AB204" s="4"/>
      <c r="AC204" s="4"/>
      <c r="AD204" s="4"/>
      <c r="AE204" s="4"/>
      <c r="AF204" s="4"/>
      <c r="AG204" s="4"/>
      <c r="AH204" s="4"/>
      <c r="AI204" s="4"/>
      <c r="AJ204" s="4"/>
      <c r="AK204" s="4"/>
      <c r="AL204" s="4"/>
      <c r="AM204" s="4"/>
      <c r="AN204" s="4"/>
    </row>
    <row r="205" spans="1:40" ht="19" x14ac:dyDescent="0.25">
      <c r="B205" s="81" t="s">
        <v>173</v>
      </c>
      <c r="C205" s="82"/>
      <c r="D205" s="37"/>
      <c r="E205" s="58" t="s">
        <v>17</v>
      </c>
      <c r="F205" s="21" t="str">
        <f>IF(H205=-0.33,IF(H203=H$1,H203,""),"")</f>
        <v/>
      </c>
      <c r="G205" s="18"/>
      <c r="H205" s="151">
        <f>IF(H204=1,IF(H203=H$2,1,-0.33),0)</f>
        <v>0</v>
      </c>
      <c r="Y205" s="4"/>
      <c r="Z205" s="4"/>
      <c r="AA205" s="4"/>
      <c r="AB205" s="4"/>
      <c r="AC205" s="4"/>
      <c r="AD205" s="4"/>
      <c r="AE205" s="4"/>
      <c r="AF205" s="4"/>
      <c r="AG205" s="4"/>
      <c r="AH205" s="4"/>
      <c r="AI205" s="4"/>
      <c r="AJ205" s="4"/>
      <c r="AK205" s="4"/>
      <c r="AL205" s="4"/>
      <c r="AM205" s="4"/>
      <c r="AN205" s="4"/>
    </row>
    <row r="206" spans="1:40" ht="19" x14ac:dyDescent="0.25">
      <c r="B206" s="81" t="s">
        <v>124</v>
      </c>
      <c r="C206" s="82"/>
      <c r="D206" s="37"/>
      <c r="E206" s="58" t="s">
        <v>18</v>
      </c>
      <c r="F206" s="24"/>
      <c r="G206" s="18"/>
      <c r="H206" s="151"/>
      <c r="Y206" s="4"/>
      <c r="Z206" s="4"/>
      <c r="AA206" s="4"/>
      <c r="AB206" s="4"/>
      <c r="AC206" s="4"/>
      <c r="AD206" s="4"/>
      <c r="AE206" s="4"/>
      <c r="AF206" s="4"/>
      <c r="AG206" s="4"/>
      <c r="AH206" s="4"/>
      <c r="AI206" s="4"/>
      <c r="AJ206" s="4"/>
      <c r="AK206" s="4"/>
      <c r="AL206" s="4"/>
      <c r="AM206" s="4"/>
      <c r="AN206" s="4"/>
    </row>
    <row r="207" spans="1:40" ht="19" x14ac:dyDescent="0.25">
      <c r="B207" s="81"/>
      <c r="C207" s="83"/>
      <c r="D207" s="37"/>
      <c r="E207" s="58" t="s">
        <v>19</v>
      </c>
      <c r="F207" s="19"/>
      <c r="G207" s="18"/>
      <c r="H207" s="151"/>
      <c r="Y207" s="4"/>
      <c r="Z207" s="4"/>
      <c r="AA207" s="4"/>
      <c r="AB207" s="4"/>
      <c r="AC207" s="4"/>
      <c r="AD207" s="4"/>
      <c r="AE207" s="4"/>
      <c r="AF207" s="4"/>
      <c r="AG207" s="4"/>
      <c r="AH207" s="4"/>
      <c r="AI207" s="4"/>
      <c r="AJ207" s="4"/>
      <c r="AK207" s="4"/>
      <c r="AL207" s="4"/>
      <c r="AM207" s="4"/>
      <c r="AN207" s="4"/>
    </row>
    <row r="208" spans="1:40" s="16" customFormat="1" ht="19" x14ac:dyDescent="0.25">
      <c r="A208" s="4"/>
      <c r="B208" s="84" t="s">
        <v>158</v>
      </c>
      <c r="C208" s="85"/>
      <c r="D208" s="38"/>
      <c r="E208" s="57"/>
      <c r="F208" s="25"/>
      <c r="G208" s="18"/>
      <c r="H208" s="18"/>
      <c r="I208" s="4"/>
      <c r="J208" s="4"/>
      <c r="K208" s="4"/>
      <c r="L208" s="4"/>
      <c r="M208" s="4"/>
      <c r="N208" s="4"/>
      <c r="O208" s="4"/>
      <c r="P208" s="4"/>
      <c r="Q208" s="4"/>
      <c r="R208" s="4"/>
      <c r="S208" s="4"/>
      <c r="T208" s="4"/>
      <c r="U208" s="4"/>
      <c r="V208" s="4"/>
      <c r="W208" s="4"/>
      <c r="X208" s="4"/>
    </row>
    <row r="209" spans="1:40" ht="19" x14ac:dyDescent="0.25">
      <c r="B209" s="79" t="s">
        <v>174</v>
      </c>
      <c r="C209" s="80"/>
      <c r="D209" s="37"/>
      <c r="E209" s="58" t="s">
        <v>15</v>
      </c>
      <c r="F209" s="24"/>
      <c r="G209" s="18"/>
      <c r="H209" s="150" t="b">
        <f>IF(D212="x",H$2,H$1)</f>
        <v>0</v>
      </c>
      <c r="Y209" s="4"/>
      <c r="Z209" s="4"/>
      <c r="AA209" s="4"/>
      <c r="AB209" s="4"/>
      <c r="AC209" s="4"/>
      <c r="AD209" s="4"/>
      <c r="AE209" s="4"/>
      <c r="AF209" s="4"/>
      <c r="AG209" s="4"/>
      <c r="AH209" s="4"/>
      <c r="AI209" s="4"/>
      <c r="AJ209" s="4"/>
      <c r="AK209" s="4"/>
      <c r="AL209" s="4"/>
      <c r="AM209" s="4"/>
      <c r="AN209" s="4"/>
    </row>
    <row r="210" spans="1:40" ht="19" x14ac:dyDescent="0.25">
      <c r="B210" s="81" t="s">
        <v>175</v>
      </c>
      <c r="C210" s="82"/>
      <c r="D210" s="37"/>
      <c r="E210" s="58" t="s">
        <v>16</v>
      </c>
      <c r="F210" s="20" t="str">
        <f>IF(H211=1,IF(H209=H$2,H209,""),"")</f>
        <v/>
      </c>
      <c r="G210" s="18"/>
      <c r="H210" s="150" t="str">
        <f>IF(E$262="comprobar",COUNTIF(D209:D213,"x"),"")</f>
        <v/>
      </c>
      <c r="Y210" s="4"/>
      <c r="Z210" s="4"/>
      <c r="AA210" s="4"/>
      <c r="AB210" s="4"/>
      <c r="AC210" s="4"/>
      <c r="AD210" s="4"/>
      <c r="AE210" s="4"/>
      <c r="AF210" s="4"/>
      <c r="AG210" s="4"/>
      <c r="AH210" s="4"/>
      <c r="AI210" s="4"/>
      <c r="AJ210" s="4"/>
      <c r="AK210" s="4"/>
      <c r="AL210" s="4"/>
      <c r="AM210" s="4"/>
      <c r="AN210" s="4"/>
    </row>
    <row r="211" spans="1:40" ht="19" x14ac:dyDescent="0.25">
      <c r="B211" s="81" t="s">
        <v>176</v>
      </c>
      <c r="C211" s="82"/>
      <c r="D211" s="37"/>
      <c r="E211" s="58" t="s">
        <v>17</v>
      </c>
      <c r="F211" s="21" t="str">
        <f>IF(H211=-0.33,IF(H209=H$1,H209,""),"")</f>
        <v/>
      </c>
      <c r="G211" s="18"/>
      <c r="H211" s="151">
        <f t="shared" ref="H211" si="11">IF(H210=1,IF(H209=H$2,1,-0.33),0)</f>
        <v>0</v>
      </c>
      <c r="Y211" s="4"/>
      <c r="Z211" s="4"/>
      <c r="AA211" s="4"/>
      <c r="AB211" s="4"/>
      <c r="AC211" s="4"/>
      <c r="AD211" s="4"/>
      <c r="AE211" s="4"/>
      <c r="AF211" s="4"/>
      <c r="AG211" s="4"/>
      <c r="AH211" s="4"/>
      <c r="AI211" s="4"/>
      <c r="AJ211" s="4"/>
      <c r="AK211" s="4"/>
      <c r="AL211" s="4"/>
      <c r="AM211" s="4"/>
      <c r="AN211" s="4"/>
    </row>
    <row r="212" spans="1:40" ht="19" x14ac:dyDescent="0.25">
      <c r="B212" s="81" t="s">
        <v>124</v>
      </c>
      <c r="C212" s="82"/>
      <c r="D212" s="37"/>
      <c r="E212" s="58" t="s">
        <v>18</v>
      </c>
      <c r="F212" s="24"/>
      <c r="G212" s="18"/>
      <c r="H212" s="151"/>
      <c r="Y212" s="4"/>
      <c r="Z212" s="4"/>
      <c r="AA212" s="4"/>
      <c r="AB212" s="4"/>
      <c r="AC212" s="4"/>
      <c r="AD212" s="4"/>
      <c r="AE212" s="4"/>
      <c r="AF212" s="4"/>
      <c r="AG212" s="4"/>
      <c r="AH212" s="4"/>
      <c r="AI212" s="4"/>
      <c r="AJ212" s="4"/>
      <c r="AK212" s="4"/>
      <c r="AL212" s="4"/>
      <c r="AM212" s="4"/>
      <c r="AN212" s="4"/>
    </row>
    <row r="213" spans="1:40" ht="19" x14ac:dyDescent="0.25">
      <c r="B213" s="81"/>
      <c r="C213" s="83"/>
      <c r="D213" s="37"/>
      <c r="E213" s="58" t="s">
        <v>19</v>
      </c>
      <c r="F213" s="19"/>
      <c r="G213" s="18"/>
      <c r="H213" s="151"/>
      <c r="Y213" s="4"/>
      <c r="Z213" s="4"/>
      <c r="AA213" s="4"/>
      <c r="AB213" s="4"/>
      <c r="AC213" s="4"/>
      <c r="AD213" s="4"/>
      <c r="AE213" s="4"/>
      <c r="AF213" s="4"/>
      <c r="AG213" s="4"/>
      <c r="AH213" s="4"/>
      <c r="AI213" s="4"/>
      <c r="AJ213" s="4"/>
      <c r="AK213" s="4"/>
      <c r="AL213" s="4"/>
      <c r="AM213" s="4"/>
      <c r="AN213" s="4"/>
    </row>
    <row r="214" spans="1:40" s="16" customFormat="1" ht="19" x14ac:dyDescent="0.25">
      <c r="A214" s="4"/>
      <c r="B214" s="84" t="s">
        <v>159</v>
      </c>
      <c r="C214" s="85"/>
      <c r="D214" s="38"/>
      <c r="E214" s="57"/>
      <c r="F214" s="25"/>
      <c r="G214" s="18"/>
      <c r="H214" s="18"/>
      <c r="I214" s="4"/>
      <c r="J214" s="4"/>
      <c r="K214" s="4"/>
      <c r="L214" s="4"/>
      <c r="M214" s="4"/>
      <c r="N214" s="4"/>
      <c r="O214" s="4"/>
      <c r="P214" s="4"/>
      <c r="Q214" s="4"/>
      <c r="R214" s="4"/>
      <c r="S214" s="4"/>
      <c r="T214" s="4"/>
      <c r="U214" s="4"/>
      <c r="V214" s="4"/>
      <c r="W214" s="4"/>
      <c r="X214" s="4"/>
    </row>
    <row r="215" spans="1:40" ht="19" x14ac:dyDescent="0.25">
      <c r="B215" s="79" t="s">
        <v>177</v>
      </c>
      <c r="C215" s="80"/>
      <c r="D215" s="37"/>
      <c r="E215" s="58" t="s">
        <v>15</v>
      </c>
      <c r="F215" s="24"/>
      <c r="G215" s="18"/>
      <c r="H215" s="150" t="b">
        <f>IF(D217="x",H$2,H$1)</f>
        <v>0</v>
      </c>
      <c r="Y215" s="4"/>
      <c r="Z215" s="4"/>
      <c r="AA215" s="4"/>
      <c r="AB215" s="4"/>
      <c r="AC215" s="4"/>
      <c r="AD215" s="4"/>
      <c r="AE215" s="4"/>
      <c r="AF215" s="4"/>
      <c r="AG215" s="4"/>
      <c r="AH215" s="4"/>
      <c r="AI215" s="4"/>
      <c r="AJ215" s="4"/>
      <c r="AK215" s="4"/>
      <c r="AL215" s="4"/>
      <c r="AM215" s="4"/>
      <c r="AN215" s="4"/>
    </row>
    <row r="216" spans="1:40" ht="19" x14ac:dyDescent="0.25">
      <c r="B216" s="81" t="s">
        <v>178</v>
      </c>
      <c r="C216" s="82"/>
      <c r="D216" s="37"/>
      <c r="E216" s="58" t="s">
        <v>16</v>
      </c>
      <c r="F216" s="20" t="str">
        <f>IF(H217=1,IF(H215=H$2,H215,""),"")</f>
        <v/>
      </c>
      <c r="G216" s="18"/>
      <c r="H216" s="150" t="str">
        <f>IF(E$262="comprobar",COUNTIF(D215:D219,"x"),"")</f>
        <v/>
      </c>
      <c r="Y216" s="4"/>
      <c r="Z216" s="4"/>
      <c r="AA216" s="4"/>
      <c r="AB216" s="4"/>
      <c r="AC216" s="4"/>
      <c r="AD216" s="4"/>
      <c r="AE216" s="4"/>
      <c r="AF216" s="4"/>
      <c r="AG216" s="4"/>
      <c r="AH216" s="4"/>
      <c r="AI216" s="4"/>
      <c r="AJ216" s="4"/>
      <c r="AK216" s="4"/>
      <c r="AL216" s="4"/>
      <c r="AM216" s="4"/>
      <c r="AN216" s="4"/>
    </row>
    <row r="217" spans="1:40" ht="19" x14ac:dyDescent="0.25">
      <c r="B217" s="81" t="s">
        <v>179</v>
      </c>
      <c r="C217" s="82"/>
      <c r="D217" s="37"/>
      <c r="E217" s="58" t="s">
        <v>17</v>
      </c>
      <c r="F217" s="21" t="str">
        <f>IF(H217=-0.33,IF(H215=H$1,H215,""),"")</f>
        <v/>
      </c>
      <c r="G217" s="18"/>
      <c r="H217" s="151">
        <f t="shared" ref="H217" si="12">IF(H216=1,IF(H215=H$2,1,-0.33),0)</f>
        <v>0</v>
      </c>
      <c r="Y217" s="4"/>
      <c r="Z217" s="4"/>
      <c r="AA217" s="4"/>
      <c r="AB217" s="4"/>
      <c r="AC217" s="4"/>
      <c r="AD217" s="4"/>
      <c r="AE217" s="4"/>
      <c r="AF217" s="4"/>
      <c r="AG217" s="4"/>
      <c r="AH217" s="4"/>
      <c r="AI217" s="4"/>
      <c r="AJ217" s="4"/>
      <c r="AK217" s="4"/>
      <c r="AL217" s="4"/>
      <c r="AM217" s="4"/>
      <c r="AN217" s="4"/>
    </row>
    <row r="218" spans="1:40" ht="19" x14ac:dyDescent="0.25">
      <c r="B218" s="81" t="s">
        <v>180</v>
      </c>
      <c r="C218" s="82"/>
      <c r="D218" s="37"/>
      <c r="E218" s="58" t="s">
        <v>18</v>
      </c>
      <c r="F218" s="24"/>
      <c r="G218" s="18"/>
      <c r="H218" s="151"/>
      <c r="Y218" s="4"/>
      <c r="Z218" s="4"/>
      <c r="AA218" s="4"/>
      <c r="AB218" s="4"/>
      <c r="AC218" s="4"/>
      <c r="AD218" s="4"/>
      <c r="AE218" s="4"/>
      <c r="AF218" s="4"/>
      <c r="AG218" s="4"/>
      <c r="AH218" s="4"/>
      <c r="AI218" s="4"/>
      <c r="AJ218" s="4"/>
      <c r="AK218" s="4"/>
      <c r="AL218" s="4"/>
      <c r="AM218" s="4"/>
      <c r="AN218" s="4"/>
    </row>
    <row r="219" spans="1:40" ht="19" x14ac:dyDescent="0.25">
      <c r="B219" s="81"/>
      <c r="C219" s="83"/>
      <c r="D219" s="37"/>
      <c r="E219" s="58" t="s">
        <v>19</v>
      </c>
      <c r="F219" s="19"/>
      <c r="G219" s="18"/>
      <c r="H219" s="151"/>
      <c r="Y219" s="4"/>
      <c r="Z219" s="4"/>
      <c r="AA219" s="4"/>
      <c r="AB219" s="4"/>
      <c r="AC219" s="4"/>
      <c r="AD219" s="4"/>
      <c r="AE219" s="4"/>
      <c r="AF219" s="4"/>
      <c r="AG219" s="4"/>
      <c r="AH219" s="4"/>
      <c r="AI219" s="4"/>
      <c r="AJ219" s="4"/>
      <c r="AK219" s="4"/>
      <c r="AL219" s="4"/>
      <c r="AM219" s="4"/>
      <c r="AN219" s="4"/>
    </row>
    <row r="220" spans="1:40" s="16" customFormat="1" ht="19" x14ac:dyDescent="0.25">
      <c r="A220" s="4"/>
      <c r="B220" s="84" t="s">
        <v>160</v>
      </c>
      <c r="C220" s="85"/>
      <c r="D220" s="38"/>
      <c r="E220" s="57"/>
      <c r="F220" s="25"/>
      <c r="G220" s="18"/>
      <c r="H220" s="18"/>
      <c r="I220" s="4"/>
      <c r="J220" s="4"/>
      <c r="K220" s="4"/>
      <c r="L220" s="4"/>
      <c r="M220" s="4"/>
      <c r="N220" s="4"/>
      <c r="O220" s="4"/>
      <c r="P220" s="4"/>
      <c r="Q220" s="4"/>
      <c r="R220" s="4"/>
      <c r="S220" s="4"/>
      <c r="T220" s="4"/>
      <c r="U220" s="4"/>
      <c r="V220" s="4"/>
      <c r="W220" s="4"/>
      <c r="X220" s="4"/>
    </row>
    <row r="221" spans="1:40" ht="19" x14ac:dyDescent="0.25">
      <c r="B221" s="79" t="s">
        <v>181</v>
      </c>
      <c r="C221" s="80"/>
      <c r="D221" s="37"/>
      <c r="E221" s="58" t="s">
        <v>15</v>
      </c>
      <c r="F221" s="24"/>
      <c r="G221" s="18"/>
      <c r="H221" s="150" t="b">
        <f>IF(D222="x",H$2,H$1)</f>
        <v>0</v>
      </c>
      <c r="Y221" s="4"/>
      <c r="Z221" s="4"/>
      <c r="AA221" s="4"/>
      <c r="AB221" s="4"/>
      <c r="AC221" s="4"/>
      <c r="AD221" s="4"/>
      <c r="AE221" s="4"/>
      <c r="AF221" s="4"/>
      <c r="AG221" s="4"/>
      <c r="AH221" s="4"/>
      <c r="AI221" s="4"/>
      <c r="AJ221" s="4"/>
      <c r="AK221" s="4"/>
      <c r="AL221" s="4"/>
      <c r="AM221" s="4"/>
      <c r="AN221" s="4"/>
    </row>
    <row r="222" spans="1:40" ht="19" x14ac:dyDescent="0.25">
      <c r="B222" s="81" t="s">
        <v>182</v>
      </c>
      <c r="C222" s="82"/>
      <c r="D222" s="37"/>
      <c r="E222" s="58" t="s">
        <v>16</v>
      </c>
      <c r="F222" s="20" t="str">
        <f>IF(H223=1,IF(H221=H$2,H221,""),"")</f>
        <v/>
      </c>
      <c r="G222" s="18"/>
      <c r="H222" s="150" t="str">
        <f>IF(E$262="comprobar",COUNTIF(D221:D225,"x"),"")</f>
        <v/>
      </c>
      <c r="Y222" s="4"/>
      <c r="Z222" s="4"/>
      <c r="AA222" s="4"/>
      <c r="AB222" s="4"/>
      <c r="AC222" s="4"/>
      <c r="AD222" s="4"/>
      <c r="AE222" s="4"/>
      <c r="AF222" s="4"/>
      <c r="AG222" s="4"/>
      <c r="AH222" s="4"/>
      <c r="AI222" s="4"/>
      <c r="AJ222" s="4"/>
      <c r="AK222" s="4"/>
      <c r="AL222" s="4"/>
      <c r="AM222" s="4"/>
      <c r="AN222" s="4"/>
    </row>
    <row r="223" spans="1:40" ht="19" x14ac:dyDescent="0.25">
      <c r="B223" s="81" t="s">
        <v>183</v>
      </c>
      <c r="C223" s="82"/>
      <c r="D223" s="37"/>
      <c r="E223" s="58" t="s">
        <v>17</v>
      </c>
      <c r="F223" s="21" t="str">
        <f>IF(H223=-0.33,IF(H221=H$1,H221,""),"")</f>
        <v/>
      </c>
      <c r="G223" s="18"/>
      <c r="H223" s="151">
        <f t="shared" ref="H223" si="13">IF(H222=1,IF(H221=H$2,1,-0.33),0)</f>
        <v>0</v>
      </c>
      <c r="Y223" s="4"/>
      <c r="Z223" s="4"/>
      <c r="AA223" s="4"/>
      <c r="AB223" s="4"/>
      <c r="AC223" s="4"/>
      <c r="AD223" s="4"/>
      <c r="AE223" s="4"/>
      <c r="AF223" s="4"/>
      <c r="AG223" s="4"/>
      <c r="AH223" s="4"/>
      <c r="AI223" s="4"/>
      <c r="AJ223" s="4"/>
      <c r="AK223" s="4"/>
      <c r="AL223" s="4"/>
      <c r="AM223" s="4"/>
      <c r="AN223" s="4"/>
    </row>
    <row r="224" spans="1:40" ht="19" x14ac:dyDescent="0.25">
      <c r="B224" s="81" t="s">
        <v>124</v>
      </c>
      <c r="C224" s="82"/>
      <c r="D224" s="37"/>
      <c r="E224" s="58" t="s">
        <v>18</v>
      </c>
      <c r="F224" s="24"/>
      <c r="G224" s="18"/>
      <c r="H224" s="151"/>
      <c r="Y224" s="4"/>
      <c r="Z224" s="4"/>
      <c r="AA224" s="4"/>
      <c r="AB224" s="4"/>
      <c r="AC224" s="4"/>
      <c r="AD224" s="4"/>
      <c r="AE224" s="4"/>
      <c r="AF224" s="4"/>
      <c r="AG224" s="4"/>
      <c r="AH224" s="4"/>
      <c r="AI224" s="4"/>
      <c r="AJ224" s="4"/>
      <c r="AK224" s="4"/>
      <c r="AL224" s="4"/>
      <c r="AM224" s="4"/>
      <c r="AN224" s="4"/>
    </row>
    <row r="225" spans="1:40" ht="19" x14ac:dyDescent="0.25">
      <c r="B225" s="81"/>
      <c r="C225" s="83"/>
      <c r="D225" s="37"/>
      <c r="E225" s="58" t="s">
        <v>19</v>
      </c>
      <c r="F225" s="19"/>
      <c r="G225" s="18"/>
      <c r="H225" s="151"/>
      <c r="Y225" s="4"/>
      <c r="Z225" s="4"/>
      <c r="AA225" s="4"/>
      <c r="AB225" s="4"/>
      <c r="AC225" s="4"/>
      <c r="AD225" s="4"/>
      <c r="AE225" s="4"/>
      <c r="AF225" s="4"/>
      <c r="AG225" s="4"/>
      <c r="AH225" s="4"/>
      <c r="AI225" s="4"/>
      <c r="AJ225" s="4"/>
      <c r="AK225" s="4"/>
      <c r="AL225" s="4"/>
      <c r="AM225" s="4"/>
      <c r="AN225" s="4"/>
    </row>
    <row r="226" spans="1:40" s="16" customFormat="1" ht="19" x14ac:dyDescent="0.25">
      <c r="A226" s="4"/>
      <c r="B226" s="84" t="s">
        <v>161</v>
      </c>
      <c r="C226" s="85"/>
      <c r="D226" s="38"/>
      <c r="E226" s="57"/>
      <c r="F226" s="25"/>
      <c r="G226" s="18"/>
      <c r="H226" s="18"/>
      <c r="I226" s="4"/>
      <c r="J226" s="4"/>
      <c r="K226" s="4"/>
      <c r="L226" s="4"/>
      <c r="M226" s="4"/>
      <c r="N226" s="4"/>
      <c r="O226" s="4"/>
      <c r="P226" s="4"/>
      <c r="Q226" s="4"/>
      <c r="R226" s="4"/>
      <c r="S226" s="4"/>
      <c r="T226" s="4"/>
      <c r="U226" s="4"/>
      <c r="V226" s="4"/>
      <c r="W226" s="4"/>
      <c r="X226" s="4"/>
    </row>
    <row r="227" spans="1:40" ht="19" x14ac:dyDescent="0.25">
      <c r="B227" s="79" t="s">
        <v>184</v>
      </c>
      <c r="C227" s="80"/>
      <c r="D227" s="37"/>
      <c r="E227" s="58" t="s">
        <v>15</v>
      </c>
      <c r="F227" s="24"/>
      <c r="G227" s="18"/>
      <c r="H227" s="150" t="b">
        <f>IF(D228="x",H$2,H$1)</f>
        <v>0</v>
      </c>
      <c r="Y227" s="4"/>
      <c r="Z227" s="4"/>
      <c r="AA227" s="4"/>
      <c r="AB227" s="4"/>
      <c r="AC227" s="4"/>
      <c r="AD227" s="4"/>
      <c r="AE227" s="4"/>
      <c r="AF227" s="4"/>
      <c r="AG227" s="4"/>
      <c r="AH227" s="4"/>
      <c r="AI227" s="4"/>
      <c r="AJ227" s="4"/>
      <c r="AK227" s="4"/>
      <c r="AL227" s="4"/>
      <c r="AM227" s="4"/>
      <c r="AN227" s="4"/>
    </row>
    <row r="228" spans="1:40" ht="19" x14ac:dyDescent="0.25">
      <c r="B228" s="81" t="s">
        <v>185</v>
      </c>
      <c r="C228" s="82"/>
      <c r="D228" s="37"/>
      <c r="E228" s="58" t="s">
        <v>16</v>
      </c>
      <c r="F228" s="20" t="str">
        <f>IF(H229=1,IF(H227=H$2,H227,""),"")</f>
        <v/>
      </c>
      <c r="G228" s="18"/>
      <c r="H228" s="150" t="str">
        <f>IF(E$262="comprobar",COUNTIF(D227:D231,"x"),"")</f>
        <v/>
      </c>
      <c r="Y228" s="4"/>
      <c r="Z228" s="4"/>
      <c r="AA228" s="4"/>
      <c r="AB228" s="4"/>
      <c r="AC228" s="4"/>
      <c r="AD228" s="4"/>
      <c r="AE228" s="4"/>
      <c r="AF228" s="4"/>
      <c r="AG228" s="4"/>
      <c r="AH228" s="4"/>
      <c r="AI228" s="4"/>
      <c r="AJ228" s="4"/>
      <c r="AK228" s="4"/>
      <c r="AL228" s="4"/>
      <c r="AM228" s="4"/>
      <c r="AN228" s="4"/>
    </row>
    <row r="229" spans="1:40" ht="19" x14ac:dyDescent="0.25">
      <c r="B229" s="81" t="s">
        <v>186</v>
      </c>
      <c r="C229" s="82"/>
      <c r="D229" s="37"/>
      <c r="E229" s="58" t="s">
        <v>17</v>
      </c>
      <c r="F229" s="21" t="str">
        <f>IF(H229=-0.33,IF(H227=H$1,H227,""),"")</f>
        <v/>
      </c>
      <c r="G229" s="18"/>
      <c r="H229" s="151">
        <f t="shared" ref="H229" si="14">IF(H228=1,IF(H227=H$2,1,-0.33),0)</f>
        <v>0</v>
      </c>
      <c r="Y229" s="4"/>
      <c r="Z229" s="4"/>
      <c r="AA229" s="4"/>
      <c r="AB229" s="4"/>
      <c r="AC229" s="4"/>
      <c r="AD229" s="4"/>
      <c r="AE229" s="4"/>
      <c r="AF229" s="4"/>
      <c r="AG229" s="4"/>
      <c r="AH229" s="4"/>
      <c r="AI229" s="4"/>
      <c r="AJ229" s="4"/>
      <c r="AK229" s="4"/>
      <c r="AL229" s="4"/>
      <c r="AM229" s="4"/>
      <c r="AN229" s="4"/>
    </row>
    <row r="230" spans="1:40" ht="19" x14ac:dyDescent="0.25">
      <c r="B230" s="81" t="s">
        <v>124</v>
      </c>
      <c r="C230" s="82"/>
      <c r="D230" s="37"/>
      <c r="E230" s="58" t="s">
        <v>18</v>
      </c>
      <c r="F230" s="24"/>
      <c r="G230" s="18"/>
      <c r="H230" s="151"/>
      <c r="Y230" s="4"/>
      <c r="Z230" s="4"/>
      <c r="AA230" s="4"/>
      <c r="AB230" s="4"/>
      <c r="AC230" s="4"/>
      <c r="AD230" s="4"/>
      <c r="AE230" s="4"/>
      <c r="AF230" s="4"/>
      <c r="AG230" s="4"/>
      <c r="AH230" s="4"/>
      <c r="AI230" s="4"/>
      <c r="AJ230" s="4"/>
      <c r="AK230" s="4"/>
      <c r="AL230" s="4"/>
      <c r="AM230" s="4"/>
      <c r="AN230" s="4"/>
    </row>
    <row r="231" spans="1:40" ht="19" x14ac:dyDescent="0.25">
      <c r="B231" s="81"/>
      <c r="C231" s="83"/>
      <c r="D231" s="37"/>
      <c r="E231" s="58" t="s">
        <v>19</v>
      </c>
      <c r="F231" s="19"/>
      <c r="G231" s="18"/>
      <c r="H231" s="151"/>
      <c r="Y231" s="4"/>
      <c r="Z231" s="4"/>
      <c r="AA231" s="4"/>
      <c r="AB231" s="4"/>
      <c r="AC231" s="4"/>
      <c r="AD231" s="4"/>
      <c r="AE231" s="4"/>
      <c r="AF231" s="4"/>
      <c r="AG231" s="4"/>
      <c r="AH231" s="4"/>
      <c r="AI231" s="4"/>
      <c r="AJ231" s="4"/>
      <c r="AK231" s="4"/>
      <c r="AL231" s="4"/>
      <c r="AM231" s="4"/>
      <c r="AN231" s="4"/>
    </row>
    <row r="232" spans="1:40" s="16" customFormat="1" ht="19" x14ac:dyDescent="0.25">
      <c r="A232" s="4"/>
      <c r="B232" s="84" t="s">
        <v>162</v>
      </c>
      <c r="C232" s="86"/>
      <c r="D232" s="38"/>
      <c r="E232" s="57"/>
      <c r="F232" s="25"/>
      <c r="G232" s="18"/>
      <c r="H232" s="18"/>
      <c r="I232" s="4"/>
      <c r="J232" s="4"/>
      <c r="K232" s="4"/>
      <c r="L232" s="4"/>
      <c r="M232" s="4"/>
      <c r="N232" s="4"/>
      <c r="O232" s="4"/>
      <c r="P232" s="4"/>
      <c r="Q232" s="4"/>
      <c r="R232" s="4"/>
      <c r="S232" s="4"/>
      <c r="T232" s="4"/>
      <c r="U232" s="4"/>
      <c r="V232" s="4"/>
      <c r="W232" s="4"/>
      <c r="X232" s="4"/>
    </row>
    <row r="233" spans="1:40" ht="19" x14ac:dyDescent="0.25">
      <c r="B233" s="79" t="s">
        <v>187</v>
      </c>
      <c r="C233" s="80"/>
      <c r="D233" s="37"/>
      <c r="E233" s="58" t="s">
        <v>15</v>
      </c>
      <c r="F233" s="24"/>
      <c r="G233" s="18"/>
      <c r="H233" s="150" t="b">
        <f>IF(D233="x",H$2,H$1)</f>
        <v>0</v>
      </c>
      <c r="Y233" s="4"/>
      <c r="Z233" s="4"/>
      <c r="AA233" s="4"/>
      <c r="AB233" s="4"/>
      <c r="AC233" s="4"/>
      <c r="AD233" s="4"/>
      <c r="AE233" s="4"/>
      <c r="AF233" s="4"/>
      <c r="AG233" s="4"/>
      <c r="AH233" s="4"/>
      <c r="AI233" s="4"/>
      <c r="AJ233" s="4"/>
      <c r="AK233" s="4"/>
      <c r="AL233" s="4"/>
      <c r="AM233" s="4"/>
      <c r="AN233" s="4"/>
    </row>
    <row r="234" spans="1:40" ht="19" x14ac:dyDescent="0.25">
      <c r="B234" s="81" t="s">
        <v>188</v>
      </c>
      <c r="C234" s="82"/>
      <c r="D234" s="37"/>
      <c r="E234" s="58" t="s">
        <v>16</v>
      </c>
      <c r="F234" s="20" t="str">
        <f>IF(H235=1,IF(H233=H$2,H233,""),"")</f>
        <v/>
      </c>
      <c r="G234" s="18"/>
      <c r="H234" s="150" t="str">
        <f>IF(E$262="comprobar",COUNTIF(D233:D237,"x"),"")</f>
        <v/>
      </c>
      <c r="Y234" s="4"/>
      <c r="Z234" s="4"/>
      <c r="AA234" s="4"/>
      <c r="AB234" s="4"/>
      <c r="AC234" s="4"/>
      <c r="AD234" s="4"/>
      <c r="AE234" s="4"/>
      <c r="AF234" s="4"/>
      <c r="AG234" s="4"/>
      <c r="AH234" s="4"/>
      <c r="AI234" s="4"/>
      <c r="AJ234" s="4"/>
      <c r="AK234" s="4"/>
      <c r="AL234" s="4"/>
      <c r="AM234" s="4"/>
      <c r="AN234" s="4"/>
    </row>
    <row r="235" spans="1:40" ht="19" x14ac:dyDescent="0.25">
      <c r="B235" s="81" t="s">
        <v>189</v>
      </c>
      <c r="C235" s="82"/>
      <c r="D235" s="37"/>
      <c r="E235" s="58" t="s">
        <v>17</v>
      </c>
      <c r="F235" s="21" t="str">
        <f>IF(H235=-0.33,IF(H233=H$1,H233,""),"")</f>
        <v/>
      </c>
      <c r="G235" s="18"/>
      <c r="H235" s="151">
        <f t="shared" ref="H235" si="15">IF(H234=1,IF(H233=H$2,1,-0.33),0)</f>
        <v>0</v>
      </c>
      <c r="Y235" s="4"/>
      <c r="Z235" s="4"/>
      <c r="AA235" s="4"/>
      <c r="AB235" s="4"/>
      <c r="AC235" s="4"/>
      <c r="AD235" s="4"/>
      <c r="AE235" s="4"/>
      <c r="AF235" s="4"/>
      <c r="AG235" s="4"/>
      <c r="AH235" s="4"/>
      <c r="AI235" s="4"/>
      <c r="AJ235" s="4"/>
      <c r="AK235" s="4"/>
      <c r="AL235" s="4"/>
      <c r="AM235" s="4"/>
      <c r="AN235" s="4"/>
    </row>
    <row r="236" spans="1:40" ht="19" x14ac:dyDescent="0.25">
      <c r="B236" s="81" t="s">
        <v>190</v>
      </c>
      <c r="C236" s="82"/>
      <c r="D236" s="37"/>
      <c r="E236" s="58" t="s">
        <v>18</v>
      </c>
      <c r="F236" s="24"/>
      <c r="G236" s="18"/>
      <c r="H236" s="151"/>
      <c r="Y236" s="4"/>
      <c r="Z236" s="4"/>
      <c r="AA236" s="4"/>
      <c r="AB236" s="4"/>
      <c r="AC236" s="4"/>
      <c r="AD236" s="4"/>
      <c r="AE236" s="4"/>
      <c r="AF236" s="4"/>
      <c r="AG236" s="4"/>
      <c r="AH236" s="4"/>
      <c r="AI236" s="4"/>
      <c r="AJ236" s="4"/>
      <c r="AK236" s="4"/>
      <c r="AL236" s="4"/>
      <c r="AM236" s="4"/>
      <c r="AN236" s="4"/>
    </row>
    <row r="237" spans="1:40" ht="19" x14ac:dyDescent="0.25">
      <c r="B237" s="81"/>
      <c r="C237" s="83"/>
      <c r="D237" s="37"/>
      <c r="E237" s="58" t="s">
        <v>19</v>
      </c>
      <c r="F237" s="19"/>
      <c r="G237" s="18"/>
      <c r="H237" s="151"/>
      <c r="Y237" s="4"/>
      <c r="Z237" s="4"/>
      <c r="AA237" s="4"/>
      <c r="AB237" s="4"/>
      <c r="AC237" s="4"/>
      <c r="AD237" s="4"/>
      <c r="AE237" s="4"/>
      <c r="AF237" s="4"/>
      <c r="AG237" s="4"/>
      <c r="AH237" s="4"/>
      <c r="AI237" s="4"/>
      <c r="AJ237" s="4"/>
      <c r="AK237" s="4"/>
      <c r="AL237" s="4"/>
      <c r="AM237" s="4"/>
      <c r="AN237" s="4"/>
    </row>
    <row r="238" spans="1:40" s="16" customFormat="1" ht="19" x14ac:dyDescent="0.25">
      <c r="A238" s="4"/>
      <c r="B238" s="84" t="s">
        <v>163</v>
      </c>
      <c r="C238" s="85"/>
      <c r="D238" s="38"/>
      <c r="E238" s="57"/>
      <c r="F238" s="25"/>
      <c r="G238" s="18"/>
      <c r="H238" s="18"/>
      <c r="I238" s="4"/>
      <c r="J238" s="4"/>
      <c r="K238" s="4"/>
      <c r="L238" s="4"/>
      <c r="M238" s="4"/>
      <c r="N238" s="4"/>
      <c r="O238" s="4"/>
      <c r="P238" s="4"/>
      <c r="Q238" s="4"/>
      <c r="R238" s="4"/>
      <c r="S238" s="4"/>
      <c r="T238" s="4"/>
      <c r="U238" s="4"/>
      <c r="V238" s="4"/>
      <c r="W238" s="4"/>
      <c r="X238" s="4"/>
    </row>
    <row r="239" spans="1:40" ht="19" x14ac:dyDescent="0.25">
      <c r="B239" s="79" t="s">
        <v>191</v>
      </c>
      <c r="C239" s="80"/>
      <c r="D239" s="37"/>
      <c r="E239" s="58" t="s">
        <v>15</v>
      </c>
      <c r="F239" s="24"/>
      <c r="G239" s="18"/>
      <c r="H239" s="150" t="b">
        <f>IF(D242="x",H$2,H$1)</f>
        <v>0</v>
      </c>
      <c r="Y239" s="4"/>
      <c r="Z239" s="4"/>
      <c r="AA239" s="4"/>
      <c r="AB239" s="4"/>
      <c r="AC239" s="4"/>
      <c r="AD239" s="4"/>
      <c r="AE239" s="4"/>
      <c r="AF239" s="4"/>
      <c r="AG239" s="4"/>
      <c r="AH239" s="4"/>
      <c r="AI239" s="4"/>
      <c r="AJ239" s="4"/>
      <c r="AK239" s="4"/>
      <c r="AL239" s="4"/>
      <c r="AM239" s="4"/>
      <c r="AN239" s="4"/>
    </row>
    <row r="240" spans="1:40" ht="19" x14ac:dyDescent="0.25">
      <c r="B240" s="81" t="s">
        <v>192</v>
      </c>
      <c r="C240" s="82"/>
      <c r="D240" s="37"/>
      <c r="E240" s="58" t="s">
        <v>16</v>
      </c>
      <c r="F240" s="20" t="str">
        <f>IF(H241=1,IF(H239=H$2,H239,""),"")</f>
        <v/>
      </c>
      <c r="G240" s="18"/>
      <c r="H240" s="150" t="str">
        <f>IF(E$262="comprobar",COUNTIF(D239:D243,"x"),"")</f>
        <v/>
      </c>
      <c r="Y240" s="4"/>
      <c r="Z240" s="4"/>
      <c r="AA240" s="4"/>
      <c r="AB240" s="4"/>
      <c r="AC240" s="4"/>
      <c r="AD240" s="4"/>
      <c r="AE240" s="4"/>
      <c r="AF240" s="4"/>
      <c r="AG240" s="4"/>
      <c r="AH240" s="4"/>
      <c r="AI240" s="4"/>
      <c r="AJ240" s="4"/>
      <c r="AK240" s="4"/>
      <c r="AL240" s="4"/>
      <c r="AM240" s="4"/>
      <c r="AN240" s="4"/>
    </row>
    <row r="241" spans="1:40" ht="19" x14ac:dyDescent="0.25">
      <c r="B241" s="81" t="s">
        <v>193</v>
      </c>
      <c r="C241" s="82"/>
      <c r="D241" s="37"/>
      <c r="E241" s="58" t="s">
        <v>17</v>
      </c>
      <c r="F241" s="21" t="str">
        <f>IF(H241=-0.33,IF(H239=H$1,H239,""),"")</f>
        <v/>
      </c>
      <c r="G241" s="18"/>
      <c r="H241" s="151">
        <f t="shared" ref="H241" si="16">IF(H240=1,IF(H239=H$2,1,-0.33),0)</f>
        <v>0</v>
      </c>
      <c r="Y241" s="4"/>
      <c r="Z241" s="4"/>
      <c r="AA241" s="4"/>
      <c r="AB241" s="4"/>
      <c r="AC241" s="4"/>
      <c r="AD241" s="4"/>
      <c r="AE241" s="4"/>
      <c r="AF241" s="4"/>
      <c r="AG241" s="4"/>
      <c r="AH241" s="4"/>
      <c r="AI241" s="4"/>
      <c r="AJ241" s="4"/>
      <c r="AK241" s="4"/>
      <c r="AL241" s="4"/>
      <c r="AM241" s="4"/>
      <c r="AN241" s="4"/>
    </row>
    <row r="242" spans="1:40" ht="19" x14ac:dyDescent="0.25">
      <c r="B242" s="81" t="s">
        <v>124</v>
      </c>
      <c r="C242" s="82"/>
      <c r="D242" s="37"/>
      <c r="E242" s="58" t="s">
        <v>18</v>
      </c>
      <c r="F242" s="24"/>
      <c r="G242" s="18"/>
      <c r="H242" s="151"/>
      <c r="Y242" s="4"/>
      <c r="Z242" s="4"/>
      <c r="AA242" s="4"/>
      <c r="AB242" s="4"/>
      <c r="AC242" s="4"/>
      <c r="AD242" s="4"/>
      <c r="AE242" s="4"/>
      <c r="AF242" s="4"/>
      <c r="AG242" s="4"/>
      <c r="AH242" s="4"/>
      <c r="AI242" s="4"/>
      <c r="AJ242" s="4"/>
      <c r="AK242" s="4"/>
      <c r="AL242" s="4"/>
      <c r="AM242" s="4"/>
      <c r="AN242" s="4"/>
    </row>
    <row r="243" spans="1:40" ht="19" x14ac:dyDescent="0.25">
      <c r="B243" s="81"/>
      <c r="C243" s="83"/>
      <c r="D243" s="37"/>
      <c r="E243" s="58" t="s">
        <v>19</v>
      </c>
      <c r="F243" s="19"/>
      <c r="G243" s="18"/>
      <c r="H243" s="151"/>
      <c r="Y243" s="4"/>
      <c r="Z243" s="4"/>
      <c r="AA243" s="4"/>
      <c r="AB243" s="4"/>
      <c r="AC243" s="4"/>
      <c r="AD243" s="4"/>
      <c r="AE243" s="4"/>
      <c r="AF243" s="4"/>
      <c r="AG243" s="4"/>
      <c r="AH243" s="4"/>
      <c r="AI243" s="4"/>
      <c r="AJ243" s="4"/>
      <c r="AK243" s="4"/>
      <c r="AL243" s="4"/>
      <c r="AM243" s="4"/>
      <c r="AN243" s="4"/>
    </row>
    <row r="244" spans="1:40" s="16" customFormat="1" ht="19" x14ac:dyDescent="0.25">
      <c r="A244" s="4"/>
      <c r="B244" s="84" t="s">
        <v>164</v>
      </c>
      <c r="C244" s="85"/>
      <c r="D244" s="38"/>
      <c r="E244" s="57"/>
      <c r="F244" s="25"/>
      <c r="G244" s="18"/>
      <c r="H244" s="18"/>
      <c r="I244" s="4"/>
      <c r="J244" s="4"/>
      <c r="K244" s="4"/>
      <c r="L244" s="4"/>
      <c r="M244" s="4"/>
      <c r="N244" s="4"/>
      <c r="O244" s="4"/>
      <c r="P244" s="4"/>
      <c r="Q244" s="4"/>
      <c r="R244" s="4"/>
      <c r="S244" s="4"/>
      <c r="T244" s="4"/>
      <c r="U244" s="4"/>
      <c r="V244" s="4"/>
      <c r="W244" s="4"/>
      <c r="X244" s="4"/>
    </row>
    <row r="245" spans="1:40" ht="19" x14ac:dyDescent="0.25">
      <c r="B245" s="79" t="s">
        <v>194</v>
      </c>
      <c r="C245" s="80"/>
      <c r="D245" s="37"/>
      <c r="E245" s="58" t="s">
        <v>15</v>
      </c>
      <c r="F245" s="24"/>
      <c r="G245" s="18"/>
      <c r="H245" s="150" t="b">
        <f>IF(D248="x",H$2,H$1)</f>
        <v>0</v>
      </c>
      <c r="Y245" s="4"/>
      <c r="Z245" s="4"/>
      <c r="AA245" s="4"/>
      <c r="AB245" s="4"/>
      <c r="AC245" s="4"/>
      <c r="AD245" s="4"/>
      <c r="AE245" s="4"/>
      <c r="AF245" s="4"/>
      <c r="AG245" s="4"/>
      <c r="AH245" s="4"/>
      <c r="AI245" s="4"/>
      <c r="AJ245" s="4"/>
      <c r="AK245" s="4"/>
      <c r="AL245" s="4"/>
      <c r="AM245" s="4"/>
      <c r="AN245" s="4"/>
    </row>
    <row r="246" spans="1:40" ht="19" x14ac:dyDescent="0.25">
      <c r="B246" s="81" t="s">
        <v>195</v>
      </c>
      <c r="C246" s="82"/>
      <c r="D246" s="37"/>
      <c r="E246" s="58" t="s">
        <v>16</v>
      </c>
      <c r="F246" s="20" t="str">
        <f>IF(H247=1,IF(H245=H$2,H245,""),"")</f>
        <v/>
      </c>
      <c r="G246" s="18"/>
      <c r="H246" s="150" t="str">
        <f>IF(E$262="comprobar",COUNTIF(D245:D249,"x"),"")</f>
        <v/>
      </c>
      <c r="Y246" s="4"/>
      <c r="Z246" s="4"/>
      <c r="AA246" s="4"/>
      <c r="AB246" s="4"/>
      <c r="AC246" s="4"/>
      <c r="AD246" s="4"/>
      <c r="AE246" s="4"/>
      <c r="AF246" s="4"/>
      <c r="AG246" s="4"/>
      <c r="AH246" s="4"/>
      <c r="AI246" s="4"/>
      <c r="AJ246" s="4"/>
      <c r="AK246" s="4"/>
      <c r="AL246" s="4"/>
      <c r="AM246" s="4"/>
      <c r="AN246" s="4"/>
    </row>
    <row r="247" spans="1:40" ht="19" x14ac:dyDescent="0.25">
      <c r="B247" s="81" t="s">
        <v>196</v>
      </c>
      <c r="C247" s="82"/>
      <c r="D247" s="37"/>
      <c r="E247" s="58" t="s">
        <v>17</v>
      </c>
      <c r="F247" s="21" t="str">
        <f>IF(H247=-0.33,IF(H245=H$1,H245,""),"")</f>
        <v/>
      </c>
      <c r="G247" s="18"/>
      <c r="H247" s="151">
        <f t="shared" ref="H247" si="17">IF(H246=1,IF(H245=H$2,1,-0.33),0)</f>
        <v>0</v>
      </c>
      <c r="Y247" s="4"/>
      <c r="Z247" s="4"/>
      <c r="AA247" s="4"/>
      <c r="AB247" s="4"/>
      <c r="AC247" s="4"/>
      <c r="AD247" s="4"/>
      <c r="AE247" s="4"/>
      <c r="AF247" s="4"/>
      <c r="AG247" s="4"/>
      <c r="AH247" s="4"/>
      <c r="AI247" s="4"/>
      <c r="AJ247" s="4"/>
      <c r="AK247" s="4"/>
      <c r="AL247" s="4"/>
      <c r="AM247" s="4"/>
      <c r="AN247" s="4"/>
    </row>
    <row r="248" spans="1:40" ht="19" x14ac:dyDescent="0.25">
      <c r="B248" s="81" t="s">
        <v>124</v>
      </c>
      <c r="C248" s="82"/>
      <c r="D248" s="37"/>
      <c r="E248" s="58" t="s">
        <v>18</v>
      </c>
      <c r="F248" s="24"/>
      <c r="G248" s="18"/>
      <c r="H248" s="151"/>
      <c r="Y248" s="4"/>
      <c r="Z248" s="4"/>
      <c r="AA248" s="4"/>
      <c r="AB248" s="4"/>
      <c r="AC248" s="4"/>
      <c r="AD248" s="4"/>
      <c r="AE248" s="4"/>
      <c r="AF248" s="4"/>
      <c r="AG248" s="4"/>
      <c r="AH248" s="4"/>
      <c r="AI248" s="4"/>
      <c r="AJ248" s="4"/>
      <c r="AK248" s="4"/>
      <c r="AL248" s="4"/>
      <c r="AM248" s="4"/>
      <c r="AN248" s="4"/>
    </row>
    <row r="249" spans="1:40" ht="19" x14ac:dyDescent="0.25">
      <c r="B249" s="81"/>
      <c r="C249" s="83"/>
      <c r="D249" s="37"/>
      <c r="E249" s="58" t="s">
        <v>19</v>
      </c>
      <c r="F249" s="19"/>
      <c r="G249" s="18"/>
      <c r="H249" s="151"/>
      <c r="Y249" s="4"/>
      <c r="Z249" s="4"/>
      <c r="AA249" s="4"/>
      <c r="AB249" s="4"/>
      <c r="AC249" s="4"/>
      <c r="AD249" s="4"/>
      <c r="AE249" s="4"/>
      <c r="AF249" s="4"/>
      <c r="AG249" s="4"/>
      <c r="AH249" s="4"/>
      <c r="AI249" s="4"/>
      <c r="AJ249" s="4"/>
      <c r="AK249" s="4"/>
      <c r="AL249" s="4"/>
      <c r="AM249" s="4"/>
      <c r="AN249" s="4"/>
    </row>
    <row r="250" spans="1:40" s="16" customFormat="1" ht="19" x14ac:dyDescent="0.25">
      <c r="A250" s="4"/>
      <c r="B250" s="84" t="s">
        <v>165</v>
      </c>
      <c r="C250" s="86"/>
      <c r="D250" s="38"/>
      <c r="E250" s="57"/>
      <c r="F250" s="25"/>
      <c r="G250" s="18"/>
      <c r="H250" s="18"/>
      <c r="I250" s="4"/>
      <c r="J250" s="4"/>
      <c r="K250" s="4"/>
      <c r="L250" s="4"/>
      <c r="M250" s="4"/>
      <c r="N250" s="4"/>
      <c r="O250" s="4"/>
      <c r="P250" s="4"/>
      <c r="Q250" s="4"/>
      <c r="R250" s="4"/>
      <c r="S250" s="4"/>
      <c r="T250" s="4"/>
      <c r="U250" s="4"/>
      <c r="V250" s="4"/>
      <c r="W250" s="4"/>
      <c r="X250" s="4"/>
    </row>
    <row r="251" spans="1:40" ht="19" x14ac:dyDescent="0.25">
      <c r="B251" s="79" t="s">
        <v>197</v>
      </c>
      <c r="C251" s="80"/>
      <c r="D251" s="37"/>
      <c r="E251" s="58" t="s">
        <v>15</v>
      </c>
      <c r="F251" s="24"/>
      <c r="G251" s="18"/>
      <c r="H251" s="150" t="b">
        <f>IF(D251="x",H$2,H$1)</f>
        <v>0</v>
      </c>
      <c r="Y251" s="4"/>
      <c r="Z251" s="4"/>
      <c r="AA251" s="4"/>
      <c r="AB251" s="4"/>
      <c r="AC251" s="4"/>
      <c r="AD251" s="4"/>
      <c r="AE251" s="4"/>
      <c r="AF251" s="4"/>
      <c r="AG251" s="4"/>
      <c r="AH251" s="4"/>
      <c r="AI251" s="4"/>
      <c r="AJ251" s="4"/>
      <c r="AK251" s="4"/>
      <c r="AL251" s="4"/>
      <c r="AM251" s="4"/>
      <c r="AN251" s="4"/>
    </row>
    <row r="252" spans="1:40" ht="19" x14ac:dyDescent="0.25">
      <c r="B252" s="81" t="s">
        <v>198</v>
      </c>
      <c r="C252" s="82"/>
      <c r="D252" s="37"/>
      <c r="E252" s="58" t="s">
        <v>16</v>
      </c>
      <c r="F252" s="20" t="str">
        <f>IF(H253=1,IF(H251=H$2,H251,""),"")</f>
        <v/>
      </c>
      <c r="G252" s="18"/>
      <c r="H252" s="150" t="str">
        <f>IF(E$262="comprobar",COUNTIF(D251:D255,"x"),"")</f>
        <v/>
      </c>
      <c r="Y252" s="4"/>
      <c r="Z252" s="4"/>
      <c r="AA252" s="4"/>
      <c r="AB252" s="4"/>
      <c r="AC252" s="4"/>
      <c r="AD252" s="4"/>
      <c r="AE252" s="4"/>
      <c r="AF252" s="4"/>
      <c r="AG252" s="4"/>
      <c r="AH252" s="4"/>
      <c r="AI252" s="4"/>
      <c r="AJ252" s="4"/>
      <c r="AK252" s="4"/>
      <c r="AL252" s="4"/>
      <c r="AM252" s="4"/>
      <c r="AN252" s="4"/>
    </row>
    <row r="253" spans="1:40" ht="19" x14ac:dyDescent="0.25">
      <c r="B253" s="81" t="s">
        <v>199</v>
      </c>
      <c r="C253" s="82"/>
      <c r="D253" s="37"/>
      <c r="E253" s="58" t="s">
        <v>17</v>
      </c>
      <c r="F253" s="21" t="str">
        <f>IF(H253=-0.33,IF(H251=H$1,H251,""),"")</f>
        <v/>
      </c>
      <c r="G253" s="18"/>
      <c r="H253" s="151">
        <f t="shared" ref="H253" si="18">IF(H252=1,IF(H251=H$2,1,-0.33),0)</f>
        <v>0</v>
      </c>
      <c r="Y253" s="4"/>
      <c r="Z253" s="4"/>
      <c r="AA253" s="4"/>
      <c r="AB253" s="4"/>
      <c r="AC253" s="4"/>
      <c r="AD253" s="4"/>
      <c r="AE253" s="4"/>
      <c r="AF253" s="4"/>
      <c r="AG253" s="4"/>
      <c r="AH253" s="4"/>
      <c r="AI253" s="4"/>
      <c r="AJ253" s="4"/>
      <c r="AK253" s="4"/>
      <c r="AL253" s="4"/>
      <c r="AM253" s="4"/>
      <c r="AN253" s="4"/>
    </row>
    <row r="254" spans="1:40" ht="19" x14ac:dyDescent="0.25">
      <c r="B254" s="81" t="s">
        <v>124</v>
      </c>
      <c r="C254" s="82"/>
      <c r="D254" s="37"/>
      <c r="E254" s="58" t="s">
        <v>18</v>
      </c>
      <c r="F254" s="24"/>
      <c r="G254" s="18"/>
      <c r="H254" s="151"/>
      <c r="Y254" s="4"/>
      <c r="Z254" s="4"/>
      <c r="AA254" s="4"/>
      <c r="AB254" s="4"/>
      <c r="AC254" s="4"/>
      <c r="AD254" s="4"/>
      <c r="AE254" s="4"/>
      <c r="AF254" s="4"/>
      <c r="AG254" s="4"/>
      <c r="AH254" s="4"/>
      <c r="AI254" s="4"/>
      <c r="AJ254" s="4"/>
      <c r="AK254" s="4"/>
      <c r="AL254" s="4"/>
      <c r="AM254" s="4"/>
      <c r="AN254" s="4"/>
    </row>
    <row r="255" spans="1:40" ht="19" x14ac:dyDescent="0.25">
      <c r="B255" s="81"/>
      <c r="C255" s="83"/>
      <c r="D255" s="37"/>
      <c r="E255" s="58" t="s">
        <v>19</v>
      </c>
      <c r="F255" s="19"/>
      <c r="G255" s="18"/>
      <c r="H255" s="151"/>
      <c r="Y255" s="4"/>
      <c r="Z255" s="4"/>
      <c r="AA255" s="4"/>
      <c r="AB255" s="4"/>
      <c r="AC255" s="4"/>
      <c r="AD255" s="4"/>
      <c r="AE255" s="4"/>
      <c r="AF255" s="4"/>
      <c r="AG255" s="4"/>
      <c r="AH255" s="4"/>
      <c r="AI255" s="4"/>
      <c r="AJ255" s="4"/>
      <c r="AK255" s="4"/>
      <c r="AL255" s="4"/>
      <c r="AM255" s="4"/>
      <c r="AN255" s="4"/>
    </row>
    <row r="256" spans="1:40" s="16" customFormat="1" ht="19" x14ac:dyDescent="0.25">
      <c r="A256" s="4"/>
      <c r="B256" s="84" t="s">
        <v>166</v>
      </c>
      <c r="C256" s="85"/>
      <c r="D256" s="38"/>
      <c r="E256" s="57"/>
      <c r="F256" s="25"/>
      <c r="G256" s="152"/>
      <c r="H256" s="18"/>
      <c r="I256" s="4"/>
      <c r="J256" s="4"/>
      <c r="K256" s="4"/>
      <c r="L256" s="4"/>
      <c r="M256" s="4"/>
      <c r="N256" s="4"/>
      <c r="O256" s="4"/>
      <c r="P256" s="4"/>
      <c r="Q256" s="4"/>
      <c r="R256" s="4"/>
      <c r="S256" s="4"/>
      <c r="T256" s="4"/>
      <c r="U256" s="4"/>
      <c r="V256" s="4"/>
      <c r="W256" s="4"/>
      <c r="X256" s="4"/>
    </row>
    <row r="257" spans="1:40" ht="19" x14ac:dyDescent="0.25">
      <c r="B257" s="79" t="s">
        <v>200</v>
      </c>
      <c r="C257" s="80"/>
      <c r="D257" s="37"/>
      <c r="E257" s="58" t="s">
        <v>15</v>
      </c>
      <c r="F257" s="24"/>
      <c r="G257" s="152"/>
      <c r="H257" s="150" t="b">
        <f>IF(D258="x",H$2,H$1)</f>
        <v>0</v>
      </c>
      <c r="Y257" s="4"/>
      <c r="Z257" s="4"/>
      <c r="AA257" s="4"/>
      <c r="AB257" s="4"/>
      <c r="AC257" s="4"/>
      <c r="AD257" s="4"/>
      <c r="AE257" s="4"/>
      <c r="AF257" s="4"/>
      <c r="AG257" s="4"/>
      <c r="AH257" s="4"/>
      <c r="AI257" s="4"/>
      <c r="AJ257" s="4"/>
      <c r="AK257" s="4"/>
      <c r="AL257" s="4"/>
      <c r="AM257" s="4"/>
      <c r="AN257" s="4"/>
    </row>
    <row r="258" spans="1:40" ht="19" x14ac:dyDescent="0.25">
      <c r="B258" s="81" t="s">
        <v>201</v>
      </c>
      <c r="C258" s="82"/>
      <c r="D258" s="37"/>
      <c r="E258" s="58"/>
      <c r="F258" s="20" t="str">
        <f>IF(H259=1,IF(H257=H$2,H257,""),"")</f>
        <v/>
      </c>
      <c r="G258" s="152"/>
      <c r="H258" s="150" t="str">
        <f>IF(E$262="comprobar",COUNTIF(D257:D261,"x"),"")</f>
        <v/>
      </c>
      <c r="Y258" s="4"/>
      <c r="Z258" s="4"/>
      <c r="AA258" s="4"/>
      <c r="AB258" s="4"/>
      <c r="AC258" s="4"/>
      <c r="AD258" s="4"/>
      <c r="AE258" s="4"/>
      <c r="AF258" s="4"/>
      <c r="AG258" s="4"/>
      <c r="AH258" s="4"/>
      <c r="AI258" s="4"/>
      <c r="AJ258" s="4"/>
      <c r="AK258" s="4"/>
      <c r="AL258" s="4"/>
      <c r="AM258" s="4"/>
      <c r="AN258" s="4"/>
    </row>
    <row r="259" spans="1:40" ht="19" x14ac:dyDescent="0.25">
      <c r="B259" s="81" t="s">
        <v>202</v>
      </c>
      <c r="C259" s="82"/>
      <c r="D259" s="37"/>
      <c r="E259" s="58" t="s">
        <v>17</v>
      </c>
      <c r="F259" s="21" t="str">
        <f>IF(H259=-0.33,IF(H257=H$1,H257,""),"")</f>
        <v/>
      </c>
      <c r="G259" s="152"/>
      <c r="H259" s="151">
        <f t="shared" ref="H259" si="19">IF(H258=1,IF(H257=H$2,1,-0.33),0)</f>
        <v>0</v>
      </c>
      <c r="Y259" s="4"/>
      <c r="Z259" s="4"/>
      <c r="AA259" s="4"/>
      <c r="AB259" s="4"/>
      <c r="AC259" s="4"/>
      <c r="AD259" s="4"/>
      <c r="AE259" s="4"/>
      <c r="AF259" s="4"/>
      <c r="AG259" s="4"/>
      <c r="AH259" s="4"/>
      <c r="AI259" s="4"/>
      <c r="AJ259" s="4"/>
      <c r="AK259" s="4"/>
      <c r="AL259" s="4"/>
      <c r="AM259" s="4"/>
      <c r="AN259" s="4"/>
    </row>
    <row r="260" spans="1:40" ht="19" x14ac:dyDescent="0.25">
      <c r="B260" s="81" t="s">
        <v>124</v>
      </c>
      <c r="C260" s="82"/>
      <c r="D260" s="37"/>
      <c r="E260" s="58" t="s">
        <v>18</v>
      </c>
      <c r="F260" s="24"/>
      <c r="G260" s="152"/>
      <c r="H260" s="151"/>
      <c r="Y260" s="4"/>
      <c r="Z260" s="4"/>
      <c r="AA260" s="4"/>
      <c r="AB260" s="4"/>
      <c r="AC260" s="4"/>
      <c r="AD260" s="4"/>
      <c r="AE260" s="4"/>
      <c r="AF260" s="4"/>
      <c r="AG260" s="4"/>
      <c r="AH260" s="4"/>
      <c r="AI260" s="4"/>
      <c r="AJ260" s="4"/>
      <c r="AK260" s="4"/>
      <c r="AL260" s="4"/>
      <c r="AM260" s="4"/>
      <c r="AN260" s="4"/>
    </row>
    <row r="261" spans="1:40" ht="19" x14ac:dyDescent="0.25">
      <c r="B261" s="81"/>
      <c r="C261" s="83"/>
      <c r="D261" s="37"/>
      <c r="E261" s="58" t="s">
        <v>19</v>
      </c>
      <c r="F261" s="19"/>
      <c r="G261" s="152"/>
      <c r="H261" s="151"/>
      <c r="Y261" s="4"/>
      <c r="Z261" s="4"/>
      <c r="AA261" s="4"/>
      <c r="AB261" s="4"/>
      <c r="AC261" s="4"/>
      <c r="AD261" s="4"/>
      <c r="AE261" s="4"/>
      <c r="AF261" s="4"/>
      <c r="AG261" s="4"/>
      <c r="AH261" s="4"/>
      <c r="AI261" s="4"/>
      <c r="AJ261" s="4"/>
      <c r="AK261" s="4"/>
      <c r="AL261" s="4"/>
      <c r="AM261" s="4"/>
      <c r="AN261" s="4"/>
    </row>
    <row r="262" spans="1:40" x14ac:dyDescent="0.2">
      <c r="B262" s="44"/>
      <c r="C262" s="40"/>
      <c r="D262" s="53"/>
      <c r="E262" s="59"/>
      <c r="F262" s="19"/>
      <c r="G262" s="18"/>
      <c r="H262" s="18"/>
      <c r="Y262" s="4"/>
      <c r="Z262" s="4"/>
      <c r="AA262" s="4"/>
      <c r="AB262" s="4"/>
      <c r="AC262" s="4"/>
      <c r="AD262" s="4"/>
      <c r="AE262" s="4"/>
      <c r="AF262" s="4"/>
      <c r="AG262" s="4"/>
      <c r="AH262" s="4"/>
      <c r="AI262" s="4"/>
      <c r="AJ262" s="4"/>
      <c r="AK262" s="4"/>
      <c r="AL262" s="4"/>
      <c r="AM262" s="4"/>
      <c r="AN262" s="4"/>
    </row>
    <row r="263" spans="1:40" x14ac:dyDescent="0.2">
      <c r="B263" s="44"/>
      <c r="C263" s="17"/>
      <c r="D263" s="53"/>
      <c r="E263" s="62"/>
      <c r="F263" s="26" t="s">
        <v>8</v>
      </c>
      <c r="G263" s="18" t="s">
        <v>6</v>
      </c>
      <c r="H263" s="18" t="s">
        <v>7</v>
      </c>
      <c r="Y263" s="4"/>
      <c r="Z263" s="4"/>
      <c r="AA263" s="4"/>
      <c r="AB263" s="4"/>
      <c r="AC263" s="4"/>
      <c r="AD263" s="4"/>
      <c r="AE263" s="4"/>
      <c r="AF263" s="4"/>
      <c r="AG263" s="4"/>
      <c r="AH263" s="4"/>
      <c r="AI263" s="4"/>
      <c r="AJ263" s="4"/>
      <c r="AK263" s="4"/>
      <c r="AL263" s="4"/>
      <c r="AM263" s="4"/>
      <c r="AN263" s="4"/>
    </row>
    <row r="264" spans="1:40" ht="20" x14ac:dyDescent="0.2">
      <c r="B264" s="44"/>
      <c r="C264" s="17"/>
      <c r="D264" s="52"/>
      <c r="E264" s="56"/>
      <c r="F264" s="27" t="str">
        <f>IF(E262="comprobar",H259+H253+H247+H241+H235+H229+H223+H217+H211+H205,"")</f>
        <v/>
      </c>
      <c r="G264" s="18">
        <f>10/2</f>
        <v>5</v>
      </c>
      <c r="H264" s="18"/>
      <c r="Y264" s="4"/>
      <c r="Z264" s="4"/>
      <c r="AA264" s="4"/>
      <c r="AB264" s="4"/>
      <c r="AC264" s="4"/>
      <c r="AD264" s="4"/>
      <c r="AE264" s="4"/>
      <c r="AF264" s="4"/>
      <c r="AG264" s="4"/>
      <c r="AH264" s="4"/>
      <c r="AI264" s="4"/>
      <c r="AJ264" s="4"/>
      <c r="AK264" s="4"/>
      <c r="AL264" s="4"/>
      <c r="AM264" s="4"/>
      <c r="AN264" s="4"/>
    </row>
    <row r="265" spans="1:40" ht="17" thickBot="1" x14ac:dyDescent="0.25">
      <c r="B265" s="45"/>
      <c r="C265" s="28"/>
      <c r="D265" s="29"/>
      <c r="E265" s="60"/>
      <c r="F265" s="30" t="str">
        <f>IF(F264&gt;G264,G263,H263)</f>
        <v>APROBADO</v>
      </c>
      <c r="G265" s="18"/>
      <c r="H265" s="18"/>
      <c r="Y265" s="4"/>
      <c r="Z265" s="4"/>
      <c r="AA265" s="4"/>
      <c r="AB265" s="4"/>
      <c r="AC265" s="4"/>
      <c r="AD265" s="4"/>
      <c r="AE265" s="4"/>
      <c r="AF265" s="4"/>
      <c r="AG265" s="4"/>
      <c r="AH265" s="4"/>
      <c r="AI265" s="4"/>
      <c r="AJ265" s="4"/>
      <c r="AK265" s="4"/>
      <c r="AL265" s="4"/>
      <c r="AM265" s="4"/>
      <c r="AN265" s="4"/>
    </row>
    <row r="266" spans="1:40" ht="29" x14ac:dyDescent="0.35">
      <c r="B266" s="176" t="s">
        <v>21</v>
      </c>
      <c r="C266" s="118" t="s">
        <v>12</v>
      </c>
      <c r="D266" s="66"/>
      <c r="E266" s="66"/>
      <c r="F266" s="67"/>
      <c r="Y266" s="4"/>
      <c r="Z266" s="4"/>
      <c r="AA266" s="4"/>
      <c r="AB266" s="4"/>
      <c r="AC266" s="4"/>
      <c r="AD266" s="4"/>
      <c r="AE266" s="4"/>
      <c r="AF266" s="4"/>
      <c r="AG266" s="4"/>
      <c r="AH266" s="4"/>
      <c r="AI266" s="4"/>
      <c r="AJ266" s="4"/>
      <c r="AK266" s="4"/>
      <c r="AL266" s="4"/>
      <c r="AM266" s="4"/>
      <c r="AN266" s="4"/>
    </row>
    <row r="267" spans="1:40" s="16" customFormat="1" x14ac:dyDescent="0.2">
      <c r="A267" s="4"/>
      <c r="B267" s="178" t="s">
        <v>438</v>
      </c>
      <c r="C267" s="12"/>
      <c r="D267" s="38"/>
      <c r="E267" s="57"/>
      <c r="F267" s="25"/>
      <c r="G267" s="18"/>
      <c r="H267" s="18"/>
      <c r="I267" s="4"/>
      <c r="J267" s="4"/>
      <c r="K267" s="4"/>
      <c r="L267" s="4"/>
      <c r="M267" s="4"/>
      <c r="N267" s="4"/>
      <c r="O267" s="4"/>
      <c r="P267" s="4"/>
      <c r="Q267" s="4"/>
      <c r="R267" s="4"/>
      <c r="S267" s="4"/>
      <c r="T267" s="4"/>
      <c r="U267" s="4"/>
      <c r="V267" s="4"/>
      <c r="W267" s="4"/>
      <c r="X267" s="4"/>
    </row>
    <row r="268" spans="1:40" x14ac:dyDescent="0.2">
      <c r="B268" s="204" t="s">
        <v>203</v>
      </c>
      <c r="C268" s="205"/>
      <c r="D268" s="53"/>
      <c r="E268" s="58"/>
      <c r="F268" s="24"/>
      <c r="G268" s="18"/>
      <c r="H268" s="150"/>
      <c r="Y268" s="4"/>
      <c r="Z268" s="4"/>
      <c r="AA268" s="4"/>
      <c r="AB268" s="4"/>
      <c r="AC268" s="4"/>
      <c r="AD268" s="4"/>
      <c r="AE268" s="4"/>
      <c r="AF268" s="4"/>
      <c r="AG268" s="4"/>
      <c r="AH268" s="4"/>
      <c r="AI268" s="4"/>
      <c r="AJ268" s="4"/>
      <c r="AK268" s="4"/>
      <c r="AL268" s="4"/>
      <c r="AM268" s="4"/>
      <c r="AN268" s="4"/>
    </row>
    <row r="269" spans="1:40" s="87" customFormat="1" ht="32" customHeight="1" x14ac:dyDescent="0.2">
      <c r="A269" s="89"/>
      <c r="B269" s="206" t="s">
        <v>204</v>
      </c>
      <c r="C269" s="207"/>
      <c r="D269" s="53"/>
      <c r="E269" s="58"/>
      <c r="F269" s="19"/>
      <c r="G269" s="88"/>
      <c r="H269" s="150"/>
      <c r="I269" s="89"/>
      <c r="J269" s="89"/>
      <c r="K269" s="89"/>
      <c r="L269" s="89"/>
      <c r="M269" s="89"/>
      <c r="N269" s="89"/>
      <c r="O269" s="89"/>
      <c r="P269" s="89"/>
      <c r="Q269" s="89"/>
      <c r="R269" s="89"/>
      <c r="S269" s="89"/>
      <c r="T269" s="89"/>
      <c r="U269" s="89"/>
      <c r="V269" s="89"/>
      <c r="W269" s="89"/>
      <c r="X269" s="89"/>
      <c r="Y269" s="89"/>
      <c r="Z269" s="89"/>
      <c r="AA269" s="89"/>
      <c r="AB269" s="89"/>
      <c r="AC269" s="89"/>
      <c r="AD269" s="89"/>
      <c r="AE269" s="89"/>
      <c r="AF269" s="89"/>
      <c r="AG269" s="89"/>
      <c r="AH269" s="89"/>
      <c r="AI269" s="89"/>
      <c r="AJ269" s="89"/>
      <c r="AK269" s="89"/>
      <c r="AL269" s="89"/>
      <c r="AM269" s="89"/>
      <c r="AN269" s="89"/>
    </row>
    <row r="270" spans="1:40" ht="19" x14ac:dyDescent="0.2">
      <c r="B270" s="196" t="s">
        <v>437</v>
      </c>
      <c r="C270" s="197"/>
      <c r="D270" s="38"/>
      <c r="E270" s="57"/>
      <c r="F270" s="15"/>
      <c r="G270" s="18"/>
      <c r="H270" s="151"/>
      <c r="Y270" s="4"/>
      <c r="Z270" s="4"/>
      <c r="AA270" s="4"/>
      <c r="AB270" s="4"/>
      <c r="AC270" s="4"/>
      <c r="AD270" s="4"/>
      <c r="AE270" s="4"/>
      <c r="AF270" s="4"/>
      <c r="AG270" s="4"/>
      <c r="AH270" s="4"/>
      <c r="AI270" s="4"/>
      <c r="AJ270" s="4"/>
      <c r="AK270" s="4"/>
      <c r="AL270" s="4"/>
      <c r="AM270" s="4"/>
      <c r="AN270" s="4"/>
    </row>
    <row r="271" spans="1:40" ht="19" x14ac:dyDescent="0.25">
      <c r="B271" s="79" t="s">
        <v>167</v>
      </c>
      <c r="C271" s="80"/>
      <c r="D271" s="37"/>
      <c r="E271" s="58" t="s">
        <v>15</v>
      </c>
      <c r="F271" s="24"/>
      <c r="G271" s="18"/>
      <c r="H271" s="150" t="b">
        <f>IF(D273="x",H$2,H$1)</f>
        <v>0</v>
      </c>
      <c r="Y271" s="4"/>
      <c r="Z271" s="4"/>
      <c r="AA271" s="4"/>
      <c r="AB271" s="4"/>
      <c r="AC271" s="4"/>
      <c r="AD271" s="4"/>
      <c r="AE271" s="4"/>
      <c r="AF271" s="4"/>
      <c r="AG271" s="4"/>
      <c r="AH271" s="4"/>
      <c r="AI271" s="4"/>
      <c r="AJ271" s="4"/>
      <c r="AK271" s="4"/>
      <c r="AL271" s="4"/>
      <c r="AM271" s="4"/>
      <c r="AN271" s="4"/>
    </row>
    <row r="272" spans="1:40" s="16" customFormat="1" ht="19" x14ac:dyDescent="0.25">
      <c r="A272" s="4"/>
      <c r="B272" s="81" t="s">
        <v>168</v>
      </c>
      <c r="C272" s="82"/>
      <c r="D272" s="37"/>
      <c r="E272" s="58" t="s">
        <v>16</v>
      </c>
      <c r="F272" s="20" t="str">
        <f>IF(H273=1,IF(H271=H$2,H271,""),"")</f>
        <v/>
      </c>
      <c r="G272" s="18"/>
      <c r="H272" s="150" t="str">
        <f>IF(E$330="comprobar",COUNTIF(D271:D275,"x"),"")</f>
        <v/>
      </c>
      <c r="I272" s="4"/>
      <c r="J272" s="4"/>
      <c r="K272" s="4"/>
      <c r="L272" s="4"/>
      <c r="M272" s="4"/>
      <c r="N272" s="4"/>
      <c r="O272" s="4"/>
      <c r="P272" s="4"/>
      <c r="Q272" s="4"/>
      <c r="R272" s="4"/>
      <c r="S272" s="4"/>
      <c r="T272" s="4"/>
      <c r="U272" s="4"/>
      <c r="V272" s="4"/>
      <c r="W272" s="4"/>
      <c r="X272" s="4"/>
    </row>
    <row r="273" spans="1:40" ht="19" x14ac:dyDescent="0.25">
      <c r="B273" s="81" t="s">
        <v>170</v>
      </c>
      <c r="C273" s="82"/>
      <c r="D273" s="37"/>
      <c r="E273" s="58" t="s">
        <v>17</v>
      </c>
      <c r="F273" s="21" t="str">
        <f>IF(H273=-0.33,IF(H271=H$1,H271,""),"")</f>
        <v/>
      </c>
      <c r="G273" s="18"/>
      <c r="H273" s="151">
        <f t="shared" ref="H273" si="20">IF(H272=1,IF(H271=H$2,1,-0.33),0)</f>
        <v>0</v>
      </c>
      <c r="Y273" s="4"/>
      <c r="Z273" s="4"/>
      <c r="AA273" s="4"/>
      <c r="AB273" s="4"/>
      <c r="AC273" s="4"/>
      <c r="AD273" s="4"/>
      <c r="AE273" s="4"/>
      <c r="AF273" s="4"/>
      <c r="AG273" s="4"/>
      <c r="AH273" s="4"/>
      <c r="AI273" s="4"/>
      <c r="AJ273" s="4"/>
      <c r="AK273" s="4"/>
      <c r="AL273" s="4"/>
      <c r="AM273" s="4"/>
      <c r="AN273" s="4"/>
    </row>
    <row r="274" spans="1:40" ht="19" x14ac:dyDescent="0.25">
      <c r="B274" s="81" t="s">
        <v>120</v>
      </c>
      <c r="C274" s="82"/>
      <c r="D274" s="37"/>
      <c r="E274" s="58" t="s">
        <v>18</v>
      </c>
      <c r="F274" s="24"/>
      <c r="G274" s="18"/>
      <c r="H274" s="151"/>
      <c r="Y274" s="4"/>
      <c r="Z274" s="4"/>
      <c r="AA274" s="4"/>
      <c r="AB274" s="4"/>
      <c r="AC274" s="4"/>
      <c r="AD274" s="4"/>
      <c r="AE274" s="4"/>
      <c r="AF274" s="4"/>
      <c r="AG274" s="4"/>
      <c r="AH274" s="4"/>
      <c r="AI274" s="4"/>
      <c r="AJ274" s="4"/>
      <c r="AK274" s="4"/>
      <c r="AL274" s="4"/>
      <c r="AM274" s="4"/>
      <c r="AN274" s="4"/>
    </row>
    <row r="275" spans="1:40" ht="19" x14ac:dyDescent="0.25">
      <c r="B275" s="81"/>
      <c r="C275" s="83"/>
      <c r="D275" s="37"/>
      <c r="E275" s="58" t="s">
        <v>19</v>
      </c>
      <c r="F275" s="19"/>
      <c r="G275" s="18"/>
      <c r="H275" s="151"/>
      <c r="Y275" s="4"/>
      <c r="Z275" s="4"/>
      <c r="AA275" s="4"/>
      <c r="AB275" s="4"/>
      <c r="AC275" s="4"/>
      <c r="AD275" s="4"/>
      <c r="AE275" s="4"/>
      <c r="AF275" s="4"/>
      <c r="AG275" s="4"/>
      <c r="AH275" s="4"/>
      <c r="AI275" s="4"/>
      <c r="AJ275" s="4"/>
      <c r="AK275" s="4"/>
      <c r="AL275" s="4"/>
      <c r="AM275" s="4"/>
      <c r="AN275" s="4"/>
    </row>
    <row r="276" spans="1:40" ht="19" x14ac:dyDescent="0.25">
      <c r="B276" s="84" t="s">
        <v>111</v>
      </c>
      <c r="C276" s="85"/>
      <c r="D276" s="38"/>
      <c r="E276" s="57"/>
      <c r="F276" s="25"/>
      <c r="G276" s="18"/>
      <c r="H276" s="18"/>
      <c r="Y276" s="4"/>
      <c r="Z276" s="4"/>
      <c r="AA276" s="4"/>
      <c r="AB276" s="4"/>
      <c r="AC276" s="4"/>
      <c r="AD276" s="4"/>
      <c r="AE276" s="4"/>
      <c r="AF276" s="4"/>
      <c r="AG276" s="4"/>
      <c r="AH276" s="4"/>
      <c r="AI276" s="4"/>
      <c r="AJ276" s="4"/>
      <c r="AK276" s="4"/>
      <c r="AL276" s="4"/>
      <c r="AM276" s="4"/>
      <c r="AN276" s="4"/>
    </row>
    <row r="277" spans="1:40" ht="19" x14ac:dyDescent="0.25">
      <c r="B277" s="79" t="s">
        <v>234</v>
      </c>
      <c r="C277" s="80"/>
      <c r="D277" s="37"/>
      <c r="E277" s="58" t="s">
        <v>15</v>
      </c>
      <c r="F277" s="24"/>
      <c r="G277" s="18"/>
      <c r="H277" s="150" t="b">
        <f>IF(D277="x",H$2,H$1)</f>
        <v>0</v>
      </c>
      <c r="Y277" s="4"/>
      <c r="Z277" s="4"/>
      <c r="AA277" s="4"/>
      <c r="AB277" s="4"/>
      <c r="AC277" s="4"/>
      <c r="AD277" s="4"/>
      <c r="AE277" s="4"/>
      <c r="AF277" s="4"/>
      <c r="AG277" s="4"/>
      <c r="AH277" s="4"/>
      <c r="AI277" s="4"/>
      <c r="AJ277" s="4"/>
      <c r="AK277" s="4"/>
      <c r="AL277" s="4"/>
      <c r="AM277" s="4"/>
      <c r="AN277" s="4"/>
    </row>
    <row r="278" spans="1:40" s="16" customFormat="1" ht="19" x14ac:dyDescent="0.25">
      <c r="A278" s="4"/>
      <c r="B278" s="81" t="s">
        <v>213</v>
      </c>
      <c r="C278" s="82"/>
      <c r="D278" s="37"/>
      <c r="E278" s="58" t="s">
        <v>16</v>
      </c>
      <c r="F278" s="20" t="str">
        <f>IF(H279=1,IF(H277=H$2,H277,""),"")</f>
        <v/>
      </c>
      <c r="G278" s="18"/>
      <c r="H278" s="150" t="str">
        <f>IF(E$330="comprobar",COUNTIF(D277:D281,"x"),"")</f>
        <v/>
      </c>
      <c r="I278" s="4"/>
      <c r="J278" s="4"/>
      <c r="K278" s="4"/>
      <c r="L278" s="4"/>
      <c r="M278" s="4"/>
      <c r="N278" s="4"/>
      <c r="O278" s="4"/>
      <c r="P278" s="4"/>
      <c r="Q278" s="4"/>
      <c r="R278" s="4"/>
      <c r="S278" s="4"/>
      <c r="T278" s="4"/>
      <c r="U278" s="4"/>
      <c r="V278" s="4"/>
      <c r="W278" s="4"/>
      <c r="X278" s="4"/>
    </row>
    <row r="279" spans="1:40" ht="19" x14ac:dyDescent="0.25">
      <c r="B279" s="81" t="s">
        <v>214</v>
      </c>
      <c r="C279" s="82"/>
      <c r="D279" s="37"/>
      <c r="E279" s="58" t="s">
        <v>17</v>
      </c>
      <c r="F279" s="21" t="str">
        <f>IF(H279=-0.33,IF(H277=H$1,H277,""),"")</f>
        <v/>
      </c>
      <c r="G279" s="18"/>
      <c r="H279" s="151">
        <f t="shared" ref="H279" si="21">IF(H278=1,IF(H277=H$2,1,-0.33),0)</f>
        <v>0</v>
      </c>
      <c r="Y279" s="4"/>
      <c r="Z279" s="4"/>
      <c r="AA279" s="4"/>
      <c r="AB279" s="4"/>
      <c r="AC279" s="4"/>
      <c r="AD279" s="4"/>
      <c r="AE279" s="4"/>
      <c r="AF279" s="4"/>
      <c r="AG279" s="4"/>
      <c r="AH279" s="4"/>
      <c r="AI279" s="4"/>
      <c r="AJ279" s="4"/>
      <c r="AK279" s="4"/>
      <c r="AL279" s="4"/>
      <c r="AM279" s="4"/>
      <c r="AN279" s="4"/>
    </row>
    <row r="280" spans="1:40" ht="19" x14ac:dyDescent="0.25">
      <c r="B280" s="81" t="s">
        <v>215</v>
      </c>
      <c r="C280" s="82"/>
      <c r="D280" s="37"/>
      <c r="E280" s="58" t="s">
        <v>18</v>
      </c>
      <c r="F280" s="24"/>
      <c r="G280" s="18"/>
      <c r="H280" s="151"/>
      <c r="Y280" s="4"/>
      <c r="Z280" s="4"/>
      <c r="AA280" s="4"/>
      <c r="AB280" s="4"/>
      <c r="AC280" s="4"/>
      <c r="AD280" s="4"/>
      <c r="AE280" s="4"/>
      <c r="AF280" s="4"/>
      <c r="AG280" s="4"/>
      <c r="AH280" s="4"/>
      <c r="AI280" s="4"/>
      <c r="AJ280" s="4"/>
      <c r="AK280" s="4"/>
      <c r="AL280" s="4"/>
      <c r="AM280" s="4"/>
      <c r="AN280" s="4"/>
    </row>
    <row r="281" spans="1:40" ht="19" x14ac:dyDescent="0.25">
      <c r="B281" s="81"/>
      <c r="C281" s="83"/>
      <c r="D281" s="37"/>
      <c r="E281" s="58" t="s">
        <v>19</v>
      </c>
      <c r="F281" s="19"/>
      <c r="G281" s="18"/>
      <c r="H281" s="151"/>
      <c r="Y281" s="4"/>
      <c r="Z281" s="4"/>
      <c r="AA281" s="4"/>
      <c r="AB281" s="4"/>
      <c r="AC281" s="4"/>
      <c r="AD281" s="4"/>
      <c r="AE281" s="4"/>
      <c r="AF281" s="4"/>
      <c r="AG281" s="4"/>
      <c r="AH281" s="4"/>
      <c r="AI281" s="4"/>
      <c r="AJ281" s="4"/>
      <c r="AK281" s="4"/>
      <c r="AL281" s="4"/>
      <c r="AM281" s="4"/>
      <c r="AN281" s="4"/>
    </row>
    <row r="282" spans="1:40" ht="19" x14ac:dyDescent="0.25">
      <c r="B282" s="84" t="s">
        <v>205</v>
      </c>
      <c r="C282" s="85"/>
      <c r="D282" s="38"/>
      <c r="E282" s="57"/>
      <c r="F282" s="25"/>
      <c r="G282" s="18"/>
      <c r="H282" s="18"/>
      <c r="Y282" s="4"/>
      <c r="Z282" s="4"/>
      <c r="AA282" s="4"/>
      <c r="AB282" s="4"/>
      <c r="AC282" s="4"/>
      <c r="AD282" s="4"/>
      <c r="AE282" s="4"/>
      <c r="AF282" s="4"/>
      <c r="AG282" s="4"/>
      <c r="AH282" s="4"/>
      <c r="AI282" s="4"/>
      <c r="AJ282" s="4"/>
      <c r="AK282" s="4"/>
      <c r="AL282" s="4"/>
      <c r="AM282" s="4"/>
      <c r="AN282" s="4"/>
    </row>
    <row r="283" spans="1:40" ht="19" x14ac:dyDescent="0.25">
      <c r="B283" s="79" t="s">
        <v>216</v>
      </c>
      <c r="C283" s="80"/>
      <c r="D283" s="37"/>
      <c r="E283" s="58" t="s">
        <v>15</v>
      </c>
      <c r="F283" s="24"/>
      <c r="G283" s="18"/>
      <c r="H283" s="150" t="b">
        <f>IF(D286="x",H$2,H$1)</f>
        <v>0</v>
      </c>
      <c r="Y283" s="4"/>
      <c r="Z283" s="4"/>
      <c r="AA283" s="4"/>
      <c r="AB283" s="4"/>
      <c r="AC283" s="4"/>
      <c r="AD283" s="4"/>
      <c r="AE283" s="4"/>
      <c r="AF283" s="4"/>
      <c r="AG283" s="4"/>
      <c r="AH283" s="4"/>
      <c r="AI283" s="4"/>
      <c r="AJ283" s="4"/>
      <c r="AK283" s="4"/>
      <c r="AL283" s="4"/>
      <c r="AM283" s="4"/>
      <c r="AN283" s="4"/>
    </row>
    <row r="284" spans="1:40" s="16" customFormat="1" ht="19" x14ac:dyDescent="0.25">
      <c r="A284" s="4"/>
      <c r="B284" s="81" t="s">
        <v>217</v>
      </c>
      <c r="C284" s="82"/>
      <c r="D284" s="37"/>
      <c r="E284" s="58" t="s">
        <v>16</v>
      </c>
      <c r="F284" s="20" t="str">
        <f>IF(H285=1,IF(H283=H$2,H283,""),"")</f>
        <v/>
      </c>
      <c r="G284" s="18"/>
      <c r="H284" s="150" t="str">
        <f>IF(E$330="comprobar",COUNTIF(D283:D287,"x"),"")</f>
        <v/>
      </c>
      <c r="I284" s="4"/>
      <c r="J284" s="4"/>
      <c r="K284" s="4"/>
      <c r="L284" s="4"/>
      <c r="M284" s="4"/>
      <c r="N284" s="4"/>
      <c r="O284" s="4"/>
      <c r="P284" s="4"/>
      <c r="Q284" s="4"/>
      <c r="R284" s="4"/>
      <c r="S284" s="4"/>
      <c r="T284" s="4"/>
      <c r="U284" s="4"/>
      <c r="V284" s="4"/>
      <c r="W284" s="4"/>
      <c r="X284" s="4"/>
    </row>
    <row r="285" spans="1:40" ht="19" x14ac:dyDescent="0.25">
      <c r="B285" s="81" t="s">
        <v>218</v>
      </c>
      <c r="C285" s="82"/>
      <c r="D285" s="37"/>
      <c r="E285" s="58" t="s">
        <v>17</v>
      </c>
      <c r="F285" s="21" t="str">
        <f>IF(H285=-0.33,IF(H283=H$1,H283,""),"")</f>
        <v/>
      </c>
      <c r="G285" s="18"/>
      <c r="H285" s="151">
        <f t="shared" ref="H285" si="22">IF(H284=1,IF(H283=H$2,1,-0.33),0)</f>
        <v>0</v>
      </c>
      <c r="Y285" s="4"/>
      <c r="Z285" s="4"/>
      <c r="AA285" s="4"/>
      <c r="AB285" s="4"/>
      <c r="AC285" s="4"/>
      <c r="AD285" s="4"/>
      <c r="AE285" s="4"/>
      <c r="AF285" s="4"/>
      <c r="AG285" s="4"/>
      <c r="AH285" s="4"/>
      <c r="AI285" s="4"/>
      <c r="AJ285" s="4"/>
      <c r="AK285" s="4"/>
      <c r="AL285" s="4"/>
      <c r="AM285" s="4"/>
      <c r="AN285" s="4"/>
    </row>
    <row r="286" spans="1:40" ht="19" x14ac:dyDescent="0.25">
      <c r="B286" s="81" t="s">
        <v>235</v>
      </c>
      <c r="C286" s="82"/>
      <c r="D286" s="37"/>
      <c r="E286" s="58" t="s">
        <v>18</v>
      </c>
      <c r="F286" s="24"/>
      <c r="G286" s="18"/>
      <c r="H286" s="151"/>
      <c r="Y286" s="4"/>
      <c r="Z286" s="4"/>
      <c r="AA286" s="4"/>
      <c r="AB286" s="4"/>
      <c r="AC286" s="4"/>
      <c r="AD286" s="4"/>
      <c r="AE286" s="4"/>
      <c r="AF286" s="4"/>
      <c r="AG286" s="4"/>
      <c r="AH286" s="4"/>
      <c r="AI286" s="4"/>
      <c r="AJ286" s="4"/>
      <c r="AK286" s="4"/>
      <c r="AL286" s="4"/>
      <c r="AM286" s="4"/>
      <c r="AN286" s="4"/>
    </row>
    <row r="287" spans="1:40" ht="19" x14ac:dyDescent="0.25">
      <c r="B287" s="81"/>
      <c r="C287" s="83"/>
      <c r="D287" s="37"/>
      <c r="E287" s="58" t="s">
        <v>19</v>
      </c>
      <c r="F287" s="19"/>
      <c r="G287" s="18"/>
      <c r="H287" s="151"/>
      <c r="Y287" s="4"/>
      <c r="Z287" s="4"/>
      <c r="AA287" s="4"/>
      <c r="AB287" s="4"/>
      <c r="AC287" s="4"/>
      <c r="AD287" s="4"/>
      <c r="AE287" s="4"/>
      <c r="AF287" s="4"/>
      <c r="AG287" s="4"/>
      <c r="AH287" s="4"/>
      <c r="AI287" s="4"/>
      <c r="AJ287" s="4"/>
      <c r="AK287" s="4"/>
      <c r="AL287" s="4"/>
      <c r="AM287" s="4"/>
      <c r="AN287" s="4"/>
    </row>
    <row r="288" spans="1:40" ht="19" x14ac:dyDescent="0.25">
      <c r="B288" s="84" t="s">
        <v>206</v>
      </c>
      <c r="C288" s="85"/>
      <c r="D288" s="38"/>
      <c r="E288" s="57"/>
      <c r="F288" s="25"/>
      <c r="G288" s="18"/>
      <c r="H288" s="18"/>
      <c r="Y288" s="4"/>
      <c r="Z288" s="4"/>
      <c r="AA288" s="4"/>
      <c r="AB288" s="4"/>
      <c r="AC288" s="4"/>
      <c r="AD288" s="4"/>
      <c r="AE288" s="4"/>
      <c r="AF288" s="4"/>
      <c r="AG288" s="4"/>
      <c r="AH288" s="4"/>
      <c r="AI288" s="4"/>
      <c r="AJ288" s="4"/>
      <c r="AK288" s="4"/>
      <c r="AL288" s="4"/>
      <c r="AM288" s="4"/>
      <c r="AN288" s="4"/>
    </row>
    <row r="289" spans="1:40" ht="19" x14ac:dyDescent="0.25">
      <c r="B289" s="79" t="s">
        <v>219</v>
      </c>
      <c r="C289" s="80"/>
      <c r="D289" s="37"/>
      <c r="E289" s="58" t="s">
        <v>15</v>
      </c>
      <c r="F289" s="24"/>
      <c r="G289" s="18"/>
      <c r="H289" s="150" t="b">
        <f>IF(D291="x",H$2,H$1)</f>
        <v>0</v>
      </c>
      <c r="Y289" s="4"/>
      <c r="Z289" s="4"/>
      <c r="AA289" s="4"/>
      <c r="AB289" s="4"/>
      <c r="AC289" s="4"/>
      <c r="AD289" s="4"/>
      <c r="AE289" s="4"/>
      <c r="AF289" s="4"/>
      <c r="AG289" s="4"/>
      <c r="AH289" s="4"/>
      <c r="AI289" s="4"/>
      <c r="AJ289" s="4"/>
      <c r="AK289" s="4"/>
      <c r="AL289" s="4"/>
      <c r="AM289" s="4"/>
      <c r="AN289" s="4"/>
    </row>
    <row r="290" spans="1:40" s="16" customFormat="1" ht="19" x14ac:dyDescent="0.25">
      <c r="A290" s="4"/>
      <c r="B290" s="81" t="s">
        <v>220</v>
      </c>
      <c r="C290" s="82"/>
      <c r="D290" s="37"/>
      <c r="E290" s="58" t="s">
        <v>16</v>
      </c>
      <c r="F290" s="20" t="str">
        <f>IF(H291=1,IF(H289=H$2,H289,""),"")</f>
        <v/>
      </c>
      <c r="G290" s="18"/>
      <c r="H290" s="150" t="str">
        <f>IF(E$330="comprobar",COUNTIF(D289:D293,"x"),"")</f>
        <v/>
      </c>
      <c r="I290" s="4"/>
      <c r="J290" s="4"/>
      <c r="K290" s="4"/>
      <c r="L290" s="4"/>
      <c r="M290" s="4"/>
      <c r="N290" s="4"/>
      <c r="O290" s="4"/>
      <c r="P290" s="4"/>
      <c r="Q290" s="4"/>
      <c r="R290" s="4"/>
      <c r="S290" s="4"/>
      <c r="T290" s="4"/>
      <c r="U290" s="4"/>
      <c r="V290" s="4"/>
      <c r="W290" s="4"/>
      <c r="X290" s="4"/>
    </row>
    <row r="291" spans="1:40" ht="19" x14ac:dyDescent="0.25">
      <c r="B291" s="81" t="s">
        <v>236</v>
      </c>
      <c r="C291" s="82"/>
      <c r="D291" s="37"/>
      <c r="E291" s="58" t="s">
        <v>17</v>
      </c>
      <c r="F291" s="21" t="str">
        <f>IF(H291=-0.33,IF(H289=H$1,H289,""),"")</f>
        <v/>
      </c>
      <c r="G291" s="18"/>
      <c r="H291" s="151">
        <f t="shared" ref="H291" si="23">IF(H290=1,IF(H289=H$2,1,-0.33),0)</f>
        <v>0</v>
      </c>
      <c r="Y291" s="4"/>
      <c r="Z291" s="4"/>
      <c r="AA291" s="4"/>
      <c r="AB291" s="4"/>
      <c r="AC291" s="4"/>
      <c r="AD291" s="4"/>
      <c r="AE291" s="4"/>
      <c r="AF291" s="4"/>
      <c r="AG291" s="4"/>
      <c r="AH291" s="4"/>
      <c r="AI291" s="4"/>
      <c r="AJ291" s="4"/>
      <c r="AK291" s="4"/>
      <c r="AL291" s="4"/>
      <c r="AM291" s="4"/>
      <c r="AN291" s="4"/>
    </row>
    <row r="292" spans="1:40" ht="19" x14ac:dyDescent="0.25">
      <c r="B292" s="81" t="s">
        <v>221</v>
      </c>
      <c r="C292" s="82"/>
      <c r="D292" s="37"/>
      <c r="E292" s="58" t="s">
        <v>18</v>
      </c>
      <c r="F292" s="24"/>
      <c r="G292" s="18"/>
      <c r="H292" s="151"/>
      <c r="Y292" s="4"/>
      <c r="Z292" s="4"/>
      <c r="AA292" s="4"/>
      <c r="AB292" s="4"/>
      <c r="AC292" s="4"/>
      <c r="AD292" s="4"/>
      <c r="AE292" s="4"/>
      <c r="AF292" s="4"/>
      <c r="AG292" s="4"/>
      <c r="AH292" s="4"/>
      <c r="AI292" s="4"/>
      <c r="AJ292" s="4"/>
      <c r="AK292" s="4"/>
      <c r="AL292" s="4"/>
      <c r="AM292" s="4"/>
      <c r="AN292" s="4"/>
    </row>
    <row r="293" spans="1:40" ht="19" x14ac:dyDescent="0.25">
      <c r="B293" s="81"/>
      <c r="C293" s="83"/>
      <c r="D293" s="37"/>
      <c r="E293" s="58" t="s">
        <v>19</v>
      </c>
      <c r="F293" s="19"/>
      <c r="G293" s="18"/>
      <c r="H293" s="151"/>
      <c r="Y293" s="4"/>
      <c r="Z293" s="4"/>
      <c r="AA293" s="4"/>
      <c r="AB293" s="4"/>
      <c r="AC293" s="4"/>
      <c r="AD293" s="4"/>
      <c r="AE293" s="4"/>
      <c r="AF293" s="4"/>
      <c r="AG293" s="4"/>
      <c r="AH293" s="4"/>
      <c r="AI293" s="4"/>
      <c r="AJ293" s="4"/>
      <c r="AK293" s="4"/>
      <c r="AL293" s="4"/>
      <c r="AM293" s="4"/>
      <c r="AN293" s="4"/>
    </row>
    <row r="294" spans="1:40" ht="19" x14ac:dyDescent="0.25">
      <c r="B294" s="84" t="s">
        <v>207</v>
      </c>
      <c r="C294" s="85"/>
      <c r="D294" s="38"/>
      <c r="E294" s="57"/>
      <c r="F294" s="25"/>
      <c r="G294" s="18"/>
      <c r="H294" s="18"/>
      <c r="Y294" s="4"/>
      <c r="Z294" s="4"/>
      <c r="AA294" s="4"/>
      <c r="AB294" s="4"/>
      <c r="AC294" s="4"/>
      <c r="AD294" s="4"/>
      <c r="AE294" s="4"/>
      <c r="AF294" s="4"/>
      <c r="AG294" s="4"/>
      <c r="AH294" s="4"/>
      <c r="AI294" s="4"/>
      <c r="AJ294" s="4"/>
      <c r="AK294" s="4"/>
      <c r="AL294" s="4"/>
      <c r="AM294" s="4"/>
      <c r="AN294" s="4"/>
    </row>
    <row r="295" spans="1:40" ht="19" x14ac:dyDescent="0.25">
      <c r="B295" s="79" t="s">
        <v>222</v>
      </c>
      <c r="C295" s="80"/>
      <c r="D295" s="37"/>
      <c r="E295" s="58" t="s">
        <v>15</v>
      </c>
      <c r="F295" s="24"/>
      <c r="G295" s="18"/>
      <c r="H295" s="150" t="b">
        <f>IF(D296="x",H$2,H$1)</f>
        <v>0</v>
      </c>
      <c r="Y295" s="4"/>
      <c r="Z295" s="4"/>
      <c r="AA295" s="4"/>
      <c r="AB295" s="4"/>
      <c r="AC295" s="4"/>
      <c r="AD295" s="4"/>
      <c r="AE295" s="4"/>
      <c r="AF295" s="4"/>
      <c r="AG295" s="4"/>
      <c r="AH295" s="4"/>
      <c r="AI295" s="4"/>
      <c r="AJ295" s="4"/>
      <c r="AK295" s="4"/>
      <c r="AL295" s="4"/>
      <c r="AM295" s="4"/>
      <c r="AN295" s="4"/>
    </row>
    <row r="296" spans="1:40" s="16" customFormat="1" ht="19" x14ac:dyDescent="0.25">
      <c r="A296" s="4"/>
      <c r="B296" s="81" t="s">
        <v>224</v>
      </c>
      <c r="C296" s="82"/>
      <c r="D296" s="37"/>
      <c r="E296" s="58" t="s">
        <v>16</v>
      </c>
      <c r="F296" s="20" t="str">
        <f>IF(H297=1,IF(H295=H$2,H295,""),"")</f>
        <v/>
      </c>
      <c r="G296" s="18"/>
      <c r="H296" s="150" t="str">
        <f>IF(E$330="comprobar",COUNTIF(D295:D299,"x"),"")</f>
        <v/>
      </c>
      <c r="I296" s="4"/>
      <c r="J296" s="4"/>
      <c r="K296" s="4"/>
      <c r="L296" s="4"/>
      <c r="M296" s="4"/>
      <c r="N296" s="4"/>
      <c r="O296" s="4"/>
      <c r="P296" s="4"/>
      <c r="Q296" s="4"/>
      <c r="R296" s="4"/>
      <c r="S296" s="4"/>
      <c r="T296" s="4"/>
      <c r="U296" s="4"/>
      <c r="V296" s="4"/>
      <c r="W296" s="4"/>
      <c r="X296" s="4"/>
    </row>
    <row r="297" spans="1:40" ht="19" x14ac:dyDescent="0.25">
      <c r="B297" s="81" t="s">
        <v>223</v>
      </c>
      <c r="C297" s="82"/>
      <c r="D297" s="37"/>
      <c r="E297" s="58" t="s">
        <v>17</v>
      </c>
      <c r="F297" s="21" t="str">
        <f>IF(H297=-0.33,IF(H295=H$1,H295,""),"")</f>
        <v/>
      </c>
      <c r="G297" s="18"/>
      <c r="H297" s="151">
        <f t="shared" ref="H297" si="24">IF(H296=1,IF(H295=H$2,1,-0.33),0)</f>
        <v>0</v>
      </c>
      <c r="Y297" s="4"/>
      <c r="Z297" s="4"/>
      <c r="AA297" s="4"/>
      <c r="AB297" s="4"/>
      <c r="AC297" s="4"/>
      <c r="AD297" s="4"/>
      <c r="AE297" s="4"/>
      <c r="AF297" s="4"/>
      <c r="AG297" s="4"/>
      <c r="AH297" s="4"/>
      <c r="AI297" s="4"/>
      <c r="AJ297" s="4"/>
      <c r="AK297" s="4"/>
      <c r="AL297" s="4"/>
      <c r="AM297" s="4"/>
      <c r="AN297" s="4"/>
    </row>
    <row r="298" spans="1:40" ht="19" x14ac:dyDescent="0.25">
      <c r="B298" s="81" t="s">
        <v>120</v>
      </c>
      <c r="C298" s="82"/>
      <c r="D298" s="37"/>
      <c r="E298" s="58" t="s">
        <v>18</v>
      </c>
      <c r="F298" s="24"/>
      <c r="G298" s="18"/>
      <c r="H298" s="151"/>
      <c r="Y298" s="4"/>
      <c r="Z298" s="4"/>
      <c r="AA298" s="4"/>
      <c r="AB298" s="4"/>
      <c r="AC298" s="4"/>
      <c r="AD298" s="4"/>
      <c r="AE298" s="4"/>
      <c r="AF298" s="4"/>
      <c r="AG298" s="4"/>
      <c r="AH298" s="4"/>
      <c r="AI298" s="4"/>
      <c r="AJ298" s="4"/>
      <c r="AK298" s="4"/>
      <c r="AL298" s="4"/>
      <c r="AM298" s="4"/>
      <c r="AN298" s="4"/>
    </row>
    <row r="299" spans="1:40" ht="19" x14ac:dyDescent="0.25">
      <c r="B299" s="81"/>
      <c r="C299" s="83"/>
      <c r="D299" s="37"/>
      <c r="E299" s="58" t="s">
        <v>19</v>
      </c>
      <c r="F299" s="19"/>
      <c r="G299" s="18"/>
      <c r="H299" s="151"/>
      <c r="Y299" s="4"/>
      <c r="Z299" s="4"/>
      <c r="AA299" s="4"/>
      <c r="AB299" s="4"/>
      <c r="AC299" s="4"/>
      <c r="AD299" s="4"/>
      <c r="AE299" s="4"/>
      <c r="AF299" s="4"/>
      <c r="AG299" s="4"/>
      <c r="AH299" s="4"/>
      <c r="AI299" s="4"/>
      <c r="AJ299" s="4"/>
      <c r="AK299" s="4"/>
      <c r="AL299" s="4"/>
      <c r="AM299" s="4"/>
      <c r="AN299" s="4"/>
    </row>
    <row r="300" spans="1:40" ht="19" x14ac:dyDescent="0.25">
      <c r="B300" s="84" t="s">
        <v>208</v>
      </c>
      <c r="C300" s="86"/>
      <c r="D300" s="38"/>
      <c r="E300" s="57"/>
      <c r="F300" s="25"/>
      <c r="G300" s="18"/>
      <c r="H300" s="18"/>
      <c r="Y300" s="4"/>
      <c r="Z300" s="4"/>
      <c r="AA300" s="4"/>
      <c r="AB300" s="4"/>
      <c r="AC300" s="4"/>
      <c r="AD300" s="4"/>
      <c r="AE300" s="4"/>
      <c r="AF300" s="4"/>
      <c r="AG300" s="4"/>
      <c r="AH300" s="4"/>
      <c r="AI300" s="4"/>
      <c r="AJ300" s="4"/>
      <c r="AK300" s="4"/>
      <c r="AL300" s="4"/>
      <c r="AM300" s="4"/>
      <c r="AN300" s="4"/>
    </row>
    <row r="301" spans="1:40" ht="19" x14ac:dyDescent="0.25">
      <c r="B301" s="79" t="s">
        <v>222</v>
      </c>
      <c r="C301" s="80"/>
      <c r="D301" s="37"/>
      <c r="E301" s="58" t="s">
        <v>15</v>
      </c>
      <c r="F301" s="24"/>
      <c r="G301" s="18"/>
      <c r="H301" s="150" t="b">
        <f>IF(D303="x",H$2,H$1)</f>
        <v>0</v>
      </c>
      <c r="Y301" s="4"/>
      <c r="Z301" s="4"/>
      <c r="AA301" s="4"/>
      <c r="AB301" s="4"/>
      <c r="AC301" s="4"/>
      <c r="AD301" s="4"/>
      <c r="AE301" s="4"/>
      <c r="AF301" s="4"/>
      <c r="AG301" s="4"/>
      <c r="AH301" s="4"/>
      <c r="AI301" s="4"/>
      <c r="AJ301" s="4"/>
      <c r="AK301" s="4"/>
      <c r="AL301" s="4"/>
      <c r="AM301" s="4"/>
      <c r="AN301" s="4"/>
    </row>
    <row r="302" spans="1:40" s="16" customFormat="1" ht="19" x14ac:dyDescent="0.25">
      <c r="A302" s="4"/>
      <c r="B302" s="81" t="s">
        <v>224</v>
      </c>
      <c r="C302" s="82"/>
      <c r="D302" s="37"/>
      <c r="E302" s="58" t="s">
        <v>16</v>
      </c>
      <c r="F302" s="20" t="str">
        <f>IF(H303=1,IF(H301=H$2,H301,""),"")</f>
        <v/>
      </c>
      <c r="G302" s="18"/>
      <c r="H302" s="150" t="str">
        <f>IF(E$330="comprobar",COUNTIF(D301:D305,"x"),"")</f>
        <v/>
      </c>
      <c r="I302" s="4"/>
      <c r="J302" s="4"/>
      <c r="K302" s="4"/>
      <c r="L302" s="4"/>
      <c r="M302" s="4"/>
      <c r="N302" s="4"/>
      <c r="O302" s="4"/>
      <c r="P302" s="4"/>
      <c r="Q302" s="4"/>
      <c r="R302" s="4"/>
      <c r="S302" s="4"/>
      <c r="T302" s="4"/>
      <c r="U302" s="4"/>
      <c r="V302" s="4"/>
      <c r="W302" s="4"/>
      <c r="X302" s="4"/>
    </row>
    <row r="303" spans="1:40" ht="19" x14ac:dyDescent="0.25">
      <c r="B303" s="81" t="s">
        <v>223</v>
      </c>
      <c r="C303" s="82"/>
      <c r="D303" s="37"/>
      <c r="E303" s="58" t="s">
        <v>17</v>
      </c>
      <c r="F303" s="21" t="str">
        <f>IF(H303=-0.33,IF(H301=H$1,H301,""),"")</f>
        <v/>
      </c>
      <c r="G303" s="18"/>
      <c r="H303" s="151">
        <f t="shared" ref="H303" si="25">IF(H302=1,IF(H301=H$2,1,-0.33),0)</f>
        <v>0</v>
      </c>
      <c r="Y303" s="4"/>
      <c r="Z303" s="4"/>
      <c r="AA303" s="4"/>
      <c r="AB303" s="4"/>
      <c r="AC303" s="4"/>
      <c r="AD303" s="4"/>
      <c r="AE303" s="4"/>
      <c r="AF303" s="4"/>
      <c r="AG303" s="4"/>
      <c r="AH303" s="4"/>
      <c r="AI303" s="4"/>
      <c r="AJ303" s="4"/>
      <c r="AK303" s="4"/>
      <c r="AL303" s="4"/>
      <c r="AM303" s="4"/>
      <c r="AN303" s="4"/>
    </row>
    <row r="304" spans="1:40" ht="19" x14ac:dyDescent="0.25">
      <c r="B304" s="81" t="s">
        <v>169</v>
      </c>
      <c r="C304" s="82"/>
      <c r="D304" s="37"/>
      <c r="E304" s="58" t="s">
        <v>18</v>
      </c>
      <c r="F304" s="24"/>
      <c r="G304" s="18"/>
      <c r="H304" s="151"/>
      <c r="Y304" s="4"/>
      <c r="Z304" s="4"/>
      <c r="AA304" s="4"/>
      <c r="AB304" s="4"/>
      <c r="AC304" s="4"/>
      <c r="AD304" s="4"/>
      <c r="AE304" s="4"/>
      <c r="AF304" s="4"/>
      <c r="AG304" s="4"/>
      <c r="AH304" s="4"/>
      <c r="AI304" s="4"/>
      <c r="AJ304" s="4"/>
      <c r="AK304" s="4"/>
      <c r="AL304" s="4"/>
      <c r="AM304" s="4"/>
      <c r="AN304" s="4"/>
    </row>
    <row r="305" spans="1:40" ht="19" x14ac:dyDescent="0.25">
      <c r="B305" s="81"/>
      <c r="C305" s="83"/>
      <c r="D305" s="37"/>
      <c r="E305" s="58" t="s">
        <v>19</v>
      </c>
      <c r="F305" s="19"/>
      <c r="G305" s="18"/>
      <c r="H305" s="151"/>
      <c r="Y305" s="4"/>
      <c r="Z305" s="4"/>
      <c r="AA305" s="4"/>
      <c r="AB305" s="4"/>
      <c r="AC305" s="4"/>
      <c r="AD305" s="4"/>
      <c r="AE305" s="4"/>
      <c r="AF305" s="4"/>
      <c r="AG305" s="4"/>
      <c r="AH305" s="4"/>
      <c r="AI305" s="4"/>
      <c r="AJ305" s="4"/>
      <c r="AK305" s="4"/>
      <c r="AL305" s="4"/>
      <c r="AM305" s="4"/>
      <c r="AN305" s="4"/>
    </row>
    <row r="306" spans="1:40" ht="19" x14ac:dyDescent="0.25">
      <c r="B306" s="84" t="s">
        <v>209</v>
      </c>
      <c r="C306" s="85"/>
      <c r="D306" s="38"/>
      <c r="E306" s="57"/>
      <c r="F306" s="25"/>
      <c r="G306" s="18"/>
      <c r="H306" s="18"/>
      <c r="Y306" s="4"/>
      <c r="Z306" s="4"/>
      <c r="AA306" s="4"/>
      <c r="AB306" s="4"/>
      <c r="AC306" s="4"/>
      <c r="AD306" s="4"/>
      <c r="AE306" s="4"/>
      <c r="AF306" s="4"/>
      <c r="AG306" s="4"/>
      <c r="AH306" s="4"/>
      <c r="AI306" s="4"/>
      <c r="AJ306" s="4"/>
      <c r="AK306" s="4"/>
      <c r="AL306" s="4"/>
      <c r="AM306" s="4"/>
      <c r="AN306" s="4"/>
    </row>
    <row r="307" spans="1:40" ht="19" x14ac:dyDescent="0.25">
      <c r="B307" s="79" t="s">
        <v>225</v>
      </c>
      <c r="C307" s="80"/>
      <c r="D307" s="37"/>
      <c r="E307" s="58" t="s">
        <v>15</v>
      </c>
      <c r="F307" s="24"/>
      <c r="G307" s="18"/>
      <c r="H307" s="150" t="b">
        <f>IF(D308="x",H$2,H$1)</f>
        <v>0</v>
      </c>
      <c r="Y307" s="4"/>
      <c r="Z307" s="4"/>
      <c r="AA307" s="4"/>
      <c r="AB307" s="4"/>
      <c r="AC307" s="4"/>
      <c r="AD307" s="4"/>
      <c r="AE307" s="4"/>
      <c r="AF307" s="4"/>
      <c r="AG307" s="4"/>
      <c r="AH307" s="4"/>
      <c r="AI307" s="4"/>
      <c r="AJ307" s="4"/>
      <c r="AK307" s="4"/>
      <c r="AL307" s="4"/>
      <c r="AM307" s="4"/>
      <c r="AN307" s="4"/>
    </row>
    <row r="308" spans="1:40" s="16" customFormat="1" ht="19" x14ac:dyDescent="0.25">
      <c r="A308" s="4"/>
      <c r="B308" s="81" t="s">
        <v>237</v>
      </c>
      <c r="C308" s="82"/>
      <c r="D308" s="37"/>
      <c r="E308" s="58" t="s">
        <v>16</v>
      </c>
      <c r="F308" s="20" t="str">
        <f>IF(H309=1,IF(H307=H$2,H307,""),"")</f>
        <v/>
      </c>
      <c r="G308" s="18"/>
      <c r="H308" s="150" t="str">
        <f>IF(E$330="comprobar",COUNTIF(D307:D311,"x"),"")</f>
        <v/>
      </c>
      <c r="I308" s="4"/>
      <c r="J308" s="4"/>
      <c r="K308" s="4"/>
      <c r="L308" s="4"/>
      <c r="M308" s="4"/>
      <c r="N308" s="4"/>
      <c r="O308" s="4"/>
      <c r="P308" s="4"/>
      <c r="Q308" s="4"/>
      <c r="R308" s="4"/>
      <c r="S308" s="4"/>
      <c r="T308" s="4"/>
      <c r="U308" s="4"/>
      <c r="V308" s="4"/>
      <c r="W308" s="4"/>
      <c r="X308" s="4"/>
    </row>
    <row r="309" spans="1:40" ht="19" x14ac:dyDescent="0.25">
      <c r="B309" s="81" t="s">
        <v>226</v>
      </c>
      <c r="C309" s="82"/>
      <c r="D309" s="37"/>
      <c r="E309" s="58" t="s">
        <v>17</v>
      </c>
      <c r="F309" s="21" t="str">
        <f>IF(H309=-0.33,IF(H307=H$1,H307,""),"")</f>
        <v/>
      </c>
      <c r="G309" s="18"/>
      <c r="H309" s="151">
        <f t="shared" ref="H309" si="26">IF(H308=1,IF(H307=H$2,1,-0.33),0)</f>
        <v>0</v>
      </c>
      <c r="Y309" s="4"/>
      <c r="Z309" s="4"/>
      <c r="AA309" s="4"/>
      <c r="AB309" s="4"/>
      <c r="AC309" s="4"/>
      <c r="AD309" s="4"/>
      <c r="AE309" s="4"/>
      <c r="AF309" s="4"/>
      <c r="AG309" s="4"/>
      <c r="AH309" s="4"/>
      <c r="AI309" s="4"/>
      <c r="AJ309" s="4"/>
      <c r="AK309" s="4"/>
      <c r="AL309" s="4"/>
      <c r="AM309" s="4"/>
      <c r="AN309" s="4"/>
    </row>
    <row r="310" spans="1:40" ht="19" x14ac:dyDescent="0.25">
      <c r="B310" s="81" t="s">
        <v>120</v>
      </c>
      <c r="C310" s="82"/>
      <c r="D310" s="37"/>
      <c r="E310" s="58" t="s">
        <v>18</v>
      </c>
      <c r="F310" s="24"/>
      <c r="G310" s="18"/>
      <c r="H310" s="151"/>
      <c r="Y310" s="4"/>
      <c r="Z310" s="4"/>
      <c r="AA310" s="4"/>
      <c r="AB310" s="4"/>
      <c r="AC310" s="4"/>
      <c r="AD310" s="4"/>
      <c r="AE310" s="4"/>
      <c r="AF310" s="4"/>
      <c r="AG310" s="4"/>
      <c r="AH310" s="4"/>
      <c r="AI310" s="4"/>
      <c r="AJ310" s="4"/>
      <c r="AK310" s="4"/>
      <c r="AL310" s="4"/>
      <c r="AM310" s="4"/>
      <c r="AN310" s="4"/>
    </row>
    <row r="311" spans="1:40" ht="19" x14ac:dyDescent="0.25">
      <c r="B311" s="81"/>
      <c r="C311" s="83"/>
      <c r="D311" s="37"/>
      <c r="E311" s="58" t="s">
        <v>19</v>
      </c>
      <c r="F311" s="19"/>
      <c r="G311" s="18"/>
      <c r="H311" s="151"/>
      <c r="Y311" s="4"/>
      <c r="Z311" s="4"/>
      <c r="AA311" s="4"/>
      <c r="AB311" s="4"/>
      <c r="AC311" s="4"/>
      <c r="AD311" s="4"/>
      <c r="AE311" s="4"/>
      <c r="AF311" s="4"/>
      <c r="AG311" s="4"/>
      <c r="AH311" s="4"/>
      <c r="AI311" s="4"/>
      <c r="AJ311" s="4"/>
      <c r="AK311" s="4"/>
      <c r="AL311" s="4"/>
      <c r="AM311" s="4"/>
      <c r="AN311" s="4"/>
    </row>
    <row r="312" spans="1:40" ht="19" x14ac:dyDescent="0.25">
      <c r="B312" s="84" t="s">
        <v>210</v>
      </c>
      <c r="C312" s="85"/>
      <c r="D312" s="38"/>
      <c r="E312" s="57"/>
      <c r="F312" s="25"/>
      <c r="G312" s="18"/>
      <c r="H312" s="18"/>
      <c r="Y312" s="4"/>
      <c r="Z312" s="4"/>
      <c r="AA312" s="4"/>
      <c r="AB312" s="4"/>
      <c r="AC312" s="4"/>
      <c r="AD312" s="4"/>
      <c r="AE312" s="4"/>
      <c r="AF312" s="4"/>
      <c r="AG312" s="4"/>
      <c r="AH312" s="4"/>
      <c r="AI312" s="4"/>
      <c r="AJ312" s="4"/>
      <c r="AK312" s="4"/>
      <c r="AL312" s="4"/>
      <c r="AM312" s="4"/>
      <c r="AN312" s="4"/>
    </row>
    <row r="313" spans="1:40" ht="19" x14ac:dyDescent="0.25">
      <c r="B313" s="79" t="s">
        <v>238</v>
      </c>
      <c r="C313" s="80"/>
      <c r="D313" s="37"/>
      <c r="E313" s="58" t="s">
        <v>15</v>
      </c>
      <c r="F313" s="24"/>
      <c r="G313" s="18"/>
      <c r="H313" s="150" t="b">
        <f>IF(D313="x",H$2,H$1)</f>
        <v>0</v>
      </c>
      <c r="Y313" s="4"/>
      <c r="Z313" s="4"/>
      <c r="AA313" s="4"/>
      <c r="AB313" s="4"/>
      <c r="AC313" s="4"/>
      <c r="AD313" s="4"/>
      <c r="AE313" s="4"/>
      <c r="AF313" s="4"/>
      <c r="AG313" s="4"/>
      <c r="AH313" s="4"/>
      <c r="AI313" s="4"/>
      <c r="AJ313" s="4"/>
      <c r="AK313" s="4"/>
      <c r="AL313" s="4"/>
      <c r="AM313" s="4"/>
      <c r="AN313" s="4"/>
    </row>
    <row r="314" spans="1:40" s="16" customFormat="1" ht="19" x14ac:dyDescent="0.25">
      <c r="A314" s="4"/>
      <c r="B314" s="81" t="s">
        <v>227</v>
      </c>
      <c r="C314" s="82"/>
      <c r="D314" s="37"/>
      <c r="E314" s="58" t="s">
        <v>16</v>
      </c>
      <c r="F314" s="20" t="str">
        <f>IF(H315=1,IF(H313=H$2,H313,""),"")</f>
        <v/>
      </c>
      <c r="G314" s="18"/>
      <c r="H314" s="150" t="str">
        <f>IF(E$330="comprobar",COUNTIF(D313:D317,"x"),"")</f>
        <v/>
      </c>
      <c r="I314" s="4"/>
      <c r="J314" s="4"/>
      <c r="K314" s="4"/>
      <c r="L314" s="4"/>
      <c r="M314" s="4"/>
      <c r="N314" s="4"/>
      <c r="O314" s="4"/>
      <c r="P314" s="4"/>
      <c r="Q314" s="4"/>
      <c r="R314" s="4"/>
      <c r="S314" s="4"/>
      <c r="T314" s="4"/>
      <c r="U314" s="4"/>
      <c r="V314" s="4"/>
      <c r="W314" s="4"/>
      <c r="X314" s="4"/>
    </row>
    <row r="315" spans="1:40" ht="19" x14ac:dyDescent="0.25">
      <c r="B315" s="81" t="s">
        <v>228</v>
      </c>
      <c r="C315" s="82"/>
      <c r="D315" s="37"/>
      <c r="E315" s="58" t="s">
        <v>17</v>
      </c>
      <c r="F315" s="21" t="str">
        <f>IF(H315=-0.33,IF(H313=H$1,H313,""),"")</f>
        <v/>
      </c>
      <c r="G315" s="18"/>
      <c r="H315" s="151">
        <f t="shared" ref="H315" si="27">IF(H314=1,IF(H313=H$2,1,-0.33),0)</f>
        <v>0</v>
      </c>
      <c r="Y315" s="4"/>
      <c r="Z315" s="4"/>
      <c r="AA315" s="4"/>
      <c r="AB315" s="4"/>
      <c r="AC315" s="4"/>
      <c r="AD315" s="4"/>
      <c r="AE315" s="4"/>
      <c r="AF315" s="4"/>
      <c r="AG315" s="4"/>
      <c r="AH315" s="4"/>
      <c r="AI315" s="4"/>
      <c r="AJ315" s="4"/>
      <c r="AK315" s="4"/>
      <c r="AL315" s="4"/>
      <c r="AM315" s="4"/>
      <c r="AN315" s="4"/>
    </row>
    <row r="316" spans="1:40" ht="19" x14ac:dyDescent="0.25">
      <c r="B316" s="81" t="s">
        <v>120</v>
      </c>
      <c r="C316" s="82"/>
      <c r="D316" s="37"/>
      <c r="E316" s="58" t="s">
        <v>18</v>
      </c>
      <c r="F316" s="24"/>
      <c r="G316" s="18"/>
      <c r="H316" s="151"/>
      <c r="Y316" s="4"/>
      <c r="Z316" s="4"/>
      <c r="AA316" s="4"/>
      <c r="AB316" s="4"/>
      <c r="AC316" s="4"/>
      <c r="AD316" s="4"/>
      <c r="AE316" s="4"/>
      <c r="AF316" s="4"/>
      <c r="AG316" s="4"/>
      <c r="AH316" s="4"/>
      <c r="AI316" s="4"/>
      <c r="AJ316" s="4"/>
      <c r="AK316" s="4"/>
      <c r="AL316" s="4"/>
      <c r="AM316" s="4"/>
      <c r="AN316" s="4"/>
    </row>
    <row r="317" spans="1:40" ht="19" x14ac:dyDescent="0.25">
      <c r="B317" s="81"/>
      <c r="C317" s="83"/>
      <c r="D317" s="37"/>
      <c r="E317" s="58" t="s">
        <v>19</v>
      </c>
      <c r="F317" s="19"/>
      <c r="G317" s="18"/>
      <c r="H317" s="151"/>
      <c r="Y317" s="4"/>
      <c r="Z317" s="4"/>
      <c r="AA317" s="4"/>
      <c r="AB317" s="4"/>
      <c r="AC317" s="4"/>
      <c r="AD317" s="4"/>
      <c r="AE317" s="4"/>
      <c r="AF317" s="4"/>
      <c r="AG317" s="4"/>
      <c r="AH317" s="4"/>
      <c r="AI317" s="4"/>
      <c r="AJ317" s="4"/>
      <c r="AK317" s="4"/>
      <c r="AL317" s="4"/>
      <c r="AM317" s="4"/>
      <c r="AN317" s="4"/>
    </row>
    <row r="318" spans="1:40" ht="19" x14ac:dyDescent="0.25">
      <c r="B318" s="84" t="s">
        <v>211</v>
      </c>
      <c r="C318" s="86"/>
      <c r="D318" s="38"/>
      <c r="E318" s="57"/>
      <c r="F318" s="25"/>
      <c r="G318" s="152"/>
      <c r="H318" s="18"/>
      <c r="Y318" s="4"/>
      <c r="Z318" s="4"/>
      <c r="AA318" s="4"/>
      <c r="AB318" s="4"/>
      <c r="AC318" s="4"/>
      <c r="AD318" s="4"/>
      <c r="AE318" s="4"/>
      <c r="AF318" s="4"/>
      <c r="AG318" s="4"/>
      <c r="AH318" s="4"/>
      <c r="AI318" s="4"/>
      <c r="AJ318" s="4"/>
      <c r="AK318" s="4"/>
      <c r="AL318" s="4"/>
      <c r="AM318" s="4"/>
      <c r="AN318" s="4"/>
    </row>
    <row r="319" spans="1:40" ht="19" x14ac:dyDescent="0.25">
      <c r="B319" s="79" t="s">
        <v>229</v>
      </c>
      <c r="C319" s="80"/>
      <c r="D319" s="37"/>
      <c r="E319" s="58" t="s">
        <v>15</v>
      </c>
      <c r="F319" s="24"/>
      <c r="G319" s="152"/>
      <c r="H319" s="150" t="b">
        <f>IF(D322="x",H$2,H$1)</f>
        <v>0</v>
      </c>
      <c r="Y319" s="4"/>
      <c r="Z319" s="4"/>
      <c r="AA319" s="4"/>
      <c r="AB319" s="4"/>
      <c r="AC319" s="4"/>
      <c r="AD319" s="4"/>
      <c r="AE319" s="4"/>
      <c r="AF319" s="4"/>
      <c r="AG319" s="4"/>
      <c r="AH319" s="4"/>
      <c r="AI319" s="4"/>
      <c r="AJ319" s="4"/>
      <c r="AK319" s="4"/>
      <c r="AL319" s="4"/>
      <c r="AM319" s="4"/>
      <c r="AN319" s="4"/>
    </row>
    <row r="320" spans="1:40" s="16" customFormat="1" ht="19" x14ac:dyDescent="0.25">
      <c r="A320" s="4"/>
      <c r="B320" s="81" t="s">
        <v>230</v>
      </c>
      <c r="C320" s="82"/>
      <c r="D320" s="37"/>
      <c r="E320" s="58" t="s">
        <v>16</v>
      </c>
      <c r="F320" s="20" t="str">
        <f>IF(H321=1,IF(H319=H$2,H319,""),"")</f>
        <v/>
      </c>
      <c r="G320" s="152"/>
      <c r="H320" s="150" t="str">
        <f>IF(E$330="comprobar",COUNTIF(D319:D323,"x"),"")</f>
        <v/>
      </c>
      <c r="I320" s="4"/>
      <c r="J320" s="4"/>
      <c r="K320" s="4"/>
      <c r="L320" s="4"/>
      <c r="M320" s="4"/>
      <c r="N320" s="4"/>
      <c r="O320" s="4"/>
      <c r="P320" s="4"/>
      <c r="Q320" s="4"/>
      <c r="R320" s="4"/>
      <c r="S320" s="4"/>
      <c r="T320" s="4"/>
      <c r="U320" s="4"/>
      <c r="V320" s="4"/>
      <c r="W320" s="4"/>
      <c r="X320" s="4"/>
    </row>
    <row r="321" spans="1:40" ht="19" x14ac:dyDescent="0.25">
      <c r="B321" s="81" t="s">
        <v>231</v>
      </c>
      <c r="C321" s="82"/>
      <c r="D321" s="37"/>
      <c r="E321" s="58" t="s">
        <v>17</v>
      </c>
      <c r="F321" s="21" t="str">
        <f>IF(H321=-0.33,IF(H319=H$1,H319,""),"")</f>
        <v/>
      </c>
      <c r="G321" s="152"/>
      <c r="H321" s="151">
        <f t="shared" ref="H321" si="28">IF(H320=1,IF(H319=H$2,1,-0.33),0)</f>
        <v>0</v>
      </c>
      <c r="Y321" s="4"/>
      <c r="Z321" s="4"/>
      <c r="AA321" s="4"/>
      <c r="AB321" s="4"/>
      <c r="AC321" s="4"/>
      <c r="AD321" s="4"/>
      <c r="AE321" s="4"/>
      <c r="AF321" s="4"/>
      <c r="AG321" s="4"/>
      <c r="AH321" s="4"/>
      <c r="AI321" s="4"/>
      <c r="AJ321" s="4"/>
      <c r="AK321" s="4"/>
      <c r="AL321" s="4"/>
      <c r="AM321" s="4"/>
      <c r="AN321" s="4"/>
    </row>
    <row r="322" spans="1:40" ht="19" x14ac:dyDescent="0.25">
      <c r="B322" s="81" t="s">
        <v>239</v>
      </c>
      <c r="C322" s="82"/>
      <c r="D322" s="37"/>
      <c r="E322" s="58" t="s">
        <v>18</v>
      </c>
      <c r="F322" s="24"/>
      <c r="G322" s="152"/>
      <c r="H322" s="151"/>
      <c r="Y322" s="4"/>
      <c r="Z322" s="4"/>
      <c r="AA322" s="4"/>
      <c r="AB322" s="4"/>
      <c r="AC322" s="4"/>
      <c r="AD322" s="4"/>
      <c r="AE322" s="4"/>
      <c r="AF322" s="4"/>
      <c r="AG322" s="4"/>
      <c r="AH322" s="4"/>
      <c r="AI322" s="4"/>
      <c r="AJ322" s="4"/>
      <c r="AK322" s="4"/>
      <c r="AL322" s="4"/>
      <c r="AM322" s="4"/>
      <c r="AN322" s="4"/>
    </row>
    <row r="323" spans="1:40" ht="19" x14ac:dyDescent="0.25">
      <c r="B323" s="81"/>
      <c r="C323" s="83"/>
      <c r="D323" s="37"/>
      <c r="E323" s="58" t="s">
        <v>19</v>
      </c>
      <c r="F323" s="19"/>
      <c r="G323" s="152"/>
      <c r="H323" s="151"/>
      <c r="Y323" s="4"/>
      <c r="Z323" s="4"/>
      <c r="AA323" s="4"/>
      <c r="AB323" s="4"/>
      <c r="AC323" s="4"/>
      <c r="AD323" s="4"/>
      <c r="AE323" s="4"/>
      <c r="AF323" s="4"/>
      <c r="AG323" s="4"/>
      <c r="AH323" s="4"/>
      <c r="AI323" s="4"/>
      <c r="AJ323" s="4"/>
      <c r="AK323" s="4"/>
      <c r="AL323" s="4"/>
      <c r="AM323" s="4"/>
      <c r="AN323" s="4"/>
    </row>
    <row r="324" spans="1:40" ht="19" x14ac:dyDescent="0.25">
      <c r="B324" s="84" t="s">
        <v>212</v>
      </c>
      <c r="C324" s="85"/>
      <c r="D324" s="53"/>
      <c r="E324" s="59"/>
      <c r="F324" s="19"/>
      <c r="G324" s="18"/>
      <c r="H324" s="18"/>
      <c r="Y324" s="4"/>
      <c r="Z324" s="4"/>
      <c r="AA324" s="4"/>
      <c r="AB324" s="4"/>
      <c r="AC324" s="4"/>
      <c r="AD324" s="4"/>
      <c r="AE324" s="4"/>
      <c r="AF324" s="4"/>
      <c r="AG324" s="4"/>
      <c r="AH324" s="4"/>
      <c r="AI324" s="4"/>
      <c r="AJ324" s="4"/>
      <c r="AK324" s="4"/>
      <c r="AL324" s="4"/>
      <c r="AM324" s="4"/>
      <c r="AN324" s="4"/>
    </row>
    <row r="325" spans="1:40" ht="19" x14ac:dyDescent="0.25">
      <c r="B325" s="79" t="s">
        <v>240</v>
      </c>
      <c r="C325" s="80"/>
      <c r="D325" s="37"/>
      <c r="E325" s="58" t="s">
        <v>15</v>
      </c>
      <c r="F325" s="24"/>
      <c r="G325" s="152"/>
      <c r="H325" s="150" t="b">
        <f>IF(D325="x",H$2,H$1)</f>
        <v>0</v>
      </c>
      <c r="Y325" s="4"/>
      <c r="Z325" s="4"/>
      <c r="AA325" s="4"/>
      <c r="AB325" s="4"/>
      <c r="AC325" s="4"/>
      <c r="AD325" s="4"/>
      <c r="AE325" s="4"/>
      <c r="AF325" s="4"/>
      <c r="AG325" s="4"/>
      <c r="AH325" s="4"/>
      <c r="AI325" s="4"/>
      <c r="AJ325" s="4"/>
      <c r="AK325" s="4"/>
      <c r="AL325" s="4"/>
      <c r="AM325" s="4"/>
      <c r="AN325" s="4"/>
    </row>
    <row r="326" spans="1:40" s="16" customFormat="1" ht="19" x14ac:dyDescent="0.25">
      <c r="A326" s="4"/>
      <c r="B326" s="81" t="s">
        <v>232</v>
      </c>
      <c r="C326" s="82"/>
      <c r="D326" s="37"/>
      <c r="E326" s="58" t="s">
        <v>16</v>
      </c>
      <c r="F326" s="20" t="str">
        <f>IF(H327=1,IF(H325=H$2,H325,""),"")</f>
        <v/>
      </c>
      <c r="G326" s="152"/>
      <c r="H326" s="150" t="str">
        <f>IF(E$330="comprobar",COUNTIF(D325:D329,"x"),"")</f>
        <v/>
      </c>
      <c r="I326" s="4"/>
      <c r="J326" s="4"/>
      <c r="K326" s="4"/>
      <c r="L326" s="4"/>
      <c r="M326" s="4"/>
      <c r="N326" s="4"/>
      <c r="O326" s="4"/>
      <c r="P326" s="4"/>
      <c r="Q326" s="4"/>
      <c r="R326" s="4"/>
      <c r="S326" s="4"/>
      <c r="T326" s="4"/>
      <c r="U326" s="4"/>
      <c r="V326" s="4"/>
      <c r="W326" s="4"/>
      <c r="X326" s="4"/>
    </row>
    <row r="327" spans="1:40" ht="19" x14ac:dyDescent="0.25">
      <c r="B327" s="81" t="s">
        <v>233</v>
      </c>
      <c r="C327" s="82"/>
      <c r="D327" s="37"/>
      <c r="E327" s="58" t="s">
        <v>17</v>
      </c>
      <c r="F327" s="21" t="str">
        <f>IF(H327=-0.33,IF(H325=H$1,H325,""),"")</f>
        <v/>
      </c>
      <c r="G327" s="152"/>
      <c r="H327" s="151">
        <f t="shared" ref="H327" si="29">IF(H326=1,IF(H325=H$2,1,-0.33),0)</f>
        <v>0</v>
      </c>
      <c r="Y327" s="4"/>
      <c r="Z327" s="4"/>
      <c r="AA327" s="4"/>
      <c r="AB327" s="4"/>
      <c r="AC327" s="4"/>
      <c r="AD327" s="4"/>
      <c r="AE327" s="4"/>
      <c r="AF327" s="4"/>
      <c r="AG327" s="4"/>
      <c r="AH327" s="4"/>
      <c r="AI327" s="4"/>
      <c r="AJ327" s="4"/>
      <c r="AK327" s="4"/>
      <c r="AL327" s="4"/>
      <c r="AM327" s="4"/>
      <c r="AN327" s="4"/>
    </row>
    <row r="328" spans="1:40" ht="19" x14ac:dyDescent="0.25">
      <c r="B328" s="81" t="s">
        <v>169</v>
      </c>
      <c r="C328" s="82"/>
      <c r="D328" s="37"/>
      <c r="E328" s="58" t="s">
        <v>18</v>
      </c>
      <c r="F328" s="24"/>
      <c r="G328" s="152"/>
      <c r="H328" s="151"/>
      <c r="Y328" s="4"/>
      <c r="Z328" s="4"/>
      <c r="AA328" s="4"/>
      <c r="AB328" s="4"/>
      <c r="AC328" s="4"/>
      <c r="AD328" s="4"/>
      <c r="AE328" s="4"/>
      <c r="AF328" s="4"/>
      <c r="AG328" s="4"/>
      <c r="AH328" s="4"/>
      <c r="AI328" s="4"/>
      <c r="AJ328" s="4"/>
      <c r="AK328" s="4"/>
      <c r="AL328" s="4"/>
      <c r="AM328" s="4"/>
      <c r="AN328" s="4"/>
    </row>
    <row r="329" spans="1:40" ht="19" x14ac:dyDescent="0.25">
      <c r="B329" s="81"/>
      <c r="C329" s="83"/>
      <c r="D329" s="37"/>
      <c r="E329" s="58" t="s">
        <v>19</v>
      </c>
      <c r="F329" s="19"/>
      <c r="G329" s="152"/>
      <c r="H329" s="151"/>
      <c r="Y329" s="4"/>
      <c r="Z329" s="4"/>
      <c r="AA329" s="4"/>
      <c r="AB329" s="4"/>
      <c r="AC329" s="4"/>
      <c r="AD329" s="4"/>
      <c r="AE329" s="4"/>
      <c r="AF329" s="4"/>
      <c r="AG329" s="4"/>
      <c r="AH329" s="4"/>
      <c r="AI329" s="4"/>
      <c r="AJ329" s="4"/>
      <c r="AK329" s="4"/>
      <c r="AL329" s="4"/>
      <c r="AM329" s="4"/>
      <c r="AN329" s="4"/>
    </row>
    <row r="330" spans="1:40" x14ac:dyDescent="0.2">
      <c r="B330" s="92"/>
      <c r="C330" s="2"/>
      <c r="D330" s="53"/>
      <c r="E330" s="94"/>
      <c r="F330" s="26" t="s">
        <v>8</v>
      </c>
      <c r="G330" s="18" t="s">
        <v>6</v>
      </c>
      <c r="H330" s="18" t="s">
        <v>7</v>
      </c>
      <c r="Y330" s="4"/>
      <c r="Z330" s="4"/>
      <c r="AA330" s="4"/>
      <c r="AB330" s="4"/>
      <c r="AC330" s="4"/>
      <c r="AD330" s="4"/>
      <c r="AE330" s="4"/>
      <c r="AF330" s="4"/>
      <c r="AG330" s="4"/>
      <c r="AH330" s="4"/>
      <c r="AI330" s="4"/>
      <c r="AJ330" s="4"/>
      <c r="AK330" s="4"/>
      <c r="AL330" s="4"/>
      <c r="AM330" s="4"/>
      <c r="AN330" s="4"/>
    </row>
    <row r="331" spans="1:40" ht="20" x14ac:dyDescent="0.2">
      <c r="B331" s="44"/>
      <c r="C331" s="40"/>
      <c r="D331" s="53"/>
      <c r="E331" s="174"/>
      <c r="F331" s="27" t="str">
        <f>IF(E330="comprobar",H327+H321+H315+H309+H303+H297+H291+H285+H279+H273,"")</f>
        <v/>
      </c>
      <c r="G331" s="18">
        <f>10/2</f>
        <v>5</v>
      </c>
      <c r="H331" s="18"/>
      <c r="Y331" s="4"/>
      <c r="Z331" s="4"/>
      <c r="AA331" s="4"/>
      <c r="AB331" s="4"/>
      <c r="AC331" s="4"/>
      <c r="AD331" s="4"/>
      <c r="AE331" s="4"/>
      <c r="AF331" s="4"/>
      <c r="AG331" s="4"/>
      <c r="AH331" s="4"/>
      <c r="AI331" s="4"/>
      <c r="AJ331" s="4"/>
      <c r="AK331" s="4"/>
      <c r="AL331" s="4"/>
      <c r="AM331" s="4"/>
      <c r="AN331" s="4"/>
    </row>
    <row r="332" spans="1:40" ht="17" thickBot="1" x14ac:dyDescent="0.25">
      <c r="B332" s="45"/>
      <c r="C332" s="28"/>
      <c r="D332" s="29"/>
      <c r="E332" s="60"/>
      <c r="F332" s="30" t="str">
        <f>IF(F331&gt;G331,G330,H330)</f>
        <v>APROBADO</v>
      </c>
      <c r="G332" s="18"/>
      <c r="H332" s="18"/>
      <c r="Y332" s="4"/>
      <c r="Z332" s="4"/>
      <c r="AA332" s="4"/>
      <c r="AB332" s="4"/>
      <c r="AC332" s="4"/>
      <c r="AD332" s="4"/>
      <c r="AE332" s="4"/>
      <c r="AF332" s="4"/>
      <c r="AG332" s="4"/>
      <c r="AH332" s="4"/>
      <c r="AI332" s="4"/>
      <c r="AJ332" s="4"/>
      <c r="AK332" s="4"/>
      <c r="AL332" s="4"/>
      <c r="AM332" s="4"/>
      <c r="AN332" s="4"/>
    </row>
    <row r="333" spans="1:40" hidden="1" x14ac:dyDescent="0.2">
      <c r="B333" s="44"/>
      <c r="C333" s="17"/>
      <c r="D333" s="65"/>
      <c r="E333" s="56"/>
      <c r="F333" s="93"/>
      <c r="G333" s="18"/>
      <c r="H333" s="18"/>
      <c r="Y333" s="4"/>
      <c r="Z333" s="4"/>
      <c r="AA333" s="4"/>
      <c r="AB333" s="4"/>
      <c r="AC333" s="4"/>
      <c r="AD333" s="4"/>
      <c r="AE333" s="4"/>
      <c r="AF333" s="4"/>
      <c r="AG333" s="4"/>
      <c r="AH333" s="4"/>
      <c r="AI333" s="4"/>
      <c r="AJ333" s="4"/>
      <c r="AK333" s="4"/>
      <c r="AL333" s="4"/>
      <c r="AM333" s="4"/>
      <c r="AN333" s="4"/>
    </row>
    <row r="334" spans="1:40" ht="17" hidden="1" thickBot="1" x14ac:dyDescent="0.25">
      <c r="B334" s="45"/>
      <c r="C334" s="28"/>
      <c r="D334" s="65"/>
      <c r="E334" s="56"/>
      <c r="F334" s="93"/>
      <c r="G334" s="18"/>
      <c r="H334" s="18"/>
      <c r="Y334" s="4"/>
      <c r="Z334" s="4"/>
      <c r="AA334" s="4"/>
      <c r="AB334" s="4"/>
      <c r="AC334" s="4"/>
      <c r="AD334" s="4"/>
      <c r="AE334" s="4"/>
      <c r="AF334" s="4"/>
      <c r="AG334" s="4"/>
      <c r="AH334" s="4"/>
      <c r="AI334" s="4"/>
      <c r="AJ334" s="4"/>
      <c r="AK334" s="4"/>
      <c r="AL334" s="4"/>
      <c r="AM334" s="4"/>
      <c r="AN334" s="4"/>
    </row>
    <row r="335" spans="1:40" ht="29" x14ac:dyDescent="0.35">
      <c r="B335" s="177" t="s">
        <v>21</v>
      </c>
      <c r="C335" s="118" t="s">
        <v>13</v>
      </c>
      <c r="D335" s="90"/>
      <c r="E335" s="90"/>
      <c r="F335" s="91"/>
      <c r="Y335" s="4"/>
      <c r="Z335" s="4"/>
      <c r="AA335" s="4"/>
      <c r="AB335" s="4"/>
      <c r="AC335" s="4"/>
      <c r="AD335" s="4"/>
      <c r="AE335" s="4"/>
      <c r="AF335" s="4"/>
      <c r="AG335" s="4"/>
      <c r="AH335" s="4"/>
      <c r="AI335" s="4"/>
      <c r="AJ335" s="4"/>
      <c r="AK335" s="4"/>
      <c r="AL335" s="4"/>
      <c r="AM335" s="4"/>
      <c r="AN335" s="4"/>
    </row>
    <row r="336" spans="1:40" s="182" customFormat="1" x14ac:dyDescent="0.2">
      <c r="A336" s="179"/>
      <c r="B336" s="194" t="s">
        <v>241</v>
      </c>
      <c r="C336" s="195"/>
      <c r="D336" s="180"/>
      <c r="E336" s="181"/>
      <c r="F336" s="25"/>
      <c r="G336" s="17"/>
      <c r="H336" s="17"/>
      <c r="I336" s="179"/>
      <c r="J336" s="179"/>
      <c r="K336" s="179"/>
      <c r="L336" s="179"/>
      <c r="M336" s="179"/>
      <c r="N336" s="179"/>
      <c r="O336" s="179"/>
      <c r="P336" s="179"/>
      <c r="Q336" s="179"/>
      <c r="R336" s="179"/>
      <c r="S336" s="179"/>
      <c r="T336" s="179"/>
      <c r="U336" s="179"/>
      <c r="V336" s="179"/>
      <c r="W336" s="179"/>
      <c r="X336" s="179"/>
    </row>
    <row r="337" spans="1:40" ht="19" x14ac:dyDescent="0.25">
      <c r="B337" s="79" t="s">
        <v>274</v>
      </c>
      <c r="C337" s="80"/>
      <c r="D337" s="37"/>
      <c r="E337" s="58" t="s">
        <v>15</v>
      </c>
      <c r="F337" s="24"/>
      <c r="G337" s="18"/>
      <c r="H337" s="150" t="b">
        <f>IF(D337="x",H$2,H$1)</f>
        <v>0</v>
      </c>
      <c r="Y337" s="4"/>
      <c r="Z337" s="4"/>
      <c r="AA337" s="4"/>
      <c r="AB337" s="4"/>
      <c r="AC337" s="4"/>
      <c r="AD337" s="4"/>
      <c r="AE337" s="4"/>
      <c r="AF337" s="4"/>
      <c r="AG337" s="4"/>
      <c r="AH337" s="4"/>
      <c r="AI337" s="4"/>
      <c r="AJ337" s="4"/>
      <c r="AK337" s="4"/>
      <c r="AL337" s="4"/>
      <c r="AM337" s="4"/>
      <c r="AN337" s="4"/>
    </row>
    <row r="338" spans="1:40" ht="16" customHeight="1" x14ac:dyDescent="0.25">
      <c r="B338" s="81" t="s">
        <v>252</v>
      </c>
      <c r="C338" s="82"/>
      <c r="D338" s="37"/>
      <c r="E338" s="58" t="s">
        <v>16</v>
      </c>
      <c r="F338" s="20" t="str">
        <f>IF(H339=1,IF(H337=H$2,H337,""),"")</f>
        <v/>
      </c>
      <c r="G338" s="18"/>
      <c r="H338" s="150" t="str">
        <f>IF(E396="comprobar",COUNTIF(D337:D341,"x"),"")</f>
        <v/>
      </c>
      <c r="Y338" s="4"/>
      <c r="Z338" s="4"/>
      <c r="AA338" s="4"/>
      <c r="AB338" s="4"/>
      <c r="AC338" s="4"/>
      <c r="AD338" s="4"/>
      <c r="AE338" s="4"/>
      <c r="AF338" s="4"/>
      <c r="AG338" s="4"/>
      <c r="AH338" s="4"/>
      <c r="AI338" s="4"/>
      <c r="AJ338" s="4"/>
      <c r="AK338" s="4"/>
      <c r="AL338" s="4"/>
      <c r="AM338" s="4"/>
      <c r="AN338" s="4"/>
    </row>
    <row r="339" spans="1:40" ht="19" customHeight="1" x14ac:dyDescent="0.25">
      <c r="B339" s="81" t="s">
        <v>253</v>
      </c>
      <c r="C339" s="82"/>
      <c r="D339" s="37"/>
      <c r="E339" s="58" t="s">
        <v>17</v>
      </c>
      <c r="F339" s="21" t="str">
        <f>IF(H339=-0.33,IF(H337=H$1,H337,""),"")</f>
        <v/>
      </c>
      <c r="G339" s="18"/>
      <c r="H339" s="151">
        <f>IF(H338=1,IF(H337=H$2,1,-0.33),0)</f>
        <v>0</v>
      </c>
      <c r="Y339" s="4"/>
      <c r="Z339" s="4"/>
      <c r="AA339" s="4"/>
      <c r="AB339" s="4"/>
      <c r="AC339" s="4"/>
      <c r="AD339" s="4"/>
      <c r="AE339" s="4"/>
      <c r="AF339" s="4"/>
      <c r="AG339" s="4"/>
      <c r="AH339" s="4"/>
      <c r="AI339" s="4"/>
      <c r="AJ339" s="4"/>
      <c r="AK339" s="4"/>
      <c r="AL339" s="4"/>
      <c r="AM339" s="4"/>
      <c r="AN339" s="4"/>
    </row>
    <row r="340" spans="1:40" ht="19" x14ac:dyDescent="0.25">
      <c r="B340" s="81" t="s">
        <v>254</v>
      </c>
      <c r="C340" s="82"/>
      <c r="D340" s="37"/>
      <c r="E340" s="58" t="s">
        <v>18</v>
      </c>
      <c r="F340" s="24"/>
      <c r="G340" s="18"/>
      <c r="H340" s="151"/>
      <c r="Y340" s="4"/>
      <c r="Z340" s="4"/>
      <c r="AA340" s="4"/>
      <c r="AB340" s="4"/>
      <c r="AC340" s="4"/>
      <c r="AD340" s="4"/>
      <c r="AE340" s="4"/>
      <c r="AF340" s="4"/>
      <c r="AG340" s="4"/>
      <c r="AH340" s="4"/>
      <c r="AI340" s="4"/>
      <c r="AJ340" s="4"/>
      <c r="AK340" s="4"/>
      <c r="AL340" s="4"/>
      <c r="AM340" s="4"/>
      <c r="AN340" s="4"/>
    </row>
    <row r="341" spans="1:40" ht="19" x14ac:dyDescent="0.25">
      <c r="B341" s="81"/>
      <c r="C341" s="83"/>
      <c r="D341" s="37"/>
      <c r="E341" s="58" t="s">
        <v>19</v>
      </c>
      <c r="F341" s="19"/>
      <c r="G341" s="18"/>
      <c r="H341" s="151"/>
      <c r="Y341" s="4"/>
      <c r="Z341" s="4"/>
      <c r="AA341" s="4"/>
      <c r="AB341" s="4"/>
      <c r="AC341" s="4"/>
      <c r="AD341" s="4"/>
      <c r="AE341" s="4"/>
      <c r="AF341" s="4"/>
      <c r="AG341" s="4"/>
      <c r="AH341" s="4"/>
      <c r="AI341" s="4"/>
      <c r="AJ341" s="4"/>
      <c r="AK341" s="4"/>
      <c r="AL341" s="4"/>
      <c r="AM341" s="4"/>
      <c r="AN341" s="4"/>
    </row>
    <row r="342" spans="1:40" s="182" customFormat="1" x14ac:dyDescent="0.2">
      <c r="A342" s="179"/>
      <c r="B342" s="194" t="s">
        <v>242</v>
      </c>
      <c r="C342" s="195"/>
      <c r="D342" s="180"/>
      <c r="E342" s="181"/>
      <c r="F342" s="25"/>
      <c r="G342" s="17"/>
      <c r="H342" s="17"/>
      <c r="I342" s="179"/>
      <c r="J342" s="179"/>
      <c r="K342" s="179"/>
      <c r="L342" s="179"/>
      <c r="M342" s="179"/>
      <c r="N342" s="179"/>
      <c r="O342" s="179"/>
      <c r="P342" s="179"/>
      <c r="Q342" s="179"/>
      <c r="R342" s="179"/>
      <c r="S342" s="179"/>
      <c r="T342" s="179"/>
      <c r="U342" s="179"/>
      <c r="V342" s="179"/>
      <c r="W342" s="179"/>
      <c r="X342" s="179"/>
    </row>
    <row r="343" spans="1:40" ht="19" x14ac:dyDescent="0.25">
      <c r="B343" s="79" t="s">
        <v>255</v>
      </c>
      <c r="C343" s="80"/>
      <c r="D343" s="37"/>
      <c r="E343" s="58" t="s">
        <v>15</v>
      </c>
      <c r="F343" s="24"/>
      <c r="G343" s="18"/>
      <c r="H343" s="150" t="b">
        <f>IF(D344="x",H$2,H$1)</f>
        <v>0</v>
      </c>
      <c r="Y343" s="4"/>
      <c r="Z343" s="4"/>
      <c r="AA343" s="4"/>
      <c r="AB343" s="4"/>
      <c r="AC343" s="4"/>
      <c r="AD343" s="4"/>
      <c r="AE343" s="4"/>
      <c r="AF343" s="4"/>
      <c r="AG343" s="4"/>
      <c r="AH343" s="4"/>
      <c r="AI343" s="4"/>
      <c r="AJ343" s="4"/>
      <c r="AK343" s="4"/>
      <c r="AL343" s="4"/>
      <c r="AM343" s="4"/>
      <c r="AN343" s="4"/>
    </row>
    <row r="344" spans="1:40" ht="19" x14ac:dyDescent="0.25">
      <c r="B344" s="81" t="s">
        <v>275</v>
      </c>
      <c r="C344" s="82"/>
      <c r="D344" s="37"/>
      <c r="E344" s="58" t="s">
        <v>16</v>
      </c>
      <c r="F344" s="20" t="str">
        <f>IF(H345=1,IF(H343=H$2,H343,""),"")</f>
        <v/>
      </c>
      <c r="G344" s="18"/>
      <c r="H344" s="150" t="str">
        <f>IF(E$396="comprobar",COUNTIF(D343:D347,"x"),"")</f>
        <v/>
      </c>
      <c r="Y344" s="4"/>
      <c r="Z344" s="4"/>
      <c r="AA344" s="4"/>
      <c r="AB344" s="4"/>
      <c r="AC344" s="4"/>
      <c r="AD344" s="4"/>
      <c r="AE344" s="4"/>
      <c r="AF344" s="4"/>
      <c r="AG344" s="4"/>
      <c r="AH344" s="4"/>
      <c r="AI344" s="4"/>
      <c r="AJ344" s="4"/>
      <c r="AK344" s="4"/>
      <c r="AL344" s="4"/>
      <c r="AM344" s="4"/>
      <c r="AN344" s="4"/>
    </row>
    <row r="345" spans="1:40" ht="19" x14ac:dyDescent="0.25">
      <c r="B345" s="81" t="s">
        <v>256</v>
      </c>
      <c r="C345" s="82"/>
      <c r="D345" s="37"/>
      <c r="E345" s="58" t="s">
        <v>17</v>
      </c>
      <c r="F345" s="21" t="str">
        <f>IF(H345=-0.33,IF(H343=H$1,H343,""),"")</f>
        <v/>
      </c>
      <c r="G345" s="18"/>
      <c r="H345" s="151">
        <f t="shared" ref="H345" si="30">IF(H344=1,IF(H343=H$2,1,-0.33),0)</f>
        <v>0</v>
      </c>
      <c r="Y345" s="4"/>
      <c r="Z345" s="4"/>
      <c r="AA345" s="4"/>
      <c r="AB345" s="4"/>
      <c r="AC345" s="4"/>
      <c r="AD345" s="4"/>
      <c r="AE345" s="4"/>
      <c r="AF345" s="4"/>
      <c r="AG345" s="4"/>
      <c r="AH345" s="4"/>
      <c r="AI345" s="4"/>
      <c r="AJ345" s="4"/>
      <c r="AK345" s="4"/>
      <c r="AL345" s="4"/>
      <c r="AM345" s="4"/>
      <c r="AN345" s="4"/>
    </row>
    <row r="346" spans="1:40" ht="19" x14ac:dyDescent="0.25">
      <c r="B346" s="81" t="s">
        <v>254</v>
      </c>
      <c r="C346" s="82"/>
      <c r="D346" s="37"/>
      <c r="E346" s="58" t="s">
        <v>18</v>
      </c>
      <c r="F346" s="24"/>
      <c r="G346" s="18"/>
      <c r="H346" s="151"/>
      <c r="Y346" s="4"/>
      <c r="Z346" s="4"/>
      <c r="AA346" s="4"/>
      <c r="AB346" s="4"/>
      <c r="AC346" s="4"/>
      <c r="AD346" s="4"/>
      <c r="AE346" s="4"/>
      <c r="AF346" s="4"/>
      <c r="AG346" s="4"/>
      <c r="AH346" s="4"/>
      <c r="AI346" s="4"/>
      <c r="AJ346" s="4"/>
      <c r="AK346" s="4"/>
      <c r="AL346" s="4"/>
      <c r="AM346" s="4"/>
      <c r="AN346" s="4"/>
    </row>
    <row r="347" spans="1:40" ht="19" x14ac:dyDescent="0.25">
      <c r="B347" s="81"/>
      <c r="C347" s="83"/>
      <c r="D347" s="37"/>
      <c r="E347" s="58" t="s">
        <v>19</v>
      </c>
      <c r="F347" s="19"/>
      <c r="G347" s="18"/>
      <c r="H347" s="151"/>
      <c r="Y347" s="4"/>
      <c r="Z347" s="4"/>
      <c r="AA347" s="4"/>
      <c r="AB347" s="4"/>
      <c r="AC347" s="4"/>
      <c r="AD347" s="4"/>
      <c r="AE347" s="4"/>
      <c r="AF347" s="4"/>
      <c r="AG347" s="4"/>
      <c r="AH347" s="4"/>
      <c r="AI347" s="4"/>
      <c r="AJ347" s="4"/>
      <c r="AK347" s="4"/>
      <c r="AL347" s="4"/>
      <c r="AM347" s="4"/>
      <c r="AN347" s="4"/>
    </row>
    <row r="348" spans="1:40" s="182" customFormat="1" x14ac:dyDescent="0.2">
      <c r="A348" s="179"/>
      <c r="B348" s="194" t="s">
        <v>243</v>
      </c>
      <c r="C348" s="195"/>
      <c r="D348" s="180"/>
      <c r="E348" s="181"/>
      <c r="F348" s="25"/>
      <c r="G348" s="17"/>
      <c r="H348" s="17"/>
      <c r="I348" s="179"/>
      <c r="J348" s="179"/>
      <c r="K348" s="179"/>
      <c r="L348" s="179"/>
      <c r="M348" s="179"/>
      <c r="N348" s="179"/>
      <c r="O348" s="179"/>
      <c r="P348" s="179"/>
      <c r="Q348" s="179"/>
      <c r="R348" s="179"/>
      <c r="S348" s="179"/>
      <c r="T348" s="179"/>
      <c r="U348" s="179"/>
      <c r="V348" s="179"/>
      <c r="W348" s="179"/>
      <c r="X348" s="179"/>
    </row>
    <row r="349" spans="1:40" ht="19" x14ac:dyDescent="0.25">
      <c r="B349" s="79" t="s">
        <v>257</v>
      </c>
      <c r="C349" s="80"/>
      <c r="D349" s="37"/>
      <c r="E349" s="58" t="s">
        <v>15</v>
      </c>
      <c r="F349" s="24"/>
      <c r="G349" s="18"/>
      <c r="H349" s="150" t="b">
        <f>IF(D351="x",H$2,H$1)</f>
        <v>0</v>
      </c>
      <c r="Y349" s="4"/>
      <c r="Z349" s="4"/>
      <c r="AA349" s="4"/>
      <c r="AB349" s="4"/>
      <c r="AC349" s="4"/>
      <c r="AD349" s="4"/>
      <c r="AE349" s="4"/>
      <c r="AF349" s="4"/>
      <c r="AG349" s="4"/>
      <c r="AH349" s="4"/>
      <c r="AI349" s="4"/>
      <c r="AJ349" s="4"/>
      <c r="AK349" s="4"/>
      <c r="AL349" s="4"/>
      <c r="AM349" s="4"/>
      <c r="AN349" s="4"/>
    </row>
    <row r="350" spans="1:40" ht="19" x14ac:dyDescent="0.25">
      <c r="B350" s="81" t="s">
        <v>258</v>
      </c>
      <c r="C350" s="82"/>
      <c r="D350" s="37"/>
      <c r="E350" s="58" t="s">
        <v>16</v>
      </c>
      <c r="F350" s="20" t="str">
        <f>IF(H351=1,IF(H349=H$2,H349,""),"")</f>
        <v/>
      </c>
      <c r="G350" s="18"/>
      <c r="H350" s="150" t="str">
        <f>IF(E$396="comprobar",COUNTIF(D349:D353,"x"),"")</f>
        <v/>
      </c>
      <c r="Y350" s="4"/>
      <c r="Z350" s="4"/>
      <c r="AA350" s="4"/>
      <c r="AB350" s="4"/>
      <c r="AC350" s="4"/>
      <c r="AD350" s="4"/>
      <c r="AE350" s="4"/>
      <c r="AF350" s="4"/>
      <c r="AG350" s="4"/>
      <c r="AH350" s="4"/>
      <c r="AI350" s="4"/>
      <c r="AJ350" s="4"/>
      <c r="AK350" s="4"/>
      <c r="AL350" s="4"/>
      <c r="AM350" s="4"/>
      <c r="AN350" s="4"/>
    </row>
    <row r="351" spans="1:40" ht="19" x14ac:dyDescent="0.25">
      <c r="B351" s="81" t="s">
        <v>276</v>
      </c>
      <c r="C351" s="82"/>
      <c r="D351" s="37"/>
      <c r="E351" s="58" t="s">
        <v>17</v>
      </c>
      <c r="F351" s="21" t="str">
        <f>IF(H351=-0.33,IF(H349=H$1,H349,""),"")</f>
        <v/>
      </c>
      <c r="G351" s="18"/>
      <c r="H351" s="151">
        <f t="shared" ref="H351" si="31">IF(H350=1,IF(H349=H$2,1,-0.33),0)</f>
        <v>0</v>
      </c>
      <c r="Y351" s="4"/>
      <c r="Z351" s="4"/>
      <c r="AA351" s="4"/>
      <c r="AB351" s="4"/>
      <c r="AC351" s="4"/>
      <c r="AD351" s="4"/>
      <c r="AE351" s="4"/>
      <c r="AF351" s="4"/>
      <c r="AG351" s="4"/>
      <c r="AH351" s="4"/>
      <c r="AI351" s="4"/>
      <c r="AJ351" s="4"/>
      <c r="AK351" s="4"/>
      <c r="AL351" s="4"/>
      <c r="AM351" s="4"/>
      <c r="AN351" s="4"/>
    </row>
    <row r="352" spans="1:40" ht="19" x14ac:dyDescent="0.25">
      <c r="B352" s="81" t="s">
        <v>259</v>
      </c>
      <c r="C352" s="82"/>
      <c r="D352" s="37"/>
      <c r="E352" s="58" t="s">
        <v>18</v>
      </c>
      <c r="F352" s="24"/>
      <c r="G352" s="18"/>
      <c r="H352" s="151"/>
      <c r="Y352" s="4"/>
      <c r="Z352" s="4"/>
      <c r="AA352" s="4"/>
      <c r="AB352" s="4"/>
      <c r="AC352" s="4"/>
      <c r="AD352" s="4"/>
      <c r="AE352" s="4"/>
      <c r="AF352" s="4"/>
      <c r="AG352" s="4"/>
      <c r="AH352" s="4"/>
      <c r="AI352" s="4"/>
      <c r="AJ352" s="4"/>
      <c r="AK352" s="4"/>
      <c r="AL352" s="4"/>
      <c r="AM352" s="4"/>
      <c r="AN352" s="4"/>
    </row>
    <row r="353" spans="1:40" ht="19" x14ac:dyDescent="0.25">
      <c r="B353" s="81"/>
      <c r="C353" s="83"/>
      <c r="D353" s="37"/>
      <c r="E353" s="58" t="s">
        <v>19</v>
      </c>
      <c r="F353" s="19"/>
      <c r="G353" s="18"/>
      <c r="H353" s="151"/>
      <c r="Y353" s="4"/>
      <c r="Z353" s="4"/>
      <c r="AA353" s="4"/>
      <c r="AB353" s="4"/>
      <c r="AC353" s="4"/>
      <c r="AD353" s="4"/>
      <c r="AE353" s="4"/>
      <c r="AF353" s="4"/>
      <c r="AG353" s="4"/>
      <c r="AH353" s="4"/>
      <c r="AI353" s="4"/>
      <c r="AJ353" s="4"/>
      <c r="AK353" s="4"/>
      <c r="AL353" s="4"/>
      <c r="AM353" s="4"/>
      <c r="AN353" s="4"/>
    </row>
    <row r="354" spans="1:40" s="182" customFormat="1" ht="35" customHeight="1" x14ac:dyDescent="0.2">
      <c r="A354" s="179"/>
      <c r="B354" s="194" t="s">
        <v>244</v>
      </c>
      <c r="C354" s="195"/>
      <c r="D354" s="180"/>
      <c r="E354" s="181"/>
      <c r="F354" s="25"/>
      <c r="G354" s="17"/>
      <c r="H354" s="17"/>
      <c r="I354" s="179"/>
      <c r="J354" s="179"/>
      <c r="K354" s="179"/>
      <c r="L354" s="179"/>
      <c r="M354" s="179"/>
      <c r="N354" s="179"/>
      <c r="O354" s="179"/>
      <c r="P354" s="179"/>
      <c r="Q354" s="179"/>
      <c r="R354" s="179"/>
      <c r="S354" s="179"/>
      <c r="T354" s="179"/>
      <c r="U354" s="179"/>
      <c r="V354" s="179"/>
      <c r="W354" s="179"/>
      <c r="X354" s="179"/>
    </row>
    <row r="355" spans="1:40" ht="19" x14ac:dyDescent="0.25">
      <c r="B355" s="79" t="s">
        <v>260</v>
      </c>
      <c r="C355" s="80"/>
      <c r="D355" s="37"/>
      <c r="E355" s="58" t="s">
        <v>15</v>
      </c>
      <c r="F355" s="24"/>
      <c r="G355" s="18"/>
      <c r="H355" s="150" t="b">
        <f>IF(D357="x",H$2,H$1)</f>
        <v>0</v>
      </c>
      <c r="Y355" s="4"/>
      <c r="Z355" s="4"/>
      <c r="AA355" s="4"/>
      <c r="AB355" s="4"/>
      <c r="AC355" s="4"/>
      <c r="AD355" s="4"/>
      <c r="AE355" s="4"/>
      <c r="AF355" s="4"/>
      <c r="AG355" s="4"/>
      <c r="AH355" s="4"/>
      <c r="AI355" s="4"/>
      <c r="AJ355" s="4"/>
      <c r="AK355" s="4"/>
      <c r="AL355" s="4"/>
      <c r="AM355" s="4"/>
      <c r="AN355" s="4"/>
    </row>
    <row r="356" spans="1:40" ht="19" x14ac:dyDescent="0.25">
      <c r="B356" s="81" t="s">
        <v>261</v>
      </c>
      <c r="C356" s="82"/>
      <c r="D356" s="37"/>
      <c r="E356" s="58" t="s">
        <v>16</v>
      </c>
      <c r="F356" s="20" t="str">
        <f>IF(H357=1,IF(H355=H$2,H355,""),"")</f>
        <v/>
      </c>
      <c r="G356" s="18"/>
      <c r="H356" s="150" t="str">
        <f>IF(E$396="comprobar",COUNTIF(D355:D359,"x"),"")</f>
        <v/>
      </c>
      <c r="Y356" s="4"/>
      <c r="Z356" s="4"/>
      <c r="AA356" s="4"/>
      <c r="AB356" s="4"/>
      <c r="AC356" s="4"/>
      <c r="AD356" s="4"/>
      <c r="AE356" s="4"/>
      <c r="AF356" s="4"/>
      <c r="AG356" s="4"/>
      <c r="AH356" s="4"/>
      <c r="AI356" s="4"/>
      <c r="AJ356" s="4"/>
      <c r="AK356" s="4"/>
      <c r="AL356" s="4"/>
      <c r="AM356" s="4"/>
      <c r="AN356" s="4"/>
    </row>
    <row r="357" spans="1:40" ht="19" x14ac:dyDescent="0.25">
      <c r="B357" s="81" t="s">
        <v>277</v>
      </c>
      <c r="C357" s="82"/>
      <c r="D357" s="37"/>
      <c r="E357" s="58" t="s">
        <v>17</v>
      </c>
      <c r="F357" s="21" t="str">
        <f>IF(H357=-0.33,IF(H355=H$1,H355,""),"")</f>
        <v/>
      </c>
      <c r="G357" s="18"/>
      <c r="H357" s="151">
        <f t="shared" ref="H357" si="32">IF(H356=1,IF(H355=H$2,1,-0.33),0)</f>
        <v>0</v>
      </c>
      <c r="Y357" s="4"/>
      <c r="Z357" s="4"/>
      <c r="AA357" s="4"/>
      <c r="AB357" s="4"/>
      <c r="AC357" s="4"/>
      <c r="AD357" s="4"/>
      <c r="AE357" s="4"/>
      <c r="AF357" s="4"/>
      <c r="AG357" s="4"/>
      <c r="AH357" s="4"/>
      <c r="AI357" s="4"/>
      <c r="AJ357" s="4"/>
      <c r="AK357" s="4"/>
      <c r="AL357" s="4"/>
      <c r="AM357" s="4"/>
      <c r="AN357" s="4"/>
    </row>
    <row r="358" spans="1:40" ht="19" x14ac:dyDescent="0.25">
      <c r="B358" s="81" t="s">
        <v>254</v>
      </c>
      <c r="C358" s="82"/>
      <c r="D358" s="37"/>
      <c r="E358" s="58" t="s">
        <v>18</v>
      </c>
      <c r="F358" s="24"/>
      <c r="G358" s="18"/>
      <c r="H358" s="151"/>
      <c r="Y358" s="4"/>
      <c r="Z358" s="4"/>
      <c r="AA358" s="4"/>
      <c r="AB358" s="4"/>
      <c r="AC358" s="4"/>
      <c r="AD358" s="4"/>
      <c r="AE358" s="4"/>
      <c r="AF358" s="4"/>
      <c r="AG358" s="4"/>
      <c r="AH358" s="4"/>
      <c r="AI358" s="4"/>
      <c r="AJ358" s="4"/>
      <c r="AK358" s="4"/>
      <c r="AL358" s="4"/>
      <c r="AM358" s="4"/>
      <c r="AN358" s="4"/>
    </row>
    <row r="359" spans="1:40" ht="19" x14ac:dyDescent="0.25">
      <c r="B359" s="81"/>
      <c r="C359" s="83"/>
      <c r="D359" s="37"/>
      <c r="E359" s="58" t="s">
        <v>19</v>
      </c>
      <c r="F359" s="19"/>
      <c r="G359" s="18"/>
      <c r="H359" s="151"/>
      <c r="Y359" s="4"/>
      <c r="Z359" s="4"/>
      <c r="AA359" s="4"/>
      <c r="AB359" s="4"/>
      <c r="AC359" s="4"/>
      <c r="AD359" s="4"/>
      <c r="AE359" s="4"/>
      <c r="AF359" s="4"/>
      <c r="AG359" s="4"/>
      <c r="AH359" s="4"/>
      <c r="AI359" s="4"/>
      <c r="AJ359" s="4"/>
      <c r="AK359" s="4"/>
      <c r="AL359" s="4"/>
      <c r="AM359" s="4"/>
      <c r="AN359" s="4"/>
    </row>
    <row r="360" spans="1:40" s="182" customFormat="1" x14ac:dyDescent="0.2">
      <c r="A360" s="179"/>
      <c r="B360" s="194" t="s">
        <v>245</v>
      </c>
      <c r="C360" s="195"/>
      <c r="D360" s="180"/>
      <c r="E360" s="181"/>
      <c r="F360" s="25"/>
      <c r="G360" s="17"/>
      <c r="H360" s="17"/>
      <c r="I360" s="179"/>
      <c r="J360" s="179"/>
      <c r="K360" s="179"/>
      <c r="L360" s="179"/>
      <c r="M360" s="179"/>
      <c r="N360" s="179"/>
      <c r="O360" s="179"/>
      <c r="P360" s="179"/>
      <c r="Q360" s="179"/>
      <c r="R360" s="179"/>
      <c r="S360" s="179"/>
      <c r="T360" s="179"/>
      <c r="U360" s="179"/>
      <c r="V360" s="179"/>
      <c r="W360" s="179"/>
      <c r="X360" s="179"/>
    </row>
    <row r="361" spans="1:40" ht="19" x14ac:dyDescent="0.25">
      <c r="B361" s="79" t="s">
        <v>278</v>
      </c>
      <c r="C361" s="80"/>
      <c r="D361" s="37"/>
      <c r="E361" s="58" t="s">
        <v>15</v>
      </c>
      <c r="F361" s="24"/>
      <c r="G361" s="18"/>
      <c r="H361" s="150" t="b">
        <f>IF(D361="x",H$2,H$1)</f>
        <v>0</v>
      </c>
      <c r="Y361" s="4"/>
      <c r="Z361" s="4"/>
      <c r="AA361" s="4"/>
      <c r="AB361" s="4"/>
      <c r="AC361" s="4"/>
      <c r="AD361" s="4"/>
      <c r="AE361" s="4"/>
      <c r="AF361" s="4"/>
      <c r="AG361" s="4"/>
      <c r="AH361" s="4"/>
      <c r="AI361" s="4"/>
      <c r="AJ361" s="4"/>
      <c r="AK361" s="4"/>
      <c r="AL361" s="4"/>
      <c r="AM361" s="4"/>
      <c r="AN361" s="4"/>
    </row>
    <row r="362" spans="1:40" ht="19" x14ac:dyDescent="0.25">
      <c r="B362" s="81" t="s">
        <v>262</v>
      </c>
      <c r="C362" s="82"/>
      <c r="D362" s="37"/>
      <c r="E362" s="58" t="s">
        <v>16</v>
      </c>
      <c r="F362" s="20" t="str">
        <f>IF(H363=1,IF(H361=H$2,H361,""),"")</f>
        <v/>
      </c>
      <c r="G362" s="18"/>
      <c r="H362" s="150" t="str">
        <f>IF(E$396="comprobar",COUNTIF(D361:D365,"x"),"")</f>
        <v/>
      </c>
      <c r="Y362" s="4"/>
      <c r="Z362" s="4"/>
      <c r="AA362" s="4"/>
      <c r="AB362" s="4"/>
      <c r="AC362" s="4"/>
      <c r="AD362" s="4"/>
      <c r="AE362" s="4"/>
      <c r="AF362" s="4"/>
      <c r="AG362" s="4"/>
      <c r="AH362" s="4"/>
      <c r="AI362" s="4"/>
      <c r="AJ362" s="4"/>
      <c r="AK362" s="4"/>
      <c r="AL362" s="4"/>
      <c r="AM362" s="4"/>
      <c r="AN362" s="4"/>
    </row>
    <row r="363" spans="1:40" ht="19" x14ac:dyDescent="0.25">
      <c r="B363" s="81" t="s">
        <v>263</v>
      </c>
      <c r="C363" s="82"/>
      <c r="D363" s="37"/>
      <c r="E363" s="58" t="s">
        <v>17</v>
      </c>
      <c r="F363" s="21" t="str">
        <f>IF(H363=-0.33,IF(H361=H$1,H361,""),"")</f>
        <v/>
      </c>
      <c r="G363" s="18"/>
      <c r="H363" s="151">
        <f t="shared" ref="H363" si="33">IF(H362=1,IF(H361=H$2,1,-0.33),0)</f>
        <v>0</v>
      </c>
      <c r="Y363" s="4"/>
      <c r="Z363" s="4"/>
      <c r="AA363" s="4"/>
      <c r="AB363" s="4"/>
      <c r="AC363" s="4"/>
      <c r="AD363" s="4"/>
      <c r="AE363" s="4"/>
      <c r="AF363" s="4"/>
      <c r="AG363" s="4"/>
      <c r="AH363" s="4"/>
      <c r="AI363" s="4"/>
      <c r="AJ363" s="4"/>
      <c r="AK363" s="4"/>
      <c r="AL363" s="4"/>
      <c r="AM363" s="4"/>
      <c r="AN363" s="4"/>
    </row>
    <row r="364" spans="1:40" ht="19" x14ac:dyDescent="0.25">
      <c r="B364" s="81" t="s">
        <v>254</v>
      </c>
      <c r="C364" s="82"/>
      <c r="D364" s="37"/>
      <c r="E364" s="58" t="s">
        <v>18</v>
      </c>
      <c r="F364" s="24"/>
      <c r="G364" s="18"/>
      <c r="H364" s="151"/>
      <c r="Y364" s="4"/>
      <c r="Z364" s="4"/>
      <c r="AA364" s="4"/>
      <c r="AB364" s="4"/>
      <c r="AC364" s="4"/>
      <c r="AD364" s="4"/>
      <c r="AE364" s="4"/>
      <c r="AF364" s="4"/>
      <c r="AG364" s="4"/>
      <c r="AH364" s="4"/>
      <c r="AI364" s="4"/>
      <c r="AJ364" s="4"/>
      <c r="AK364" s="4"/>
      <c r="AL364" s="4"/>
      <c r="AM364" s="4"/>
      <c r="AN364" s="4"/>
    </row>
    <row r="365" spans="1:40" ht="19" x14ac:dyDescent="0.25">
      <c r="B365" s="81"/>
      <c r="C365" s="83"/>
      <c r="D365" s="37"/>
      <c r="E365" s="58" t="s">
        <v>19</v>
      </c>
      <c r="F365" s="19"/>
      <c r="G365" s="18"/>
      <c r="H365" s="151"/>
      <c r="Y365" s="4"/>
      <c r="Z365" s="4"/>
      <c r="AA365" s="4"/>
      <c r="AB365" s="4"/>
      <c r="AC365" s="4"/>
      <c r="AD365" s="4"/>
      <c r="AE365" s="4"/>
      <c r="AF365" s="4"/>
      <c r="AG365" s="4"/>
      <c r="AH365" s="4"/>
      <c r="AI365" s="4"/>
      <c r="AJ365" s="4"/>
      <c r="AK365" s="4"/>
      <c r="AL365" s="4"/>
      <c r="AM365" s="4"/>
      <c r="AN365" s="4"/>
    </row>
    <row r="366" spans="1:40" s="182" customFormat="1" x14ac:dyDescent="0.2">
      <c r="A366" s="179"/>
      <c r="B366" s="194" t="s">
        <v>246</v>
      </c>
      <c r="C366" s="195"/>
      <c r="D366" s="180"/>
      <c r="E366" s="181"/>
      <c r="F366" s="25"/>
      <c r="G366" s="17"/>
      <c r="H366" s="17"/>
      <c r="I366" s="179"/>
      <c r="J366" s="179"/>
      <c r="K366" s="179"/>
      <c r="L366" s="179"/>
      <c r="M366" s="179"/>
      <c r="N366" s="179"/>
      <c r="O366" s="179"/>
      <c r="P366" s="179"/>
      <c r="Q366" s="179"/>
      <c r="R366" s="179"/>
      <c r="S366" s="179"/>
      <c r="T366" s="179"/>
      <c r="U366" s="179"/>
      <c r="V366" s="179"/>
      <c r="W366" s="179"/>
      <c r="X366" s="179"/>
    </row>
    <row r="367" spans="1:40" ht="19" x14ac:dyDescent="0.25">
      <c r="B367" s="79" t="s">
        <v>264</v>
      </c>
      <c r="C367" s="80"/>
      <c r="D367" s="37"/>
      <c r="E367" s="58" t="s">
        <v>15</v>
      </c>
      <c r="F367" s="24"/>
      <c r="G367" s="18"/>
      <c r="H367" s="150" t="b">
        <f>IF(D370="x",H$2,H$1)</f>
        <v>0</v>
      </c>
      <c r="Y367" s="4"/>
      <c r="Z367" s="4"/>
      <c r="AA367" s="4"/>
      <c r="AB367" s="4"/>
      <c r="AC367" s="4"/>
      <c r="AD367" s="4"/>
      <c r="AE367" s="4"/>
      <c r="AF367" s="4"/>
      <c r="AG367" s="4"/>
      <c r="AH367" s="4"/>
      <c r="AI367" s="4"/>
      <c r="AJ367" s="4"/>
      <c r="AK367" s="4"/>
      <c r="AL367" s="4"/>
      <c r="AM367" s="4"/>
      <c r="AN367" s="4"/>
    </row>
    <row r="368" spans="1:40" ht="19" x14ac:dyDescent="0.25">
      <c r="B368" s="81" t="s">
        <v>265</v>
      </c>
      <c r="C368" s="82"/>
      <c r="D368" s="37"/>
      <c r="E368" s="58" t="s">
        <v>16</v>
      </c>
      <c r="F368" s="20" t="str">
        <f>IF(H369=1,IF(H367=H$2,H367,""),"")</f>
        <v/>
      </c>
      <c r="G368" s="18"/>
      <c r="H368" s="150" t="str">
        <f>IF(E$396="comprobar",COUNTIF(D367:D371,"x"),"")</f>
        <v/>
      </c>
      <c r="Y368" s="4"/>
      <c r="Z368" s="4"/>
      <c r="AA368" s="4"/>
      <c r="AB368" s="4"/>
      <c r="AC368" s="4"/>
      <c r="AD368" s="4"/>
      <c r="AE368" s="4"/>
      <c r="AF368" s="4"/>
      <c r="AG368" s="4"/>
      <c r="AH368" s="4"/>
      <c r="AI368" s="4"/>
      <c r="AJ368" s="4"/>
      <c r="AK368" s="4"/>
      <c r="AL368" s="4"/>
      <c r="AM368" s="4"/>
      <c r="AN368" s="4"/>
    </row>
    <row r="369" spans="1:40" ht="19" x14ac:dyDescent="0.25">
      <c r="B369" s="81" t="s">
        <v>266</v>
      </c>
      <c r="C369" s="82"/>
      <c r="D369" s="37"/>
      <c r="E369" s="58" t="s">
        <v>17</v>
      </c>
      <c r="F369" s="21" t="str">
        <f>IF(H369=-0.33,IF(H367=H$1,H367,""),"")</f>
        <v/>
      </c>
      <c r="G369" s="18"/>
      <c r="H369" s="151">
        <f t="shared" ref="H369" si="34">IF(H368=1,IF(H367=H$2,1,-0.33),0)</f>
        <v>0</v>
      </c>
      <c r="Y369" s="4"/>
      <c r="Z369" s="4"/>
      <c r="AA369" s="4"/>
      <c r="AB369" s="4"/>
      <c r="AC369" s="4"/>
      <c r="AD369" s="4"/>
      <c r="AE369" s="4"/>
      <c r="AF369" s="4"/>
      <c r="AG369" s="4"/>
      <c r="AH369" s="4"/>
      <c r="AI369" s="4"/>
      <c r="AJ369" s="4"/>
      <c r="AK369" s="4"/>
      <c r="AL369" s="4"/>
      <c r="AM369" s="4"/>
      <c r="AN369" s="4"/>
    </row>
    <row r="370" spans="1:40" ht="19" x14ac:dyDescent="0.25">
      <c r="B370" s="81" t="s">
        <v>254</v>
      </c>
      <c r="C370" s="82"/>
      <c r="D370" s="37"/>
      <c r="E370" s="58" t="s">
        <v>18</v>
      </c>
      <c r="F370" s="24"/>
      <c r="G370" s="18"/>
      <c r="H370" s="151"/>
      <c r="Y370" s="4"/>
      <c r="Z370" s="4"/>
      <c r="AA370" s="4"/>
      <c r="AB370" s="4"/>
      <c r="AC370" s="4"/>
      <c r="AD370" s="4"/>
      <c r="AE370" s="4"/>
      <c r="AF370" s="4"/>
      <c r="AG370" s="4"/>
      <c r="AH370" s="4"/>
      <c r="AI370" s="4"/>
      <c r="AJ370" s="4"/>
      <c r="AK370" s="4"/>
      <c r="AL370" s="4"/>
      <c r="AM370" s="4"/>
      <c r="AN370" s="4"/>
    </row>
    <row r="371" spans="1:40" ht="20" thickBot="1" x14ac:dyDescent="0.3">
      <c r="B371" s="81"/>
      <c r="C371" s="83"/>
      <c r="D371" s="210"/>
      <c r="E371" s="58" t="s">
        <v>19</v>
      </c>
      <c r="F371" s="19"/>
      <c r="G371" s="18"/>
      <c r="H371" s="151"/>
      <c r="Y371" s="4"/>
      <c r="Z371" s="4"/>
      <c r="AA371" s="4"/>
      <c r="AB371" s="4"/>
      <c r="AC371" s="4"/>
      <c r="AD371" s="4"/>
      <c r="AE371" s="4"/>
      <c r="AF371" s="4"/>
      <c r="AG371" s="4"/>
      <c r="AH371" s="4"/>
      <c r="AI371" s="4"/>
      <c r="AJ371" s="4"/>
      <c r="AK371" s="4"/>
      <c r="AL371" s="4"/>
      <c r="AM371" s="4"/>
      <c r="AN371" s="4"/>
    </row>
    <row r="372" spans="1:40" s="182" customFormat="1" x14ac:dyDescent="0.2">
      <c r="A372" s="179"/>
      <c r="B372" s="194" t="s">
        <v>247</v>
      </c>
      <c r="C372" s="195"/>
      <c r="D372" s="211"/>
      <c r="E372" s="219" t="s">
        <v>439</v>
      </c>
      <c r="F372" s="212"/>
      <c r="G372" s="17"/>
      <c r="H372" s="17"/>
      <c r="I372" s="179"/>
      <c r="J372" s="179"/>
      <c r="K372" s="179"/>
      <c r="L372" s="179"/>
      <c r="M372" s="179"/>
      <c r="N372" s="179"/>
      <c r="O372" s="179"/>
      <c r="P372" s="179"/>
      <c r="Q372" s="179"/>
      <c r="R372" s="179"/>
      <c r="S372" s="179"/>
      <c r="T372" s="179"/>
      <c r="U372" s="179"/>
      <c r="V372" s="179"/>
      <c r="W372" s="179"/>
      <c r="X372" s="179"/>
    </row>
    <row r="373" spans="1:40" ht="19" x14ac:dyDescent="0.25">
      <c r="B373" s="79" t="s">
        <v>267</v>
      </c>
      <c r="C373" s="208"/>
      <c r="D373" s="213"/>
      <c r="E373" s="58" t="s">
        <v>15</v>
      </c>
      <c r="F373" s="24"/>
      <c r="G373" s="18"/>
      <c r="H373" s="150" t="b">
        <f>IF(D373="x",H$2,H$1)</f>
        <v>0</v>
      </c>
      <c r="Y373" s="4"/>
      <c r="Z373" s="4"/>
      <c r="AA373" s="4"/>
      <c r="AB373" s="4"/>
      <c r="AC373" s="4"/>
      <c r="AD373" s="4"/>
      <c r="AE373" s="4"/>
      <c r="AF373" s="4"/>
      <c r="AG373" s="4"/>
      <c r="AH373" s="4"/>
      <c r="AI373" s="4"/>
      <c r="AJ373" s="4"/>
      <c r="AK373" s="4"/>
      <c r="AL373" s="4"/>
      <c r="AM373" s="4"/>
      <c r="AN373" s="4"/>
    </row>
    <row r="374" spans="1:40" ht="19" x14ac:dyDescent="0.25">
      <c r="B374" s="81" t="s">
        <v>267</v>
      </c>
      <c r="C374" s="209"/>
      <c r="D374" s="213"/>
      <c r="E374" s="58" t="s">
        <v>16</v>
      </c>
      <c r="F374" s="20" t="str">
        <f>IF(H375=1,IF(H373=H$2,H373,""),"")</f>
        <v/>
      </c>
      <c r="G374" s="18"/>
      <c r="H374" s="150" t="str">
        <f>IF(E$396="comprobar",COUNTIF(D373:D377,"x"),"")</f>
        <v/>
      </c>
      <c r="Y374" s="4"/>
      <c r="Z374" s="4"/>
      <c r="AA374" s="4"/>
      <c r="AB374" s="4"/>
      <c r="AC374" s="4"/>
      <c r="AD374" s="4"/>
      <c r="AE374" s="4"/>
      <c r="AF374" s="4"/>
      <c r="AG374" s="4"/>
      <c r="AH374" s="4"/>
      <c r="AI374" s="4"/>
      <c r="AJ374" s="4"/>
      <c r="AK374" s="4"/>
      <c r="AL374" s="4"/>
      <c r="AM374" s="4"/>
      <c r="AN374" s="4"/>
    </row>
    <row r="375" spans="1:40" ht="19" x14ac:dyDescent="0.25">
      <c r="B375" s="81" t="s">
        <v>268</v>
      </c>
      <c r="C375" s="209"/>
      <c r="D375" s="213"/>
      <c r="E375" s="58" t="s">
        <v>17</v>
      </c>
      <c r="F375" s="21" t="str">
        <f>IF(H375=-0.33,IF(H373=H$1,H373,""),"")</f>
        <v/>
      </c>
      <c r="G375" s="18"/>
      <c r="H375" s="151">
        <f t="shared" ref="H375" si="35">IF(H374=1,IF(H373=H$2,1,-0.33),0)</f>
        <v>0</v>
      </c>
      <c r="Y375" s="4"/>
      <c r="Z375" s="4"/>
      <c r="AA375" s="4"/>
      <c r="AB375" s="4"/>
      <c r="AC375" s="4"/>
      <c r="AD375" s="4"/>
      <c r="AE375" s="4"/>
      <c r="AF375" s="4"/>
      <c r="AG375" s="4"/>
      <c r="AH375" s="4"/>
      <c r="AI375" s="4"/>
      <c r="AJ375" s="4"/>
      <c r="AK375" s="4"/>
      <c r="AL375" s="4"/>
      <c r="AM375" s="4"/>
      <c r="AN375" s="4"/>
    </row>
    <row r="376" spans="1:40" ht="19" x14ac:dyDescent="0.25">
      <c r="B376" s="81" t="s">
        <v>254</v>
      </c>
      <c r="C376" s="209"/>
      <c r="D376" s="213"/>
      <c r="E376" s="58" t="s">
        <v>18</v>
      </c>
      <c r="F376" s="24"/>
      <c r="G376" s="18"/>
      <c r="H376" s="151"/>
      <c r="Y376" s="4"/>
      <c r="Z376" s="4"/>
      <c r="AA376" s="4"/>
      <c r="AB376" s="4"/>
      <c r="AC376" s="4"/>
      <c r="AD376" s="4"/>
      <c r="AE376" s="4"/>
      <c r="AF376" s="4"/>
      <c r="AG376" s="4"/>
      <c r="AH376" s="4"/>
      <c r="AI376" s="4"/>
      <c r="AJ376" s="4"/>
      <c r="AK376" s="4"/>
      <c r="AL376" s="4"/>
      <c r="AM376" s="4"/>
      <c r="AN376" s="4"/>
    </row>
    <row r="377" spans="1:40" ht="19" x14ac:dyDescent="0.25">
      <c r="B377" s="81"/>
      <c r="C377" s="83"/>
      <c r="D377" s="213"/>
      <c r="E377" s="58" t="s">
        <v>19</v>
      </c>
      <c r="F377" s="19"/>
      <c r="G377" s="18"/>
      <c r="H377" s="151"/>
      <c r="Y377" s="4"/>
      <c r="Z377" s="4"/>
      <c r="AA377" s="4"/>
      <c r="AB377" s="4"/>
      <c r="AC377" s="4"/>
      <c r="AD377" s="4"/>
      <c r="AE377" s="4"/>
      <c r="AF377" s="4"/>
      <c r="AG377" s="4"/>
      <c r="AH377" s="4"/>
      <c r="AI377" s="4"/>
      <c r="AJ377" s="4"/>
      <c r="AK377" s="4"/>
      <c r="AL377" s="4"/>
      <c r="AM377" s="4"/>
      <c r="AN377" s="4"/>
    </row>
    <row r="378" spans="1:40" s="182" customFormat="1" x14ac:dyDescent="0.2">
      <c r="A378" s="179"/>
      <c r="B378" s="194" t="s">
        <v>248</v>
      </c>
      <c r="C378" s="195"/>
      <c r="D378" s="214"/>
      <c r="E378" s="218" t="s">
        <v>439</v>
      </c>
      <c r="F378" s="25"/>
      <c r="G378" s="17"/>
      <c r="H378" s="17"/>
      <c r="I378" s="179"/>
      <c r="J378" s="179"/>
      <c r="K378" s="179"/>
      <c r="L378" s="179"/>
      <c r="M378" s="179"/>
      <c r="N378" s="179"/>
      <c r="O378" s="179"/>
      <c r="P378" s="179"/>
      <c r="Q378" s="179"/>
      <c r="R378" s="179"/>
      <c r="S378" s="179"/>
      <c r="T378" s="179"/>
      <c r="U378" s="179"/>
      <c r="V378" s="179"/>
      <c r="W378" s="179"/>
      <c r="X378" s="179"/>
    </row>
    <row r="379" spans="1:40" ht="19" x14ac:dyDescent="0.25">
      <c r="B379" s="79" t="s">
        <v>267</v>
      </c>
      <c r="C379" s="208"/>
      <c r="D379" s="213"/>
      <c r="E379" s="58" t="s">
        <v>15</v>
      </c>
      <c r="F379" s="24"/>
      <c r="G379" s="18"/>
      <c r="H379" s="150" t="b">
        <f>IF(D380="x",H$2,H$1)</f>
        <v>0</v>
      </c>
      <c r="Y379" s="4"/>
      <c r="Z379" s="4"/>
      <c r="AA379" s="4"/>
      <c r="AB379" s="4"/>
      <c r="AC379" s="4"/>
      <c r="AD379" s="4"/>
      <c r="AE379" s="4"/>
      <c r="AF379" s="4"/>
      <c r="AG379" s="4"/>
      <c r="AH379" s="4"/>
      <c r="AI379" s="4"/>
      <c r="AJ379" s="4"/>
      <c r="AK379" s="4"/>
      <c r="AL379" s="4"/>
      <c r="AM379" s="4"/>
      <c r="AN379" s="4"/>
    </row>
    <row r="380" spans="1:40" ht="19" x14ac:dyDescent="0.25">
      <c r="B380" s="81" t="s">
        <v>267</v>
      </c>
      <c r="C380" s="209"/>
      <c r="D380" s="213"/>
      <c r="E380" s="58" t="s">
        <v>16</v>
      </c>
      <c r="F380" s="20" t="str">
        <f>IF(H381=1,IF(H379=H$2,H379,""),"")</f>
        <v/>
      </c>
      <c r="G380" s="18"/>
      <c r="H380" s="150" t="str">
        <f>IF(E$396="comprobar",COUNTIF(D379:D383,"x"),"")</f>
        <v/>
      </c>
      <c r="Y380" s="4"/>
      <c r="Z380" s="4"/>
      <c r="AA380" s="4"/>
      <c r="AB380" s="4"/>
      <c r="AC380" s="4"/>
      <c r="AD380" s="4"/>
      <c r="AE380" s="4"/>
      <c r="AF380" s="4"/>
      <c r="AG380" s="4"/>
      <c r="AH380" s="4"/>
      <c r="AI380" s="4"/>
      <c r="AJ380" s="4"/>
      <c r="AK380" s="4"/>
      <c r="AL380" s="4"/>
      <c r="AM380" s="4"/>
      <c r="AN380" s="4"/>
    </row>
    <row r="381" spans="1:40" ht="19" x14ac:dyDescent="0.25">
      <c r="B381" s="81" t="s">
        <v>268</v>
      </c>
      <c r="C381" s="209"/>
      <c r="D381" s="213"/>
      <c r="E381" s="58" t="s">
        <v>17</v>
      </c>
      <c r="F381" s="21" t="str">
        <f>IF(H381=-0.33,IF(H379=H$1,H379,""),"")</f>
        <v/>
      </c>
      <c r="G381" s="18"/>
      <c r="H381" s="151">
        <f t="shared" ref="H381" si="36">IF(H380=1,IF(H379=H$2,1,-0.33),0)</f>
        <v>0</v>
      </c>
      <c r="Y381" s="4"/>
      <c r="Z381" s="4"/>
      <c r="AA381" s="4"/>
      <c r="AB381" s="4"/>
      <c r="AC381" s="4"/>
      <c r="AD381" s="4"/>
      <c r="AE381" s="4"/>
      <c r="AF381" s="4"/>
      <c r="AG381" s="4"/>
      <c r="AH381" s="4"/>
      <c r="AI381" s="4"/>
      <c r="AJ381" s="4"/>
      <c r="AK381" s="4"/>
      <c r="AL381" s="4"/>
      <c r="AM381" s="4"/>
      <c r="AN381" s="4"/>
    </row>
    <row r="382" spans="1:40" ht="19" x14ac:dyDescent="0.25">
      <c r="B382" s="81" t="s">
        <v>254</v>
      </c>
      <c r="C382" s="209"/>
      <c r="D382" s="213"/>
      <c r="E382" s="58" t="s">
        <v>18</v>
      </c>
      <c r="F382" s="24"/>
      <c r="G382" s="18"/>
      <c r="H382" s="151"/>
      <c r="Y382" s="4"/>
      <c r="Z382" s="4"/>
      <c r="AA382" s="4"/>
      <c r="AB382" s="4"/>
      <c r="AC382" s="4"/>
      <c r="AD382" s="4"/>
      <c r="AE382" s="4"/>
      <c r="AF382" s="4"/>
      <c r="AG382" s="4"/>
      <c r="AH382" s="4"/>
      <c r="AI382" s="4"/>
      <c r="AJ382" s="4"/>
      <c r="AK382" s="4"/>
      <c r="AL382" s="4"/>
      <c r="AM382" s="4"/>
      <c r="AN382" s="4"/>
    </row>
    <row r="383" spans="1:40" ht="20" thickBot="1" x14ac:dyDescent="0.3">
      <c r="B383" s="81"/>
      <c r="C383" s="83"/>
      <c r="D383" s="215"/>
      <c r="E383" s="216" t="s">
        <v>19</v>
      </c>
      <c r="F383" s="217"/>
      <c r="G383" s="18"/>
      <c r="H383" s="151"/>
      <c r="Y383" s="4"/>
      <c r="Z383" s="4"/>
      <c r="AA383" s="4"/>
      <c r="AB383" s="4"/>
      <c r="AC383" s="4"/>
      <c r="AD383" s="4"/>
      <c r="AE383" s="4"/>
      <c r="AF383" s="4"/>
      <c r="AG383" s="4"/>
      <c r="AH383" s="4"/>
      <c r="AI383" s="4"/>
      <c r="AJ383" s="4"/>
      <c r="AK383" s="4"/>
      <c r="AL383" s="4"/>
      <c r="AM383" s="4"/>
      <c r="AN383" s="4"/>
    </row>
    <row r="384" spans="1:40" s="182" customFormat="1" x14ac:dyDescent="0.2">
      <c r="A384" s="179"/>
      <c r="B384" s="194" t="s">
        <v>249</v>
      </c>
      <c r="C384" s="195"/>
      <c r="D384" s="180"/>
      <c r="E384" s="181"/>
      <c r="F384" s="25"/>
      <c r="G384" s="17"/>
      <c r="H384" s="17"/>
      <c r="I384" s="179"/>
      <c r="J384" s="179"/>
      <c r="K384" s="179"/>
      <c r="L384" s="179"/>
      <c r="M384" s="179"/>
      <c r="N384" s="179"/>
      <c r="O384" s="179"/>
      <c r="P384" s="179"/>
      <c r="Q384" s="179"/>
      <c r="R384" s="179"/>
      <c r="S384" s="179"/>
      <c r="T384" s="179"/>
      <c r="U384" s="179"/>
      <c r="V384" s="179"/>
      <c r="W384" s="179"/>
      <c r="X384" s="179"/>
    </row>
    <row r="385" spans="1:40" ht="19" x14ac:dyDescent="0.25">
      <c r="B385" s="79" t="s">
        <v>269</v>
      </c>
      <c r="C385" s="80"/>
      <c r="D385" s="37"/>
      <c r="E385" s="58" t="s">
        <v>15</v>
      </c>
      <c r="F385" s="24"/>
      <c r="G385" s="18"/>
      <c r="H385" s="150" t="b">
        <f>IF(D387="x",H$2,H$1)</f>
        <v>0</v>
      </c>
      <c r="Y385" s="4"/>
      <c r="Z385" s="4"/>
      <c r="AA385" s="4"/>
      <c r="AB385" s="4"/>
      <c r="AC385" s="4"/>
      <c r="AD385" s="4"/>
      <c r="AE385" s="4"/>
      <c r="AF385" s="4"/>
      <c r="AG385" s="4"/>
      <c r="AH385" s="4"/>
      <c r="AI385" s="4"/>
      <c r="AJ385" s="4"/>
      <c r="AK385" s="4"/>
      <c r="AL385" s="4"/>
      <c r="AM385" s="4"/>
      <c r="AN385" s="4"/>
    </row>
    <row r="386" spans="1:40" ht="19" x14ac:dyDescent="0.25">
      <c r="B386" s="81" t="s">
        <v>270</v>
      </c>
      <c r="C386" s="82"/>
      <c r="D386" s="37"/>
      <c r="E386" s="58" t="s">
        <v>16</v>
      </c>
      <c r="F386" s="20" t="str">
        <f>IF(H387=1,IF(H385=H$2,H385,""),"")</f>
        <v/>
      </c>
      <c r="G386" s="18"/>
      <c r="H386" s="150" t="str">
        <f>IF(E$396="comprobar",COUNTIF(D385:D389,"x"),"")</f>
        <v/>
      </c>
      <c r="Y386" s="4"/>
      <c r="Z386" s="4"/>
      <c r="AA386" s="4"/>
      <c r="AB386" s="4"/>
      <c r="AC386" s="4"/>
      <c r="AD386" s="4"/>
      <c r="AE386" s="4"/>
      <c r="AF386" s="4"/>
      <c r="AG386" s="4"/>
      <c r="AH386" s="4"/>
      <c r="AI386" s="4"/>
      <c r="AJ386" s="4"/>
      <c r="AK386" s="4"/>
      <c r="AL386" s="4"/>
      <c r="AM386" s="4"/>
      <c r="AN386" s="4"/>
    </row>
    <row r="387" spans="1:40" ht="19" x14ac:dyDescent="0.25">
      <c r="B387" s="81" t="s">
        <v>279</v>
      </c>
      <c r="C387" s="82"/>
      <c r="D387" s="37"/>
      <c r="E387" s="58" t="s">
        <v>17</v>
      </c>
      <c r="F387" s="21" t="str">
        <f>IF(H387=-0.33,IF(H385=H$1,H385,""),"")</f>
        <v/>
      </c>
      <c r="G387" s="18"/>
      <c r="H387" s="151">
        <f t="shared" ref="H387" si="37">IF(H386=1,IF(H385=H$2,1,-0.33),0)</f>
        <v>0</v>
      </c>
      <c r="Y387" s="4"/>
      <c r="Z387" s="4"/>
      <c r="AA387" s="4"/>
      <c r="AB387" s="4"/>
      <c r="AC387" s="4"/>
      <c r="AD387" s="4"/>
      <c r="AE387" s="4"/>
      <c r="AF387" s="4"/>
      <c r="AG387" s="4"/>
      <c r="AH387" s="4"/>
      <c r="AI387" s="4"/>
      <c r="AJ387" s="4"/>
      <c r="AK387" s="4"/>
      <c r="AL387" s="4"/>
      <c r="AM387" s="4"/>
      <c r="AN387" s="4"/>
    </row>
    <row r="388" spans="1:40" ht="19" x14ac:dyDescent="0.25">
      <c r="B388" s="81" t="s">
        <v>254</v>
      </c>
      <c r="C388" s="82"/>
      <c r="D388" s="37"/>
      <c r="E388" s="58" t="s">
        <v>18</v>
      </c>
      <c r="F388" s="24"/>
      <c r="G388" s="18"/>
      <c r="H388" s="151"/>
      <c r="Y388" s="4"/>
      <c r="Z388" s="4"/>
      <c r="AA388" s="4"/>
      <c r="AB388" s="4"/>
      <c r="AC388" s="4"/>
      <c r="AD388" s="4"/>
      <c r="AE388" s="4"/>
      <c r="AF388" s="4"/>
      <c r="AG388" s="4"/>
      <c r="AH388" s="4"/>
      <c r="AI388" s="4"/>
      <c r="AJ388" s="4"/>
      <c r="AK388" s="4"/>
      <c r="AL388" s="4"/>
      <c r="AM388" s="4"/>
      <c r="AN388" s="4"/>
    </row>
    <row r="389" spans="1:40" s="33" customFormat="1" ht="19" x14ac:dyDescent="0.25">
      <c r="A389" s="4"/>
      <c r="B389" s="81"/>
      <c r="C389" s="83"/>
      <c r="D389" s="37"/>
      <c r="E389" s="58" t="s">
        <v>251</v>
      </c>
      <c r="F389" s="19"/>
      <c r="G389" s="18"/>
      <c r="H389" s="151"/>
      <c r="I389" s="54"/>
      <c r="J389" s="54"/>
      <c r="K389" s="54"/>
      <c r="L389" s="54"/>
      <c r="M389" s="54"/>
      <c r="N389" s="54"/>
      <c r="O389" s="54"/>
      <c r="P389" s="54"/>
      <c r="Q389" s="54"/>
      <c r="R389" s="54"/>
      <c r="S389" s="54"/>
      <c r="T389" s="54"/>
      <c r="U389" s="54"/>
      <c r="V389" s="54"/>
      <c r="W389" s="54"/>
      <c r="X389" s="54"/>
      <c r="Y389" s="54"/>
      <c r="Z389" s="54"/>
      <c r="AA389" s="54"/>
      <c r="AB389" s="54"/>
      <c r="AC389" s="54"/>
      <c r="AD389" s="54"/>
      <c r="AE389" s="54"/>
      <c r="AF389" s="54"/>
      <c r="AG389" s="54"/>
      <c r="AH389" s="54"/>
      <c r="AI389" s="54"/>
      <c r="AJ389" s="54"/>
      <c r="AK389" s="54"/>
      <c r="AL389" s="54"/>
      <c r="AM389" s="54"/>
      <c r="AN389" s="54"/>
    </row>
    <row r="390" spans="1:40" s="182" customFormat="1" x14ac:dyDescent="0.2">
      <c r="A390" s="179"/>
      <c r="B390" s="194" t="s">
        <v>250</v>
      </c>
      <c r="C390" s="195"/>
      <c r="D390" s="180"/>
      <c r="E390" s="181"/>
      <c r="F390" s="25"/>
      <c r="G390" s="152"/>
      <c r="H390" s="17"/>
      <c r="I390" s="179"/>
      <c r="J390" s="179"/>
      <c r="K390" s="179"/>
      <c r="L390" s="179"/>
      <c r="M390" s="179"/>
      <c r="N390" s="179"/>
      <c r="O390" s="179"/>
      <c r="P390" s="179"/>
      <c r="Q390" s="179"/>
      <c r="R390" s="179"/>
      <c r="S390" s="179"/>
      <c r="T390" s="179"/>
      <c r="U390" s="179"/>
      <c r="V390" s="179"/>
      <c r="W390" s="179"/>
      <c r="X390" s="179"/>
    </row>
    <row r="391" spans="1:40" ht="19" x14ac:dyDescent="0.25">
      <c r="B391" s="79" t="s">
        <v>271</v>
      </c>
      <c r="C391" s="80"/>
      <c r="D391" s="37"/>
      <c r="E391" s="58" t="s">
        <v>15</v>
      </c>
      <c r="F391" s="24"/>
      <c r="G391" s="152"/>
      <c r="H391" s="150" t="b">
        <f>IF(D394="x",H$2,H$1)</f>
        <v>0</v>
      </c>
      <c r="Y391" s="4"/>
      <c r="Z391" s="4"/>
      <c r="AA391" s="4"/>
      <c r="AB391" s="4"/>
      <c r="AC391" s="4"/>
      <c r="AD391" s="4"/>
      <c r="AE391" s="4"/>
      <c r="AF391" s="4"/>
      <c r="AG391" s="4"/>
      <c r="AH391" s="4"/>
      <c r="AI391" s="4"/>
      <c r="AJ391" s="4"/>
      <c r="AK391" s="4"/>
      <c r="AL391" s="4"/>
      <c r="AM391" s="4"/>
      <c r="AN391" s="4"/>
    </row>
    <row r="392" spans="1:40" ht="19" x14ac:dyDescent="0.25">
      <c r="B392" s="81" t="s">
        <v>272</v>
      </c>
      <c r="C392" s="82"/>
      <c r="D392" s="37"/>
      <c r="E392" s="58" t="s">
        <v>16</v>
      </c>
      <c r="F392" s="20" t="str">
        <f>IF(H393=1,IF(H391=H$2,H391,""),"")</f>
        <v/>
      </c>
      <c r="G392" s="152"/>
      <c r="H392" s="150" t="str">
        <f>IF(E$396="comprobar",COUNTIF(D391:D395,"x"),"")</f>
        <v/>
      </c>
      <c r="Y392" s="4"/>
      <c r="Z392" s="4"/>
      <c r="AA392" s="4"/>
      <c r="AB392" s="4"/>
      <c r="AC392" s="4"/>
      <c r="AD392" s="4"/>
      <c r="AE392" s="4"/>
      <c r="AF392" s="4"/>
      <c r="AG392" s="4"/>
      <c r="AH392" s="4"/>
      <c r="AI392" s="4"/>
      <c r="AJ392" s="4"/>
      <c r="AK392" s="4"/>
      <c r="AL392" s="4"/>
      <c r="AM392" s="4"/>
      <c r="AN392" s="4"/>
    </row>
    <row r="393" spans="1:40" ht="19" x14ac:dyDescent="0.25">
      <c r="B393" s="81" t="s">
        <v>273</v>
      </c>
      <c r="C393" s="82"/>
      <c r="D393" s="37"/>
      <c r="E393" s="58" t="s">
        <v>17</v>
      </c>
      <c r="F393" s="21" t="str">
        <f>IF(H393=-0.33,IF(H391=H$1,H391,""),"")</f>
        <v/>
      </c>
      <c r="G393" s="152"/>
      <c r="H393" s="151">
        <f t="shared" ref="H393" si="38">IF(H392=1,IF(H391=H$2,1,-0.33),0)</f>
        <v>0</v>
      </c>
      <c r="Y393" s="4"/>
      <c r="Z393" s="4"/>
      <c r="AA393" s="4"/>
      <c r="AB393" s="4"/>
      <c r="AC393" s="4"/>
      <c r="AD393" s="4"/>
      <c r="AE393" s="4"/>
      <c r="AF393" s="4"/>
      <c r="AG393" s="4"/>
      <c r="AH393" s="4"/>
      <c r="AI393" s="4"/>
      <c r="AJ393" s="4"/>
      <c r="AK393" s="4"/>
      <c r="AL393" s="4"/>
      <c r="AM393" s="4"/>
      <c r="AN393" s="4"/>
    </row>
    <row r="394" spans="1:40" ht="19" x14ac:dyDescent="0.25">
      <c r="B394" s="81" t="s">
        <v>280</v>
      </c>
      <c r="C394" s="82"/>
      <c r="D394" s="37"/>
      <c r="E394" s="58" t="s">
        <v>18</v>
      </c>
      <c r="F394" s="24"/>
      <c r="G394" s="152"/>
      <c r="H394" s="151"/>
      <c r="Y394" s="4"/>
      <c r="Z394" s="4"/>
      <c r="AA394" s="4"/>
      <c r="AB394" s="4"/>
      <c r="AC394" s="4"/>
      <c r="AD394" s="4"/>
      <c r="AE394" s="4"/>
      <c r="AF394" s="4"/>
      <c r="AG394" s="4"/>
      <c r="AH394" s="4"/>
      <c r="AI394" s="4"/>
      <c r="AJ394" s="4"/>
      <c r="AK394" s="4"/>
      <c r="AL394" s="4"/>
      <c r="AM394" s="4"/>
      <c r="AN394" s="4"/>
    </row>
    <row r="395" spans="1:40" ht="19" x14ac:dyDescent="0.25">
      <c r="B395" s="81"/>
      <c r="C395" s="83"/>
      <c r="D395" s="37"/>
      <c r="E395" s="58" t="s">
        <v>19</v>
      </c>
      <c r="F395" s="19"/>
      <c r="G395" s="152"/>
      <c r="H395" s="151"/>
      <c r="Y395" s="4"/>
      <c r="Z395" s="4"/>
      <c r="AA395" s="4"/>
      <c r="AB395" s="4"/>
      <c r="AC395" s="4"/>
      <c r="AD395" s="4"/>
      <c r="AE395" s="4"/>
      <c r="AF395" s="4"/>
      <c r="AG395" s="4"/>
      <c r="AH395" s="4"/>
      <c r="AI395" s="4"/>
      <c r="AJ395" s="4"/>
      <c r="AK395" s="4"/>
      <c r="AL395" s="4"/>
      <c r="AM395" s="4"/>
      <c r="AN395" s="4"/>
    </row>
    <row r="396" spans="1:40" x14ac:dyDescent="0.2">
      <c r="B396" s="44"/>
      <c r="C396" s="40"/>
      <c r="D396" s="53"/>
      <c r="E396" s="59"/>
      <c r="F396" s="19"/>
      <c r="G396" s="18"/>
      <c r="H396" s="18"/>
      <c r="Y396" s="4"/>
      <c r="Z396" s="4"/>
      <c r="AA396" s="4"/>
      <c r="AB396" s="4"/>
      <c r="AC396" s="4"/>
      <c r="AD396" s="4"/>
      <c r="AE396" s="4"/>
      <c r="AF396" s="4"/>
      <c r="AG396" s="4"/>
      <c r="AH396" s="4"/>
      <c r="AI396" s="4"/>
      <c r="AJ396" s="4"/>
      <c r="AK396" s="4"/>
      <c r="AL396" s="4"/>
      <c r="AM396" s="4"/>
      <c r="AN396" s="4"/>
    </row>
    <row r="397" spans="1:40" x14ac:dyDescent="0.2">
      <c r="B397" s="44"/>
      <c r="C397" s="17"/>
      <c r="D397" s="53"/>
      <c r="E397" s="62"/>
      <c r="F397" s="26" t="s">
        <v>8</v>
      </c>
      <c r="G397" s="18" t="s">
        <v>6</v>
      </c>
      <c r="H397" s="18" t="s">
        <v>7</v>
      </c>
      <c r="Y397" s="4"/>
      <c r="Z397" s="4"/>
      <c r="AA397" s="4"/>
      <c r="AB397" s="4"/>
      <c r="AC397" s="4"/>
      <c r="AD397" s="4"/>
      <c r="AE397" s="4"/>
      <c r="AF397" s="4"/>
      <c r="AG397" s="4"/>
      <c r="AH397" s="4"/>
      <c r="AI397" s="4"/>
      <c r="AJ397" s="4"/>
      <c r="AK397" s="4"/>
      <c r="AL397" s="4"/>
      <c r="AM397" s="4"/>
      <c r="AN397" s="4"/>
    </row>
    <row r="398" spans="1:40" ht="20" x14ac:dyDescent="0.2">
      <c r="B398" s="44"/>
      <c r="C398" s="17"/>
      <c r="D398" s="52"/>
      <c r="E398" s="56"/>
      <c r="F398" s="27" t="str">
        <f>IF(E396="comprobar",H393+H387+H381+H375+H369+H363+H357+H351+H345+H339,"")</f>
        <v/>
      </c>
      <c r="G398" s="18">
        <f>8/2</f>
        <v>4</v>
      </c>
      <c r="H398" s="18"/>
      <c r="Y398" s="4"/>
      <c r="Z398" s="4"/>
      <c r="AA398" s="4"/>
      <c r="AB398" s="4"/>
      <c r="AC398" s="4"/>
      <c r="AD398" s="4"/>
      <c r="AE398" s="4"/>
      <c r="AF398" s="4"/>
      <c r="AG398" s="4"/>
      <c r="AH398" s="4"/>
      <c r="AI398" s="4"/>
      <c r="AJ398" s="4"/>
      <c r="AK398" s="4"/>
      <c r="AL398" s="4"/>
      <c r="AM398" s="4"/>
      <c r="AN398" s="4"/>
    </row>
    <row r="399" spans="1:40" ht="17" thickBot="1" x14ac:dyDescent="0.25">
      <c r="B399" s="45"/>
      <c r="C399" s="28"/>
      <c r="D399" s="29"/>
      <c r="E399" s="60"/>
      <c r="F399" s="30" t="str">
        <f>IF(F398&gt;G398,G397,H397)</f>
        <v>APROBADO</v>
      </c>
      <c r="G399" s="18"/>
      <c r="H399" s="18"/>
      <c r="Y399" s="4"/>
      <c r="Z399" s="4"/>
      <c r="AA399" s="4"/>
      <c r="AB399" s="4"/>
      <c r="AC399" s="4"/>
      <c r="AD399" s="4"/>
      <c r="AE399" s="4"/>
      <c r="AF399" s="4"/>
      <c r="AG399" s="4"/>
      <c r="AH399" s="4"/>
      <c r="AI399" s="4"/>
      <c r="AJ399" s="4"/>
      <c r="AK399" s="4"/>
      <c r="AL399" s="4"/>
      <c r="AM399" s="4"/>
      <c r="AN399" s="4"/>
    </row>
    <row r="400" spans="1:40" ht="29" x14ac:dyDescent="0.35">
      <c r="B400" s="176" t="s">
        <v>21</v>
      </c>
      <c r="C400" s="118" t="s">
        <v>14</v>
      </c>
      <c r="D400" s="66"/>
      <c r="E400" s="66"/>
      <c r="F400" s="67"/>
      <c r="Y400" s="4"/>
      <c r="Z400" s="4"/>
      <c r="AA400" s="4"/>
      <c r="AB400" s="4"/>
      <c r="AC400" s="4"/>
      <c r="AD400" s="4"/>
      <c r="AE400" s="4"/>
      <c r="AF400" s="4"/>
      <c r="AG400" s="4"/>
      <c r="AH400" s="4"/>
      <c r="AI400" s="4"/>
      <c r="AJ400" s="4"/>
      <c r="AK400" s="4"/>
      <c r="AL400" s="4"/>
      <c r="AM400" s="4"/>
      <c r="AN400" s="4"/>
    </row>
    <row r="401" spans="1:40" s="182" customFormat="1" x14ac:dyDescent="0.2">
      <c r="A401" s="179"/>
      <c r="B401" s="194" t="s">
        <v>281</v>
      </c>
      <c r="C401" s="195"/>
      <c r="D401" s="180"/>
      <c r="E401" s="181"/>
      <c r="F401" s="25"/>
      <c r="G401" s="17"/>
      <c r="H401" s="17"/>
      <c r="I401" s="179"/>
      <c r="J401" s="179"/>
      <c r="K401" s="179"/>
      <c r="L401" s="179"/>
      <c r="M401" s="179"/>
      <c r="N401" s="179"/>
      <c r="O401" s="179"/>
      <c r="P401" s="179"/>
      <c r="Q401" s="179"/>
      <c r="R401" s="179"/>
      <c r="S401" s="179"/>
      <c r="T401" s="179"/>
      <c r="U401" s="179"/>
      <c r="V401" s="179"/>
      <c r="W401" s="179"/>
      <c r="X401" s="179"/>
    </row>
    <row r="402" spans="1:40" ht="19" x14ac:dyDescent="0.25">
      <c r="B402" s="79" t="s">
        <v>297</v>
      </c>
      <c r="C402" s="80"/>
      <c r="D402" s="37"/>
      <c r="E402" s="58" t="s">
        <v>15</v>
      </c>
      <c r="F402" s="24"/>
      <c r="G402" s="18"/>
      <c r="H402" s="150" t="b">
        <f>IF(D402="x",H$2,H$1)</f>
        <v>0</v>
      </c>
      <c r="Y402" s="4"/>
      <c r="Z402" s="4"/>
      <c r="AA402" s="4"/>
      <c r="AB402" s="4"/>
      <c r="AC402" s="4"/>
      <c r="AD402" s="4"/>
      <c r="AE402" s="4"/>
      <c r="AF402" s="4"/>
      <c r="AG402" s="4"/>
      <c r="AH402" s="4"/>
      <c r="AI402" s="4"/>
      <c r="AJ402" s="4"/>
      <c r="AK402" s="4"/>
      <c r="AL402" s="4"/>
      <c r="AM402" s="4"/>
      <c r="AN402" s="4"/>
    </row>
    <row r="403" spans="1:40" ht="19" x14ac:dyDescent="0.25">
      <c r="B403" s="81" t="s">
        <v>288</v>
      </c>
      <c r="C403" s="82"/>
      <c r="D403" s="37"/>
      <c r="E403" s="58" t="s">
        <v>16</v>
      </c>
      <c r="F403" s="20" t="str">
        <f>IF(H404=1,IF(H402=H$2,H402,""),"")</f>
        <v/>
      </c>
      <c r="G403" s="18"/>
      <c r="H403" s="150" t="str">
        <f>IF(E$433="comprobar",COUNTIF(D402:D406,"x"),"")</f>
        <v/>
      </c>
      <c r="Y403" s="4"/>
      <c r="Z403" s="4"/>
      <c r="AA403" s="4"/>
      <c r="AB403" s="4"/>
      <c r="AC403" s="4"/>
      <c r="AD403" s="4"/>
      <c r="AE403" s="4"/>
      <c r="AF403" s="4"/>
      <c r="AG403" s="4"/>
      <c r="AH403" s="4"/>
      <c r="AI403" s="4"/>
      <c r="AJ403" s="4"/>
      <c r="AK403" s="4"/>
      <c r="AL403" s="4"/>
      <c r="AM403" s="4"/>
      <c r="AN403" s="4"/>
    </row>
    <row r="404" spans="1:40" ht="19" x14ac:dyDescent="0.25">
      <c r="B404" s="81" t="s">
        <v>289</v>
      </c>
      <c r="C404" s="82"/>
      <c r="D404" s="37"/>
      <c r="E404" s="58" t="s">
        <v>17</v>
      </c>
      <c r="F404" s="21" t="str">
        <f>IF(H404=-0.33,IF(H402=H$1,H402,""),"")</f>
        <v/>
      </c>
      <c r="G404" s="18"/>
      <c r="H404" s="151">
        <f>IF(H403=1,IF(H402=H$2,1,-0.33),0)</f>
        <v>0</v>
      </c>
      <c r="Y404" s="4"/>
      <c r="Z404" s="4"/>
      <c r="AA404" s="4"/>
      <c r="AB404" s="4"/>
      <c r="AC404" s="4"/>
      <c r="AD404" s="4"/>
      <c r="AE404" s="4"/>
      <c r="AF404" s="4"/>
      <c r="AG404" s="4"/>
      <c r="AH404" s="4"/>
      <c r="AI404" s="4"/>
      <c r="AJ404" s="4"/>
      <c r="AK404" s="4"/>
      <c r="AL404" s="4"/>
      <c r="AM404" s="4"/>
      <c r="AN404" s="4"/>
    </row>
    <row r="405" spans="1:40" ht="19" x14ac:dyDescent="0.25">
      <c r="B405" s="81" t="s">
        <v>290</v>
      </c>
      <c r="C405" s="82"/>
      <c r="D405" s="37"/>
      <c r="E405" s="58" t="s">
        <v>18</v>
      </c>
      <c r="F405" s="24"/>
      <c r="G405" s="18"/>
      <c r="H405" s="151"/>
      <c r="Y405" s="4"/>
      <c r="Z405" s="4"/>
      <c r="AA405" s="4"/>
      <c r="AB405" s="4"/>
      <c r="AC405" s="4"/>
      <c r="AD405" s="4"/>
      <c r="AE405" s="4"/>
      <c r="AF405" s="4"/>
      <c r="AG405" s="4"/>
      <c r="AH405" s="4"/>
      <c r="AI405" s="4"/>
      <c r="AJ405" s="4"/>
      <c r="AK405" s="4"/>
      <c r="AL405" s="4"/>
      <c r="AM405" s="4"/>
      <c r="AN405" s="4"/>
    </row>
    <row r="406" spans="1:40" ht="19" x14ac:dyDescent="0.25">
      <c r="B406" s="81"/>
      <c r="C406" s="83"/>
      <c r="D406" s="37"/>
      <c r="E406" s="58" t="s">
        <v>19</v>
      </c>
      <c r="F406" s="19"/>
      <c r="G406" s="18"/>
      <c r="H406" s="151"/>
      <c r="Y406" s="4"/>
      <c r="Z406" s="4"/>
      <c r="AA406" s="4"/>
      <c r="AB406" s="4"/>
      <c r="AC406" s="4"/>
      <c r="AD406" s="4"/>
      <c r="AE406" s="4"/>
      <c r="AF406" s="4"/>
      <c r="AG406" s="4"/>
      <c r="AH406" s="4"/>
      <c r="AI406" s="4"/>
      <c r="AJ406" s="4"/>
      <c r="AK406" s="4"/>
      <c r="AL406" s="4"/>
      <c r="AM406" s="4"/>
      <c r="AN406" s="4"/>
    </row>
    <row r="407" spans="1:40" s="182" customFormat="1" x14ac:dyDescent="0.2">
      <c r="A407" s="179"/>
      <c r="B407" s="194" t="s">
        <v>282</v>
      </c>
      <c r="C407" s="195"/>
      <c r="D407" s="180"/>
      <c r="E407" s="181"/>
      <c r="F407" s="25"/>
      <c r="G407" s="17"/>
      <c r="H407" s="17"/>
      <c r="I407" s="179"/>
      <c r="J407" s="179"/>
      <c r="K407" s="179"/>
      <c r="L407" s="179"/>
      <c r="M407" s="179"/>
      <c r="N407" s="179"/>
      <c r="O407" s="179"/>
      <c r="P407" s="179"/>
      <c r="Q407" s="179"/>
      <c r="R407" s="179"/>
      <c r="S407" s="179"/>
      <c r="T407" s="179"/>
      <c r="U407" s="179"/>
      <c r="V407" s="179"/>
      <c r="W407" s="179"/>
      <c r="X407" s="179"/>
    </row>
    <row r="408" spans="1:40" ht="19" x14ac:dyDescent="0.25">
      <c r="B408" s="79" t="s">
        <v>291</v>
      </c>
      <c r="C408" s="80"/>
      <c r="D408" s="37"/>
      <c r="E408" s="58" t="s">
        <v>15</v>
      </c>
      <c r="F408" s="24"/>
      <c r="G408" s="18"/>
      <c r="H408" s="150" t="b">
        <f>IF(D410="x",H$2,H$1)</f>
        <v>0</v>
      </c>
      <c r="Y408" s="4"/>
      <c r="Z408" s="4"/>
      <c r="AA408" s="4"/>
      <c r="AB408" s="4"/>
      <c r="AC408" s="4"/>
      <c r="AD408" s="4"/>
      <c r="AE408" s="4"/>
      <c r="AF408" s="4"/>
      <c r="AG408" s="4"/>
      <c r="AH408" s="4"/>
      <c r="AI408" s="4"/>
      <c r="AJ408" s="4"/>
      <c r="AK408" s="4"/>
      <c r="AL408" s="4"/>
      <c r="AM408" s="4"/>
      <c r="AN408" s="4"/>
    </row>
    <row r="409" spans="1:40" ht="19" x14ac:dyDescent="0.25">
      <c r="B409" s="81" t="s">
        <v>292</v>
      </c>
      <c r="C409" s="82"/>
      <c r="D409" s="37"/>
      <c r="E409" s="58" t="s">
        <v>16</v>
      </c>
      <c r="F409" s="20" t="str">
        <f>IF(H410=1,IF(H408=H$2,H408,""),"")</f>
        <v/>
      </c>
      <c r="G409" s="18"/>
      <c r="H409" s="150" t="str">
        <f>IF(E$433="comprobar",COUNTIF(D408:D412,"x"),"")</f>
        <v/>
      </c>
      <c r="Y409" s="4"/>
      <c r="Z409" s="4"/>
      <c r="AA409" s="4"/>
      <c r="AB409" s="4"/>
      <c r="AC409" s="4"/>
      <c r="AD409" s="4"/>
      <c r="AE409" s="4"/>
      <c r="AF409" s="4"/>
      <c r="AG409" s="4"/>
      <c r="AH409" s="4"/>
      <c r="AI409" s="4"/>
      <c r="AJ409" s="4"/>
      <c r="AK409" s="4"/>
      <c r="AL409" s="4"/>
      <c r="AM409" s="4"/>
      <c r="AN409" s="4"/>
    </row>
    <row r="410" spans="1:40" ht="19" x14ac:dyDescent="0.25">
      <c r="B410" s="81" t="s">
        <v>298</v>
      </c>
      <c r="C410" s="82"/>
      <c r="D410" s="37"/>
      <c r="E410" s="58" t="s">
        <v>17</v>
      </c>
      <c r="F410" s="21" t="str">
        <f>IF(H410=-0.33,IF(H408=H$1,H408,""),"")</f>
        <v/>
      </c>
      <c r="G410" s="18"/>
      <c r="H410" s="151">
        <f t="shared" ref="H410" si="39">IF(H409=1,IF(H408=H$2,1,-0.33),0)</f>
        <v>0</v>
      </c>
      <c r="Y410" s="4"/>
      <c r="Z410" s="4"/>
      <c r="AA410" s="4"/>
      <c r="AB410" s="4"/>
      <c r="AC410" s="4"/>
      <c r="AD410" s="4"/>
      <c r="AE410" s="4"/>
      <c r="AF410" s="4"/>
      <c r="AG410" s="4"/>
      <c r="AH410" s="4"/>
      <c r="AI410" s="4"/>
      <c r="AJ410" s="4"/>
      <c r="AK410" s="4"/>
      <c r="AL410" s="4"/>
      <c r="AM410" s="4"/>
      <c r="AN410" s="4"/>
    </row>
    <row r="411" spans="1:40" ht="19" x14ac:dyDescent="0.25">
      <c r="B411" s="81"/>
      <c r="C411" s="82"/>
      <c r="D411" s="37"/>
      <c r="E411" s="58" t="s">
        <v>18</v>
      </c>
      <c r="F411" s="24"/>
      <c r="G411" s="18"/>
      <c r="H411" s="151"/>
      <c r="Y411" s="4"/>
      <c r="Z411" s="4"/>
      <c r="AA411" s="4"/>
      <c r="AB411" s="4"/>
      <c r="AC411" s="4"/>
      <c r="AD411" s="4"/>
      <c r="AE411" s="4"/>
      <c r="AF411" s="4"/>
      <c r="AG411" s="4"/>
      <c r="AH411" s="4"/>
      <c r="AI411" s="4"/>
      <c r="AJ411" s="4"/>
      <c r="AK411" s="4"/>
      <c r="AL411" s="4"/>
      <c r="AM411" s="4"/>
      <c r="AN411" s="4"/>
    </row>
    <row r="412" spans="1:40" ht="19" x14ac:dyDescent="0.25">
      <c r="B412" s="81"/>
      <c r="C412" s="83"/>
      <c r="D412" s="37"/>
      <c r="E412" s="58" t="s">
        <v>19</v>
      </c>
      <c r="F412" s="19"/>
      <c r="G412" s="18"/>
      <c r="H412" s="151"/>
      <c r="Y412" s="4"/>
      <c r="Z412" s="4"/>
      <c r="AA412" s="4"/>
      <c r="AB412" s="4"/>
      <c r="AC412" s="4"/>
      <c r="AD412" s="4"/>
      <c r="AE412" s="4"/>
      <c r="AF412" s="4"/>
      <c r="AG412" s="4"/>
      <c r="AH412" s="4"/>
      <c r="AI412" s="4"/>
      <c r="AJ412" s="4"/>
      <c r="AK412" s="4"/>
      <c r="AL412" s="4"/>
      <c r="AM412" s="4"/>
      <c r="AN412" s="4"/>
    </row>
    <row r="413" spans="1:40" s="182" customFormat="1" x14ac:dyDescent="0.2">
      <c r="A413" s="179"/>
      <c r="B413" s="194" t="s">
        <v>283</v>
      </c>
      <c r="C413" s="195"/>
      <c r="D413" s="180"/>
      <c r="E413" s="181"/>
      <c r="F413" s="25"/>
      <c r="G413" s="17"/>
      <c r="H413" s="17"/>
      <c r="I413" s="179"/>
      <c r="J413" s="179"/>
      <c r="K413" s="179"/>
      <c r="L413" s="179"/>
      <c r="M413" s="179"/>
      <c r="N413" s="179"/>
      <c r="O413" s="179"/>
      <c r="P413" s="179"/>
      <c r="Q413" s="179"/>
      <c r="R413" s="179"/>
      <c r="S413" s="179"/>
      <c r="T413" s="179"/>
      <c r="U413" s="179"/>
      <c r="V413" s="179"/>
      <c r="W413" s="179"/>
      <c r="X413" s="179"/>
    </row>
    <row r="414" spans="1:40" ht="19" x14ac:dyDescent="0.25">
      <c r="B414" s="79" t="s">
        <v>293</v>
      </c>
      <c r="C414" s="80"/>
      <c r="D414" s="37"/>
      <c r="E414" s="58" t="s">
        <v>15</v>
      </c>
      <c r="F414" s="24"/>
      <c r="G414" s="18"/>
      <c r="H414" s="150" t="b">
        <f>IF(D416="x",H$2,H$1)</f>
        <v>0</v>
      </c>
      <c r="Y414" s="4"/>
      <c r="Z414" s="4"/>
      <c r="AA414" s="4"/>
      <c r="AB414" s="4"/>
      <c r="AC414" s="4"/>
      <c r="AD414" s="4"/>
      <c r="AE414" s="4"/>
      <c r="AF414" s="4"/>
      <c r="AG414" s="4"/>
      <c r="AH414" s="4"/>
      <c r="AI414" s="4"/>
      <c r="AJ414" s="4"/>
      <c r="AK414" s="4"/>
      <c r="AL414" s="4"/>
      <c r="AM414" s="4"/>
      <c r="AN414" s="4"/>
    </row>
    <row r="415" spans="1:40" ht="19" x14ac:dyDescent="0.25">
      <c r="B415" s="81" t="s">
        <v>294</v>
      </c>
      <c r="C415" s="82"/>
      <c r="D415" s="37"/>
      <c r="E415" s="58" t="s">
        <v>16</v>
      </c>
      <c r="F415" s="20" t="str">
        <f>IF(H416=1,IF(H414=H$2,H414,""),"")</f>
        <v/>
      </c>
      <c r="G415" s="18"/>
      <c r="H415" s="150" t="str">
        <f>IF(E$433="comprobar",COUNTIF(D414:D418,"x"),"")</f>
        <v/>
      </c>
      <c r="Y415" s="4"/>
      <c r="Z415" s="4"/>
      <c r="AA415" s="4"/>
      <c r="AB415" s="4"/>
      <c r="AC415" s="4"/>
      <c r="AD415" s="4"/>
      <c r="AE415" s="4"/>
      <c r="AF415" s="4"/>
      <c r="AG415" s="4"/>
      <c r="AH415" s="4"/>
      <c r="AI415" s="4"/>
      <c r="AJ415" s="4"/>
      <c r="AK415" s="4"/>
      <c r="AL415" s="4"/>
      <c r="AM415" s="4"/>
      <c r="AN415" s="4"/>
    </row>
    <row r="416" spans="1:40" ht="19" x14ac:dyDescent="0.25">
      <c r="B416" s="81" t="s">
        <v>299</v>
      </c>
      <c r="C416" s="82"/>
      <c r="D416" s="37"/>
      <c r="E416" s="58" t="s">
        <v>17</v>
      </c>
      <c r="F416" s="21" t="str">
        <f>IF(H416=-0.33,IF(H414=H$1,H414,""),"")</f>
        <v/>
      </c>
      <c r="G416" s="18"/>
      <c r="H416" s="151">
        <f t="shared" ref="H416" si="40">IF(H415=1,IF(H414=H$2,1,-0.33),0)</f>
        <v>0</v>
      </c>
      <c r="Y416" s="4"/>
      <c r="Z416" s="4"/>
      <c r="AA416" s="4"/>
      <c r="AB416" s="4"/>
      <c r="AC416" s="4"/>
      <c r="AD416" s="4"/>
      <c r="AE416" s="4"/>
      <c r="AF416" s="4"/>
      <c r="AG416" s="4"/>
      <c r="AH416" s="4"/>
      <c r="AI416" s="4"/>
      <c r="AJ416" s="4"/>
      <c r="AK416" s="4"/>
      <c r="AL416" s="4"/>
      <c r="AM416" s="4"/>
      <c r="AN416" s="4"/>
    </row>
    <row r="417" spans="1:40" ht="19" x14ac:dyDescent="0.25">
      <c r="B417" s="81" t="s">
        <v>290</v>
      </c>
      <c r="C417" s="82"/>
      <c r="D417" s="37"/>
      <c r="E417" s="58" t="s">
        <v>18</v>
      </c>
      <c r="F417" s="24"/>
      <c r="G417" s="18"/>
      <c r="H417" s="151"/>
      <c r="Y417" s="4"/>
      <c r="Z417" s="4"/>
      <c r="AA417" s="4"/>
      <c r="AB417" s="4"/>
      <c r="AC417" s="4"/>
      <c r="AD417" s="4"/>
      <c r="AE417" s="4"/>
      <c r="AF417" s="4"/>
      <c r="AG417" s="4"/>
      <c r="AH417" s="4"/>
      <c r="AI417" s="4"/>
      <c r="AJ417" s="4"/>
      <c r="AK417" s="4"/>
      <c r="AL417" s="4"/>
      <c r="AM417" s="4"/>
      <c r="AN417" s="4"/>
    </row>
    <row r="418" spans="1:40" ht="19" x14ac:dyDescent="0.25">
      <c r="B418" s="81"/>
      <c r="C418" s="83"/>
      <c r="D418" s="37"/>
      <c r="E418" s="58" t="s">
        <v>19</v>
      </c>
      <c r="F418" s="19"/>
      <c r="G418" s="18"/>
      <c r="H418" s="151"/>
      <c r="Y418" s="4"/>
      <c r="Z418" s="4"/>
      <c r="AA418" s="4"/>
      <c r="AB418" s="4"/>
      <c r="AC418" s="4"/>
      <c r="AD418" s="4"/>
      <c r="AE418" s="4"/>
      <c r="AF418" s="4"/>
      <c r="AG418" s="4"/>
      <c r="AH418" s="4"/>
      <c r="AI418" s="4"/>
      <c r="AJ418" s="4"/>
      <c r="AK418" s="4"/>
      <c r="AL418" s="4"/>
      <c r="AM418" s="4"/>
      <c r="AN418" s="4"/>
    </row>
    <row r="419" spans="1:40" s="182" customFormat="1" x14ac:dyDescent="0.2">
      <c r="A419" s="179"/>
      <c r="B419" s="194" t="s">
        <v>284</v>
      </c>
      <c r="C419" s="195"/>
      <c r="D419" s="180"/>
      <c r="E419" s="181"/>
      <c r="F419" s="25"/>
      <c r="G419" s="17"/>
      <c r="H419" s="17"/>
      <c r="I419" s="179"/>
      <c r="J419" s="179"/>
      <c r="K419" s="179"/>
      <c r="L419" s="179"/>
      <c r="M419" s="179"/>
      <c r="N419" s="179"/>
      <c r="O419" s="179"/>
      <c r="P419" s="179"/>
      <c r="Q419" s="179"/>
      <c r="R419" s="179"/>
      <c r="S419" s="179"/>
      <c r="T419" s="179"/>
      <c r="U419" s="179"/>
      <c r="V419" s="179"/>
      <c r="W419" s="179"/>
      <c r="X419" s="179"/>
    </row>
    <row r="420" spans="1:40" ht="19" x14ac:dyDescent="0.25">
      <c r="B420" s="79" t="s">
        <v>295</v>
      </c>
      <c r="C420" s="80"/>
      <c r="D420" s="37"/>
      <c r="E420" s="58" t="s">
        <v>15</v>
      </c>
      <c r="F420" s="24"/>
      <c r="G420" s="18"/>
      <c r="H420" s="150" t="b">
        <f>IF(D421="x",H$2,H$1)</f>
        <v>0</v>
      </c>
      <c r="Y420" s="4"/>
      <c r="Z420" s="4"/>
      <c r="AA420" s="4"/>
      <c r="AB420" s="4"/>
      <c r="AC420" s="4"/>
      <c r="AD420" s="4"/>
      <c r="AE420" s="4"/>
      <c r="AF420" s="4"/>
      <c r="AG420" s="4"/>
      <c r="AH420" s="4"/>
      <c r="AI420" s="4"/>
      <c r="AJ420" s="4"/>
      <c r="AK420" s="4"/>
      <c r="AL420" s="4"/>
      <c r="AM420" s="4"/>
      <c r="AN420" s="4"/>
    </row>
    <row r="421" spans="1:40" ht="19" x14ac:dyDescent="0.25">
      <c r="B421" s="81" t="s">
        <v>300</v>
      </c>
      <c r="C421" s="82"/>
      <c r="D421" s="37"/>
      <c r="E421" s="58" t="s">
        <v>16</v>
      </c>
      <c r="F421" s="20" t="str">
        <f>IF(H422=1,IF(H420=H$2,H420,""),"")</f>
        <v/>
      </c>
      <c r="G421" s="18"/>
      <c r="H421" s="150" t="str">
        <f>IF(E$433="comprobar",COUNTIF(D420:D424,"x"),"")</f>
        <v/>
      </c>
      <c r="Y421" s="4"/>
      <c r="Z421" s="4"/>
      <c r="AA421" s="4"/>
      <c r="AB421" s="4"/>
      <c r="AC421" s="4"/>
      <c r="AD421" s="4"/>
      <c r="AE421" s="4"/>
      <c r="AF421" s="4"/>
      <c r="AG421" s="4"/>
      <c r="AH421" s="4"/>
      <c r="AI421" s="4"/>
      <c r="AJ421" s="4"/>
      <c r="AK421" s="4"/>
      <c r="AL421" s="4"/>
      <c r="AM421" s="4"/>
      <c r="AN421" s="4"/>
    </row>
    <row r="422" spans="1:40" ht="19" x14ac:dyDescent="0.25">
      <c r="B422" s="81" t="s">
        <v>296</v>
      </c>
      <c r="C422" s="82"/>
      <c r="D422" s="37"/>
      <c r="E422" s="58" t="s">
        <v>17</v>
      </c>
      <c r="F422" s="21" t="str">
        <f>IF(H422=-0.33,IF(H420=H$1,H420,""),"")</f>
        <v/>
      </c>
      <c r="G422" s="18"/>
      <c r="H422" s="151">
        <f t="shared" ref="H422" si="41">IF(H421=1,IF(H420=H$2,1,-0.33),0)</f>
        <v>0</v>
      </c>
      <c r="Y422" s="4"/>
      <c r="Z422" s="4"/>
      <c r="AA422" s="4"/>
      <c r="AB422" s="4"/>
      <c r="AC422" s="4"/>
      <c r="AD422" s="4"/>
      <c r="AE422" s="4"/>
      <c r="AF422" s="4"/>
      <c r="AG422" s="4"/>
      <c r="AH422" s="4"/>
      <c r="AI422" s="4"/>
      <c r="AJ422" s="4"/>
      <c r="AK422" s="4"/>
      <c r="AL422" s="4"/>
      <c r="AM422" s="4"/>
      <c r="AN422" s="4"/>
    </row>
    <row r="423" spans="1:40" ht="19" x14ac:dyDescent="0.25">
      <c r="B423" s="81" t="s">
        <v>290</v>
      </c>
      <c r="C423" s="82"/>
      <c r="D423" s="37"/>
      <c r="E423" s="58" t="s">
        <v>18</v>
      </c>
      <c r="F423" s="24"/>
      <c r="G423" s="18"/>
      <c r="H423" s="151"/>
      <c r="Y423" s="4"/>
      <c r="Z423" s="4"/>
      <c r="AA423" s="4"/>
      <c r="AB423" s="4"/>
      <c r="AC423" s="4"/>
      <c r="AD423" s="4"/>
      <c r="AE423" s="4"/>
      <c r="AF423" s="4"/>
      <c r="AG423" s="4"/>
      <c r="AH423" s="4"/>
      <c r="AI423" s="4"/>
      <c r="AJ423" s="4"/>
      <c r="AK423" s="4"/>
      <c r="AL423" s="4"/>
      <c r="AM423" s="4"/>
      <c r="AN423" s="4"/>
    </row>
    <row r="424" spans="1:40" ht="19" x14ac:dyDescent="0.25">
      <c r="B424" s="81"/>
      <c r="C424" s="83"/>
      <c r="D424" s="37"/>
      <c r="E424" s="58" t="s">
        <v>19</v>
      </c>
      <c r="F424" s="19"/>
      <c r="G424" s="18"/>
      <c r="H424" s="151"/>
      <c r="Y424" s="4"/>
      <c r="Z424" s="4"/>
      <c r="AA424" s="4"/>
      <c r="AB424" s="4"/>
      <c r="AC424" s="4"/>
      <c r="AD424" s="4"/>
      <c r="AE424" s="4"/>
      <c r="AF424" s="4"/>
      <c r="AG424" s="4"/>
      <c r="AH424" s="4"/>
      <c r="AI424" s="4"/>
      <c r="AJ424" s="4"/>
      <c r="AK424" s="4"/>
      <c r="AL424" s="4"/>
      <c r="AM424" s="4"/>
      <c r="AN424" s="4"/>
    </row>
    <row r="425" spans="1:40" x14ac:dyDescent="0.2">
      <c r="B425" s="178" t="s">
        <v>285</v>
      </c>
      <c r="C425" s="96"/>
      <c r="D425" s="38"/>
      <c r="E425" s="57"/>
      <c r="F425" s="95"/>
      <c r="G425" s="18"/>
      <c r="H425" s="151"/>
      <c r="Y425" s="4"/>
      <c r="Z425" s="4"/>
      <c r="AA425" s="4"/>
      <c r="AB425" s="4"/>
      <c r="AC425" s="4"/>
      <c r="AD425" s="4"/>
      <c r="AE425" s="4"/>
      <c r="AF425" s="4"/>
      <c r="AG425" s="4"/>
      <c r="AH425" s="4"/>
      <c r="AI425" s="4"/>
      <c r="AJ425" s="4"/>
      <c r="AK425" s="4"/>
      <c r="AL425" s="4"/>
      <c r="AM425" s="4"/>
      <c r="AN425" s="4"/>
    </row>
    <row r="426" spans="1:40" x14ac:dyDescent="0.2">
      <c r="B426" s="178" t="s">
        <v>286</v>
      </c>
      <c r="C426" s="12"/>
      <c r="D426" s="38"/>
      <c r="E426" s="57"/>
      <c r="F426" s="15"/>
      <c r="G426" s="18"/>
      <c r="H426" s="151"/>
      <c r="Y426" s="4"/>
      <c r="Z426" s="4"/>
      <c r="AA426" s="4"/>
      <c r="AB426" s="4"/>
      <c r="AC426" s="4"/>
      <c r="AD426" s="4"/>
      <c r="AE426" s="4"/>
      <c r="AF426" s="4"/>
      <c r="AG426" s="4"/>
      <c r="AH426" s="4"/>
      <c r="AI426" s="4"/>
      <c r="AJ426" s="4"/>
      <c r="AK426" s="4"/>
      <c r="AL426" s="4"/>
      <c r="AM426" s="4"/>
      <c r="AN426" s="4"/>
    </row>
    <row r="427" spans="1:40" s="16" customFormat="1" x14ac:dyDescent="0.2">
      <c r="A427" s="4"/>
      <c r="B427" s="178" t="s">
        <v>287</v>
      </c>
      <c r="C427" s="97"/>
      <c r="D427" s="38"/>
      <c r="E427" s="57"/>
      <c r="F427" s="25"/>
      <c r="G427" s="18"/>
      <c r="H427" s="18"/>
      <c r="I427" s="4"/>
      <c r="J427" s="4"/>
      <c r="K427" s="4"/>
      <c r="L427" s="4"/>
      <c r="M427" s="4"/>
      <c r="N427" s="4"/>
      <c r="O427" s="4"/>
      <c r="P427" s="4"/>
      <c r="Q427" s="4"/>
      <c r="R427" s="4"/>
      <c r="S427" s="4"/>
      <c r="T427" s="4"/>
      <c r="U427" s="4"/>
      <c r="V427" s="4"/>
      <c r="W427" s="4"/>
      <c r="X427" s="4"/>
    </row>
    <row r="428" spans="1:40" ht="19" x14ac:dyDescent="0.25">
      <c r="B428" s="79" t="s">
        <v>301</v>
      </c>
      <c r="C428" s="80"/>
      <c r="D428" s="37"/>
      <c r="E428" s="58" t="s">
        <v>15</v>
      </c>
      <c r="F428" s="24"/>
      <c r="G428" s="18"/>
      <c r="H428" s="150" t="b">
        <f>IF(D429="x",H$2,H$1)</f>
        <v>0</v>
      </c>
      <c r="Y428" s="4"/>
      <c r="Z428" s="4"/>
      <c r="AA428" s="4"/>
      <c r="AB428" s="4"/>
      <c r="AC428" s="4"/>
      <c r="AD428" s="4"/>
      <c r="AE428" s="4"/>
      <c r="AF428" s="4"/>
      <c r="AG428" s="4"/>
      <c r="AH428" s="4"/>
      <c r="AI428" s="4"/>
      <c r="AJ428" s="4"/>
      <c r="AK428" s="4"/>
      <c r="AL428" s="4"/>
      <c r="AM428" s="4"/>
      <c r="AN428" s="4"/>
    </row>
    <row r="429" spans="1:40" ht="19" x14ac:dyDescent="0.25">
      <c r="B429" s="81" t="s">
        <v>304</v>
      </c>
      <c r="C429" s="82"/>
      <c r="D429" s="37"/>
      <c r="E429" s="58" t="s">
        <v>16</v>
      </c>
      <c r="F429" s="20" t="str">
        <f>IF(H430=1,IF(H428=H$2,H428,""),"")</f>
        <v/>
      </c>
      <c r="G429" s="18"/>
      <c r="H429" s="150" t="str">
        <f>IF(E$433="comprobar",COUNTIF(D428:D432,"x"),"")</f>
        <v/>
      </c>
      <c r="Y429" s="4"/>
      <c r="Z429" s="4"/>
      <c r="AA429" s="4"/>
      <c r="AB429" s="4"/>
      <c r="AC429" s="4"/>
      <c r="AD429" s="4"/>
      <c r="AE429" s="4"/>
      <c r="AF429" s="4"/>
      <c r="AG429" s="4"/>
      <c r="AH429" s="4"/>
      <c r="AI429" s="4"/>
      <c r="AJ429" s="4"/>
      <c r="AK429" s="4"/>
      <c r="AL429" s="4"/>
      <c r="AM429" s="4"/>
      <c r="AN429" s="4"/>
    </row>
    <row r="430" spans="1:40" ht="19" x14ac:dyDescent="0.25">
      <c r="B430" s="81" t="s">
        <v>302</v>
      </c>
      <c r="C430" s="82"/>
      <c r="D430" s="37"/>
      <c r="E430" s="58" t="s">
        <v>17</v>
      </c>
      <c r="F430" s="21" t="str">
        <f>IF(H430=-0.33,IF(H428=H$1,H428,""),"")</f>
        <v/>
      </c>
      <c r="G430" s="18"/>
      <c r="H430" s="151">
        <f t="shared" ref="H430" si="42">IF(H429=1,IF(H428=H$2,1,-0.33),0)</f>
        <v>0</v>
      </c>
      <c r="Y430" s="4"/>
      <c r="Z430" s="4"/>
      <c r="AA430" s="4"/>
      <c r="AB430" s="4"/>
      <c r="AC430" s="4"/>
      <c r="AD430" s="4"/>
      <c r="AE430" s="4"/>
      <c r="AF430" s="4"/>
      <c r="AG430" s="4"/>
      <c r="AH430" s="4"/>
      <c r="AI430" s="4"/>
      <c r="AJ430" s="4"/>
      <c r="AK430" s="4"/>
      <c r="AL430" s="4"/>
      <c r="AM430" s="4"/>
      <c r="AN430" s="4"/>
    </row>
    <row r="431" spans="1:40" ht="19" x14ac:dyDescent="0.25">
      <c r="B431" s="81" t="s">
        <v>303</v>
      </c>
      <c r="C431" s="82"/>
      <c r="D431" s="37"/>
      <c r="E431" s="58" t="s">
        <v>18</v>
      </c>
      <c r="F431" s="24"/>
      <c r="G431" s="18"/>
      <c r="H431" s="151"/>
      <c r="Y431" s="4"/>
      <c r="Z431" s="4"/>
      <c r="AA431" s="4"/>
      <c r="AB431" s="4"/>
      <c r="AC431" s="4"/>
      <c r="AD431" s="4"/>
      <c r="AE431" s="4"/>
      <c r="AF431" s="4"/>
      <c r="AG431" s="4"/>
      <c r="AH431" s="4"/>
      <c r="AI431" s="4"/>
      <c r="AJ431" s="4"/>
      <c r="AK431" s="4"/>
      <c r="AL431" s="4"/>
      <c r="AM431" s="4"/>
      <c r="AN431" s="4"/>
    </row>
    <row r="432" spans="1:40" x14ac:dyDescent="0.2">
      <c r="B432" s="41"/>
      <c r="C432" s="8"/>
      <c r="D432" s="37"/>
      <c r="E432" s="58" t="s">
        <v>19</v>
      </c>
      <c r="F432" s="19"/>
      <c r="G432" s="18"/>
      <c r="H432" s="151"/>
      <c r="Y432" s="4"/>
      <c r="Z432" s="4"/>
      <c r="AA432" s="4"/>
      <c r="AB432" s="4"/>
      <c r="AC432" s="4"/>
      <c r="AD432" s="4"/>
      <c r="AE432" s="4"/>
      <c r="AF432" s="4"/>
      <c r="AG432" s="4"/>
      <c r="AH432" s="4"/>
      <c r="AI432" s="4"/>
      <c r="AJ432" s="4"/>
      <c r="AK432" s="4"/>
      <c r="AL432" s="4"/>
      <c r="AM432" s="4"/>
      <c r="AN432" s="4"/>
    </row>
    <row r="433" spans="1:40" x14ac:dyDescent="0.2">
      <c r="B433" s="44"/>
      <c r="C433" s="39"/>
      <c r="D433" s="53"/>
      <c r="E433" s="59"/>
      <c r="F433" s="19"/>
      <c r="H433" s="18"/>
      <c r="Y433" s="4"/>
      <c r="Z433" s="4"/>
      <c r="AA433" s="4"/>
      <c r="AB433" s="4"/>
      <c r="AC433" s="4"/>
      <c r="AD433" s="4"/>
      <c r="AE433" s="4"/>
      <c r="AF433" s="4"/>
      <c r="AG433" s="4"/>
      <c r="AH433" s="4"/>
      <c r="AI433" s="4"/>
      <c r="AJ433" s="4"/>
      <c r="AK433" s="4"/>
      <c r="AL433" s="4"/>
      <c r="AM433" s="4"/>
      <c r="AN433" s="4"/>
    </row>
    <row r="434" spans="1:40" x14ac:dyDescent="0.2">
      <c r="B434" s="44"/>
      <c r="C434" s="17"/>
      <c r="D434" s="53"/>
      <c r="E434" s="62"/>
      <c r="F434" s="26" t="s">
        <v>8</v>
      </c>
      <c r="G434" s="18" t="s">
        <v>6</v>
      </c>
      <c r="H434" s="18" t="s">
        <v>7</v>
      </c>
      <c r="Y434" s="4"/>
      <c r="Z434" s="4"/>
      <c r="AA434" s="4"/>
      <c r="AB434" s="4"/>
      <c r="AC434" s="4"/>
      <c r="AD434" s="4"/>
      <c r="AE434" s="4"/>
      <c r="AF434" s="4"/>
      <c r="AG434" s="4"/>
      <c r="AH434" s="4"/>
      <c r="AI434" s="4"/>
      <c r="AJ434" s="4"/>
      <c r="AK434" s="4"/>
      <c r="AL434" s="4"/>
      <c r="AM434" s="4"/>
      <c r="AN434" s="4"/>
    </row>
    <row r="435" spans="1:40" ht="20" x14ac:dyDescent="0.2">
      <c r="B435" s="44"/>
      <c r="C435" s="17"/>
      <c r="D435" s="65"/>
      <c r="E435" s="56"/>
      <c r="F435" s="27" t="str">
        <f>IF(E433="comprobar",H430+H422+H416+H410+H404,"")</f>
        <v/>
      </c>
      <c r="G435" s="18">
        <f>5/2</f>
        <v>2.5</v>
      </c>
      <c r="H435" s="18"/>
      <c r="Y435" s="4"/>
      <c r="Z435" s="4"/>
      <c r="AA435" s="4"/>
      <c r="AB435" s="4"/>
      <c r="AC435" s="4"/>
      <c r="AD435" s="4"/>
      <c r="AE435" s="4"/>
      <c r="AF435" s="4"/>
      <c r="AG435" s="4"/>
      <c r="AH435" s="4"/>
      <c r="AI435" s="4"/>
      <c r="AJ435" s="4"/>
      <c r="AK435" s="4"/>
      <c r="AL435" s="4"/>
      <c r="AM435" s="4"/>
      <c r="AN435" s="4"/>
    </row>
    <row r="436" spans="1:40" ht="17" thickBot="1" x14ac:dyDescent="0.25">
      <c r="B436" s="45"/>
      <c r="C436" s="28"/>
      <c r="D436" s="29"/>
      <c r="E436" s="60"/>
      <c r="F436" s="30" t="str">
        <f>IF(F435&gt;G435,G434,H434)</f>
        <v>APROBADO</v>
      </c>
      <c r="G436" s="18"/>
      <c r="H436" s="18"/>
      <c r="Y436" s="4"/>
      <c r="Z436" s="4"/>
      <c r="AA436" s="4"/>
      <c r="AB436" s="4"/>
      <c r="AC436" s="4"/>
      <c r="AD436" s="4"/>
      <c r="AE436" s="4"/>
      <c r="AF436" s="4"/>
      <c r="AG436" s="4"/>
      <c r="AH436" s="4"/>
      <c r="AI436" s="4"/>
      <c r="AJ436" s="4"/>
      <c r="AK436" s="4"/>
      <c r="AL436" s="4"/>
      <c r="AM436" s="4"/>
      <c r="AN436" s="4"/>
    </row>
    <row r="437" spans="1:40" ht="29" x14ac:dyDescent="0.35">
      <c r="B437" s="176" t="s">
        <v>21</v>
      </c>
      <c r="C437" s="66" t="s">
        <v>317</v>
      </c>
      <c r="D437" s="66"/>
      <c r="E437" s="66"/>
      <c r="F437" s="67"/>
    </row>
    <row r="438" spans="1:40" s="16" customFormat="1" x14ac:dyDescent="0.2">
      <c r="A438" s="4"/>
      <c r="B438" s="100" t="s">
        <v>305</v>
      </c>
      <c r="C438" s="71"/>
      <c r="D438" s="13"/>
      <c r="E438" s="13"/>
      <c r="F438" s="15"/>
      <c r="G438" s="152"/>
      <c r="H438" s="18"/>
      <c r="I438" s="4"/>
      <c r="J438" s="4"/>
      <c r="K438" s="4"/>
      <c r="L438" s="4"/>
      <c r="M438" s="4"/>
      <c r="N438" s="4"/>
      <c r="O438" s="4"/>
      <c r="P438" s="4"/>
      <c r="Q438" s="4"/>
      <c r="R438" s="4"/>
      <c r="S438" s="4"/>
      <c r="T438" s="4"/>
      <c r="U438" s="4"/>
      <c r="V438" s="4"/>
      <c r="W438" s="4"/>
      <c r="X438" s="4"/>
    </row>
    <row r="439" spans="1:40" x14ac:dyDescent="0.2">
      <c r="B439" s="101" t="s">
        <v>320</v>
      </c>
      <c r="C439" s="98"/>
      <c r="D439" s="37"/>
      <c r="E439" s="65" t="s">
        <v>15</v>
      </c>
      <c r="F439" s="19"/>
      <c r="G439" s="152"/>
      <c r="H439" s="150" t="b">
        <f>IF(D442="x",H$2,H$1)</f>
        <v>0</v>
      </c>
    </row>
    <row r="440" spans="1:40" x14ac:dyDescent="0.2">
      <c r="B440" s="101" t="s">
        <v>321</v>
      </c>
      <c r="C440" s="99"/>
      <c r="D440" s="37"/>
      <c r="E440" s="65" t="s">
        <v>16</v>
      </c>
      <c r="F440" s="20" t="str">
        <f>IF(H441=1,IF(H439=H$2,H439,""),"")</f>
        <v/>
      </c>
      <c r="G440" s="152"/>
      <c r="H440" s="150" t="str">
        <f>IF(E$510="comprobar",COUNTIF(D439:D443,"x"),"")</f>
        <v/>
      </c>
    </row>
    <row r="441" spans="1:40" x14ac:dyDescent="0.2">
      <c r="B441" s="101" t="s">
        <v>322</v>
      </c>
      <c r="C441" s="99"/>
      <c r="D441" s="37"/>
      <c r="E441" s="65" t="s">
        <v>17</v>
      </c>
      <c r="F441" s="21" t="str">
        <f>IF(H441=-0.33,IF(H439=H$1,H439,""),"")</f>
        <v/>
      </c>
      <c r="G441" s="152"/>
      <c r="H441" s="151">
        <f>IF(H440=1,IF(H439=H$2,1,-0.33),0)</f>
        <v>0</v>
      </c>
    </row>
    <row r="442" spans="1:40" x14ac:dyDescent="0.2">
      <c r="B442" s="101" t="s">
        <v>323</v>
      </c>
      <c r="C442" s="99"/>
      <c r="D442" s="37"/>
      <c r="E442" s="65" t="s">
        <v>18</v>
      </c>
      <c r="F442" s="19"/>
      <c r="G442" s="152"/>
      <c r="H442" s="151"/>
    </row>
    <row r="443" spans="1:40" x14ac:dyDescent="0.2">
      <c r="B443" s="102"/>
      <c r="C443" s="70"/>
      <c r="D443" s="37"/>
      <c r="E443" s="65" t="s">
        <v>19</v>
      </c>
      <c r="F443" s="19"/>
      <c r="G443" s="18"/>
      <c r="H443" s="151"/>
    </row>
    <row r="444" spans="1:40" s="16" customFormat="1" x14ac:dyDescent="0.2">
      <c r="A444" s="4"/>
      <c r="B444" s="100" t="s">
        <v>306</v>
      </c>
      <c r="C444" s="71"/>
      <c r="D444" s="38"/>
      <c r="E444" s="13"/>
      <c r="F444" s="15"/>
      <c r="G444" s="152"/>
      <c r="H444" s="18"/>
      <c r="I444" s="4"/>
      <c r="J444" s="4"/>
      <c r="K444" s="4"/>
      <c r="L444" s="4"/>
      <c r="M444" s="4"/>
      <c r="N444" s="4"/>
      <c r="O444" s="4"/>
      <c r="P444" s="4"/>
      <c r="Q444" s="4"/>
      <c r="R444" s="4"/>
      <c r="S444" s="4"/>
      <c r="T444" s="4"/>
      <c r="U444" s="4"/>
      <c r="V444" s="4"/>
      <c r="W444" s="4"/>
      <c r="X444" s="4"/>
    </row>
    <row r="445" spans="1:40" x14ac:dyDescent="0.2">
      <c r="B445" s="101" t="s">
        <v>324</v>
      </c>
      <c r="C445" s="98"/>
      <c r="D445" s="37"/>
      <c r="E445" s="65" t="s">
        <v>15</v>
      </c>
      <c r="F445" s="19"/>
      <c r="G445" s="152"/>
      <c r="H445" s="150" t="b">
        <f>IF(D447="x",H$2,H$1)</f>
        <v>0</v>
      </c>
    </row>
    <row r="446" spans="1:40" x14ac:dyDescent="0.2">
      <c r="B446" s="101" t="s">
        <v>325</v>
      </c>
      <c r="C446" s="99"/>
      <c r="D446" s="37"/>
      <c r="E446" s="65" t="s">
        <v>16</v>
      </c>
      <c r="F446" s="20" t="str">
        <f>IF(H447=1,IF(H445=H$2,H445,""),"")</f>
        <v/>
      </c>
      <c r="G446" s="152"/>
      <c r="H446" s="150" t="str">
        <f>IF(E$510="comprobar",COUNTIF(D445:D449,"x"),"")</f>
        <v/>
      </c>
    </row>
    <row r="447" spans="1:40" x14ac:dyDescent="0.2">
      <c r="B447" s="101" t="s">
        <v>326</v>
      </c>
      <c r="C447" s="99"/>
      <c r="D447" s="37"/>
      <c r="E447" s="65" t="s">
        <v>17</v>
      </c>
      <c r="F447" s="21" t="str">
        <f>IF(H447=-0.33,IF(H445=H$1,H445,""),"")</f>
        <v/>
      </c>
      <c r="G447" s="152"/>
      <c r="H447" s="151">
        <f t="shared" ref="H447" si="43">IF(H446=1,IF(H445=H$2,1,-0.33),0)</f>
        <v>0</v>
      </c>
    </row>
    <row r="448" spans="1:40" x14ac:dyDescent="0.2">
      <c r="B448" s="101" t="s">
        <v>323</v>
      </c>
      <c r="C448" s="99"/>
      <c r="D448" s="37"/>
      <c r="E448" s="65" t="s">
        <v>18</v>
      </c>
      <c r="F448" s="19"/>
      <c r="G448" s="152"/>
      <c r="H448" s="151"/>
    </row>
    <row r="449" spans="1:24" x14ac:dyDescent="0.2">
      <c r="B449" s="102"/>
      <c r="C449" s="70"/>
      <c r="D449" s="37"/>
      <c r="E449" s="65" t="s">
        <v>19</v>
      </c>
      <c r="F449" s="19"/>
      <c r="G449" s="18"/>
      <c r="H449" s="151"/>
    </row>
    <row r="450" spans="1:24" s="16" customFormat="1" x14ac:dyDescent="0.2">
      <c r="A450" s="4"/>
      <c r="B450" s="100" t="s">
        <v>307</v>
      </c>
      <c r="C450" s="71"/>
      <c r="D450" s="38"/>
      <c r="E450" s="13"/>
      <c r="F450" s="15"/>
      <c r="G450" s="152"/>
      <c r="H450" s="18"/>
      <c r="I450" s="4"/>
      <c r="J450" s="4"/>
      <c r="K450" s="4"/>
      <c r="L450" s="4"/>
      <c r="M450" s="4"/>
      <c r="N450" s="4"/>
      <c r="O450" s="4"/>
      <c r="P450" s="4"/>
      <c r="Q450" s="4"/>
      <c r="R450" s="4"/>
      <c r="S450" s="4"/>
      <c r="T450" s="4"/>
      <c r="U450" s="4"/>
      <c r="V450" s="4"/>
      <c r="W450" s="4"/>
      <c r="X450" s="4"/>
    </row>
    <row r="451" spans="1:24" x14ac:dyDescent="0.2">
      <c r="B451" s="101" t="s">
        <v>327</v>
      </c>
      <c r="C451" s="98"/>
      <c r="D451" s="37"/>
      <c r="E451" s="65" t="s">
        <v>15</v>
      </c>
      <c r="F451" s="19"/>
      <c r="G451" s="152"/>
      <c r="H451" s="150" t="b">
        <f>IF(D453="x",H$2,H$1)</f>
        <v>0</v>
      </c>
    </row>
    <row r="452" spans="1:24" x14ac:dyDescent="0.2">
      <c r="B452" s="101" t="s">
        <v>328</v>
      </c>
      <c r="C452" s="99"/>
      <c r="D452" s="37"/>
      <c r="E452" s="65" t="s">
        <v>16</v>
      </c>
      <c r="F452" s="20" t="str">
        <f>IF(H453=1,IF(H451=H$2,H451,""),"")</f>
        <v/>
      </c>
      <c r="G452" s="152"/>
      <c r="H452" s="150" t="str">
        <f>IF(E$510="comprobar",COUNTIF(D451:D455,"x"),"")</f>
        <v/>
      </c>
    </row>
    <row r="453" spans="1:24" x14ac:dyDescent="0.2">
      <c r="B453" s="101" t="s">
        <v>329</v>
      </c>
      <c r="C453" s="99"/>
      <c r="D453" s="37"/>
      <c r="E453" s="65" t="s">
        <v>17</v>
      </c>
      <c r="F453" s="21" t="str">
        <f>IF(H453=-0.33,IF(H451=H$1,H451,""),"")</f>
        <v/>
      </c>
      <c r="G453" s="152"/>
      <c r="H453" s="151">
        <f t="shared" ref="H453" si="44">IF(H452=1,IF(H451=H$2,1,-0.33),0)</f>
        <v>0</v>
      </c>
    </row>
    <row r="454" spans="1:24" x14ac:dyDescent="0.2">
      <c r="B454" s="101" t="s">
        <v>323</v>
      </c>
      <c r="C454" s="99"/>
      <c r="D454" s="37"/>
      <c r="E454" s="65" t="s">
        <v>18</v>
      </c>
      <c r="F454" s="19"/>
      <c r="G454" s="152"/>
      <c r="H454" s="151"/>
    </row>
    <row r="455" spans="1:24" x14ac:dyDescent="0.2">
      <c r="B455" s="102"/>
      <c r="C455" s="70"/>
      <c r="D455" s="37"/>
      <c r="E455" s="65" t="s">
        <v>19</v>
      </c>
      <c r="F455" s="19"/>
      <c r="G455" s="18"/>
      <c r="H455" s="151"/>
    </row>
    <row r="456" spans="1:24" s="16" customFormat="1" x14ac:dyDescent="0.2">
      <c r="A456" s="4"/>
      <c r="B456" s="100" t="s">
        <v>308</v>
      </c>
      <c r="C456" s="71"/>
      <c r="D456" s="38"/>
      <c r="E456" s="13"/>
      <c r="F456" s="15"/>
      <c r="G456" s="152"/>
      <c r="H456" s="18"/>
      <c r="I456" s="4"/>
      <c r="J456" s="4"/>
      <c r="K456" s="4"/>
      <c r="L456" s="4"/>
      <c r="M456" s="4"/>
      <c r="N456" s="4"/>
      <c r="O456" s="4"/>
      <c r="P456" s="4"/>
      <c r="Q456" s="4"/>
      <c r="R456" s="4"/>
      <c r="S456" s="4"/>
      <c r="T456" s="4"/>
      <c r="U456" s="4"/>
      <c r="V456" s="4"/>
      <c r="W456" s="4"/>
      <c r="X456" s="4"/>
    </row>
    <row r="457" spans="1:24" x14ac:dyDescent="0.2">
      <c r="B457" s="101" t="s">
        <v>330</v>
      </c>
      <c r="C457" s="98"/>
      <c r="D457" s="37"/>
      <c r="E457" s="65" t="s">
        <v>15</v>
      </c>
      <c r="F457" s="19"/>
      <c r="G457" s="152"/>
      <c r="H457" s="150" t="b">
        <f>IF(D458="x",H$2,H$1)</f>
        <v>0</v>
      </c>
    </row>
    <row r="458" spans="1:24" x14ac:dyDescent="0.2">
      <c r="B458" s="101" t="s">
        <v>331</v>
      </c>
      <c r="C458" s="99"/>
      <c r="D458" s="37"/>
      <c r="E458" s="65" t="s">
        <v>16</v>
      </c>
      <c r="F458" s="20" t="str">
        <f>IF(H459=1,IF(H457=H$2,H457,""),"")</f>
        <v/>
      </c>
      <c r="G458" s="152"/>
      <c r="H458" s="150" t="str">
        <f>IF(E$510="comprobar",COUNTIF(D457:D461,"x"),"")</f>
        <v/>
      </c>
    </row>
    <row r="459" spans="1:24" x14ac:dyDescent="0.2">
      <c r="B459" s="101" t="s">
        <v>332</v>
      </c>
      <c r="C459" s="99"/>
      <c r="D459" s="37"/>
      <c r="E459" s="65" t="s">
        <v>17</v>
      </c>
      <c r="F459" s="21" t="str">
        <f>IF(H459=-0.33,IF(H457=H$1,H457,""),"")</f>
        <v/>
      </c>
      <c r="G459" s="152"/>
      <c r="H459" s="151">
        <f t="shared" ref="H459" si="45">IF(H458=1,IF(H457=H$2,1,-0.33),0)</f>
        <v>0</v>
      </c>
    </row>
    <row r="460" spans="1:24" x14ac:dyDescent="0.2">
      <c r="B460" s="101" t="s">
        <v>333</v>
      </c>
      <c r="C460" s="99"/>
      <c r="D460" s="37"/>
      <c r="E460" s="65" t="s">
        <v>18</v>
      </c>
      <c r="F460" s="19"/>
      <c r="G460" s="152"/>
      <c r="H460" s="151"/>
    </row>
    <row r="461" spans="1:24" x14ac:dyDescent="0.2">
      <c r="B461" s="102"/>
      <c r="C461" s="70"/>
      <c r="D461" s="37"/>
      <c r="E461" s="65" t="s">
        <v>19</v>
      </c>
      <c r="F461" s="19"/>
      <c r="G461" s="18"/>
      <c r="H461" s="151"/>
    </row>
    <row r="462" spans="1:24" s="16" customFormat="1" x14ac:dyDescent="0.2">
      <c r="A462" s="4"/>
      <c r="B462" s="100" t="s">
        <v>309</v>
      </c>
      <c r="C462" s="71"/>
      <c r="D462" s="38"/>
      <c r="E462" s="13"/>
      <c r="F462" s="15"/>
      <c r="G462" s="152"/>
      <c r="H462" s="18"/>
      <c r="I462" s="4"/>
      <c r="J462" s="4"/>
      <c r="K462" s="4"/>
      <c r="L462" s="4"/>
      <c r="M462" s="4"/>
      <c r="N462" s="4"/>
      <c r="O462" s="4"/>
      <c r="P462" s="4"/>
      <c r="Q462" s="4"/>
      <c r="R462" s="4"/>
      <c r="S462" s="4"/>
      <c r="T462" s="4"/>
      <c r="U462" s="4"/>
      <c r="V462" s="4"/>
      <c r="W462" s="4"/>
      <c r="X462" s="4"/>
    </row>
    <row r="463" spans="1:24" x14ac:dyDescent="0.2">
      <c r="B463" s="101" t="s">
        <v>334</v>
      </c>
      <c r="C463" s="98"/>
      <c r="D463" s="37"/>
      <c r="E463" s="65" t="s">
        <v>15</v>
      </c>
      <c r="F463" s="19"/>
      <c r="G463" s="152"/>
      <c r="H463" s="150" t="b">
        <f>IF(D465="x",H$2,H$1)</f>
        <v>0</v>
      </c>
    </row>
    <row r="464" spans="1:24" x14ac:dyDescent="0.2">
      <c r="B464" s="101" t="s">
        <v>335</v>
      </c>
      <c r="C464" s="99"/>
      <c r="D464" s="37"/>
      <c r="E464" s="65" t="s">
        <v>16</v>
      </c>
      <c r="F464" s="20" t="str">
        <f>IF(H465=1,IF(H463=H$2,H463,""),"")</f>
        <v/>
      </c>
      <c r="G464" s="152"/>
      <c r="H464" s="150" t="str">
        <f>IF(E$510="comprobar",COUNTIF(D463:D467,"x"),"")</f>
        <v/>
      </c>
    </row>
    <row r="465" spans="1:24" x14ac:dyDescent="0.2">
      <c r="B465" s="101" t="s">
        <v>336</v>
      </c>
      <c r="C465" s="99"/>
      <c r="D465" s="37"/>
      <c r="E465" s="65" t="s">
        <v>17</v>
      </c>
      <c r="F465" s="21" t="str">
        <f>IF(H465=-0.33,IF(H463=H$1,H463,""),"")</f>
        <v/>
      </c>
      <c r="G465" s="152"/>
      <c r="H465" s="151">
        <f t="shared" ref="H465" si="46">IF(H464=1,IF(H463=H$2,1,-0.33),0)</f>
        <v>0</v>
      </c>
    </row>
    <row r="466" spans="1:24" x14ac:dyDescent="0.2">
      <c r="B466" s="101" t="s">
        <v>323</v>
      </c>
      <c r="C466" s="99"/>
      <c r="D466" s="37"/>
      <c r="E466" s="65" t="s">
        <v>18</v>
      </c>
      <c r="F466" s="19"/>
      <c r="G466" s="152"/>
      <c r="H466" s="151"/>
    </row>
    <row r="467" spans="1:24" x14ac:dyDescent="0.2">
      <c r="B467" s="102"/>
      <c r="C467" s="70"/>
      <c r="D467" s="37"/>
      <c r="E467" s="65" t="s">
        <v>19</v>
      </c>
      <c r="F467" s="19"/>
      <c r="G467" s="18"/>
      <c r="H467" s="151"/>
    </row>
    <row r="468" spans="1:24" s="16" customFormat="1" x14ac:dyDescent="0.2">
      <c r="A468" s="4"/>
      <c r="B468" s="100" t="s">
        <v>310</v>
      </c>
      <c r="C468" s="71"/>
      <c r="D468" s="38"/>
      <c r="E468" s="13"/>
      <c r="F468" s="15"/>
      <c r="G468" s="152"/>
      <c r="H468" s="18"/>
      <c r="I468" s="4"/>
      <c r="J468" s="4"/>
      <c r="K468" s="4"/>
      <c r="L468" s="4"/>
      <c r="M468" s="4"/>
      <c r="N468" s="4"/>
      <c r="O468" s="4"/>
      <c r="P468" s="4"/>
      <c r="Q468" s="4"/>
      <c r="R468" s="4"/>
      <c r="S468" s="4"/>
      <c r="T468" s="4"/>
      <c r="U468" s="4"/>
      <c r="V468" s="4"/>
      <c r="W468" s="4"/>
      <c r="X468" s="4"/>
    </row>
    <row r="469" spans="1:24" x14ac:dyDescent="0.2">
      <c r="B469" s="101" t="s">
        <v>337</v>
      </c>
      <c r="C469" s="98"/>
      <c r="D469" s="37"/>
      <c r="E469" s="65" t="s">
        <v>15</v>
      </c>
      <c r="F469" s="19"/>
      <c r="G469" s="152"/>
      <c r="H469" s="150" t="b">
        <f>IF(D469="x",H$2,H$1)</f>
        <v>0</v>
      </c>
    </row>
    <row r="470" spans="1:24" x14ac:dyDescent="0.2">
      <c r="B470" s="101" t="s">
        <v>338</v>
      </c>
      <c r="C470" s="99"/>
      <c r="D470" s="37"/>
      <c r="E470" s="65" t="s">
        <v>16</v>
      </c>
      <c r="F470" s="20" t="str">
        <f>IF(H471=1,IF(H469=H$2,H469,""),"")</f>
        <v/>
      </c>
      <c r="G470" s="152"/>
      <c r="H470" s="150" t="str">
        <f>IF(E$510="comprobar",COUNTIF(D469:D473,"x"),"")</f>
        <v/>
      </c>
    </row>
    <row r="471" spans="1:24" x14ac:dyDescent="0.2">
      <c r="B471" s="101" t="s">
        <v>339</v>
      </c>
      <c r="C471" s="99"/>
      <c r="D471" s="37"/>
      <c r="E471" s="65" t="s">
        <v>17</v>
      </c>
      <c r="F471" s="21" t="str">
        <f>IF(H471=-0.33,IF(H469=H$1,H469,""),"")</f>
        <v/>
      </c>
      <c r="G471" s="152"/>
      <c r="H471" s="151">
        <f t="shared" ref="H471" si="47">IF(H470=1,IF(H469=H$2,1,-0.33),0)</f>
        <v>0</v>
      </c>
    </row>
    <row r="472" spans="1:24" x14ac:dyDescent="0.2">
      <c r="B472" s="101" t="s">
        <v>323</v>
      </c>
      <c r="C472" s="99"/>
      <c r="D472" s="37"/>
      <c r="E472" s="65" t="s">
        <v>18</v>
      </c>
      <c r="F472" s="19"/>
      <c r="G472" s="152"/>
      <c r="H472" s="151"/>
    </row>
    <row r="473" spans="1:24" x14ac:dyDescent="0.2">
      <c r="B473" s="102"/>
      <c r="C473" s="70"/>
      <c r="D473" s="37"/>
      <c r="E473" s="65" t="s">
        <v>19</v>
      </c>
      <c r="F473" s="19"/>
      <c r="G473" s="18"/>
      <c r="H473" s="151"/>
    </row>
    <row r="474" spans="1:24" s="16" customFormat="1" x14ac:dyDescent="0.2">
      <c r="A474" s="4"/>
      <c r="B474" s="100" t="s">
        <v>311</v>
      </c>
      <c r="C474" s="71"/>
      <c r="D474" s="38"/>
      <c r="E474" s="13"/>
      <c r="F474" s="15"/>
      <c r="G474" s="152"/>
      <c r="H474" s="18"/>
      <c r="I474" s="4"/>
      <c r="J474" s="4"/>
      <c r="K474" s="4"/>
      <c r="L474" s="4"/>
      <c r="M474" s="4"/>
      <c r="N474" s="4"/>
      <c r="O474" s="4"/>
      <c r="P474" s="4"/>
      <c r="Q474" s="4"/>
      <c r="R474" s="4"/>
      <c r="S474" s="4"/>
      <c r="T474" s="4"/>
      <c r="U474" s="4"/>
      <c r="V474" s="4"/>
      <c r="W474" s="4"/>
      <c r="X474" s="4"/>
    </row>
    <row r="475" spans="1:24" x14ac:dyDescent="0.2">
      <c r="B475" s="101" t="s">
        <v>340</v>
      </c>
      <c r="C475" s="98"/>
      <c r="D475" s="37"/>
      <c r="E475" s="65" t="s">
        <v>15</v>
      </c>
      <c r="F475" s="19"/>
      <c r="G475" s="152"/>
      <c r="H475" s="150" t="b">
        <f>IF(D476="x",H$2,H$1)</f>
        <v>0</v>
      </c>
    </row>
    <row r="476" spans="1:24" x14ac:dyDescent="0.2">
      <c r="B476" s="101" t="s">
        <v>341</v>
      </c>
      <c r="C476" s="99"/>
      <c r="D476" s="37"/>
      <c r="E476" s="65" t="s">
        <v>16</v>
      </c>
      <c r="F476" s="20" t="str">
        <f>IF(H477=1,IF(H475=H$2,H475,""),"")</f>
        <v/>
      </c>
      <c r="G476" s="152"/>
      <c r="H476" s="150" t="str">
        <f>IF(E$510="comprobar",COUNTIF(D475:D479,"x"),"")</f>
        <v/>
      </c>
    </row>
    <row r="477" spans="1:24" x14ac:dyDescent="0.2">
      <c r="B477" s="101" t="s">
        <v>342</v>
      </c>
      <c r="C477" s="99"/>
      <c r="D477" s="37"/>
      <c r="E477" s="65" t="s">
        <v>17</v>
      </c>
      <c r="F477" s="21" t="str">
        <f>IF(H477=-0.33,IF(H475=H$1,H475,""),"")</f>
        <v/>
      </c>
      <c r="G477" s="152"/>
      <c r="H477" s="151">
        <f t="shared" ref="H477" si="48">IF(H476=1,IF(H475=H$2,1,-0.33),0)</f>
        <v>0</v>
      </c>
    </row>
    <row r="478" spans="1:24" x14ac:dyDescent="0.2">
      <c r="B478" s="101" t="s">
        <v>343</v>
      </c>
      <c r="C478" s="99"/>
      <c r="D478" s="37"/>
      <c r="E478" s="65" t="s">
        <v>18</v>
      </c>
      <c r="F478" s="19"/>
      <c r="G478" s="152"/>
      <c r="H478" s="151"/>
    </row>
    <row r="479" spans="1:24" x14ac:dyDescent="0.2">
      <c r="B479" s="102"/>
      <c r="C479" s="70"/>
      <c r="D479" s="37"/>
      <c r="E479" s="65" t="s">
        <v>19</v>
      </c>
      <c r="F479" s="19"/>
      <c r="G479" s="18"/>
      <c r="H479" s="151"/>
    </row>
    <row r="480" spans="1:24" s="16" customFormat="1" x14ac:dyDescent="0.2">
      <c r="A480" s="4"/>
      <c r="B480" s="100" t="s">
        <v>312</v>
      </c>
      <c r="C480" s="71"/>
      <c r="D480" s="38"/>
      <c r="E480" s="13"/>
      <c r="F480" s="15"/>
      <c r="G480" s="152"/>
      <c r="H480" s="18"/>
      <c r="I480" s="4"/>
      <c r="J480" s="4"/>
      <c r="K480" s="4"/>
      <c r="L480" s="4"/>
      <c r="M480" s="4"/>
      <c r="N480" s="4"/>
      <c r="O480" s="4"/>
      <c r="P480" s="4"/>
      <c r="Q480" s="4"/>
      <c r="R480" s="4"/>
      <c r="S480" s="4"/>
      <c r="T480" s="4"/>
      <c r="U480" s="4"/>
      <c r="V480" s="4"/>
      <c r="W480" s="4"/>
      <c r="X480" s="4"/>
    </row>
    <row r="481" spans="1:24" x14ac:dyDescent="0.2">
      <c r="B481" s="101" t="s">
        <v>344</v>
      </c>
      <c r="C481" s="98"/>
      <c r="D481" s="37"/>
      <c r="E481" s="65" t="s">
        <v>15</v>
      </c>
      <c r="F481" s="19"/>
      <c r="G481" s="152"/>
      <c r="H481" s="150" t="b">
        <f>IF(D481="x",H$2,H$1)</f>
        <v>0</v>
      </c>
    </row>
    <row r="482" spans="1:24" x14ac:dyDescent="0.2">
      <c r="B482" s="101" t="s">
        <v>345</v>
      </c>
      <c r="C482" s="99"/>
      <c r="D482" s="37"/>
      <c r="E482" s="65" t="s">
        <v>16</v>
      </c>
      <c r="F482" s="20" t="str">
        <f>IF(H483=1,IF(H481=H$2,H481,""),"")</f>
        <v/>
      </c>
      <c r="G482" s="152"/>
      <c r="H482" s="150" t="str">
        <f>IF(E$510="comprobar",COUNTIF(D481:D485,"x"),"")</f>
        <v/>
      </c>
    </row>
    <row r="483" spans="1:24" x14ac:dyDescent="0.2">
      <c r="B483" s="101" t="s">
        <v>346</v>
      </c>
      <c r="C483" s="99"/>
      <c r="D483" s="37"/>
      <c r="E483" s="65" t="s">
        <v>17</v>
      </c>
      <c r="F483" s="21" t="str">
        <f>IF(H483=-0.33,IF(H481=H$1,H481,""),"")</f>
        <v/>
      </c>
      <c r="G483" s="152"/>
      <c r="H483" s="151">
        <f t="shared" ref="H483" si="49">IF(H482=1,IF(H481=H$2,1,-0.33),0)</f>
        <v>0</v>
      </c>
    </row>
    <row r="484" spans="1:24" x14ac:dyDescent="0.2">
      <c r="B484" s="101" t="s">
        <v>343</v>
      </c>
      <c r="C484" s="99"/>
      <c r="D484" s="37"/>
      <c r="E484" s="65" t="s">
        <v>18</v>
      </c>
      <c r="F484" s="19"/>
      <c r="G484" s="152"/>
      <c r="H484" s="151"/>
    </row>
    <row r="485" spans="1:24" x14ac:dyDescent="0.2">
      <c r="B485" s="102"/>
      <c r="C485" s="70"/>
      <c r="D485" s="37"/>
      <c r="E485" s="65" t="s">
        <v>19</v>
      </c>
      <c r="F485" s="19"/>
      <c r="G485" s="18"/>
      <c r="H485" s="151"/>
    </row>
    <row r="486" spans="1:24" s="16" customFormat="1" x14ac:dyDescent="0.2">
      <c r="A486" s="4"/>
      <c r="B486" s="100" t="s">
        <v>313</v>
      </c>
      <c r="C486" s="71"/>
      <c r="D486" s="38"/>
      <c r="E486" s="13"/>
      <c r="F486" s="15"/>
      <c r="G486" s="152"/>
      <c r="H486" s="18"/>
      <c r="I486" s="4"/>
      <c r="J486" s="4"/>
      <c r="K486" s="4"/>
      <c r="L486" s="4"/>
      <c r="M486" s="4"/>
      <c r="N486" s="4"/>
      <c r="O486" s="4"/>
      <c r="P486" s="4"/>
      <c r="Q486" s="4"/>
      <c r="R486" s="4"/>
      <c r="S486" s="4"/>
      <c r="T486" s="4"/>
      <c r="U486" s="4"/>
      <c r="V486" s="4"/>
      <c r="W486" s="4"/>
      <c r="X486" s="4"/>
    </row>
    <row r="487" spans="1:24" x14ac:dyDescent="0.2">
      <c r="B487" s="101" t="s">
        <v>347</v>
      </c>
      <c r="C487" s="98"/>
      <c r="D487" s="37"/>
      <c r="E487" s="65" t="s">
        <v>15</v>
      </c>
      <c r="F487" s="19"/>
      <c r="G487" s="152"/>
      <c r="H487" s="150" t="b">
        <f>IF(D488="x",H$2,H$1)</f>
        <v>0</v>
      </c>
    </row>
    <row r="488" spans="1:24" x14ac:dyDescent="0.2">
      <c r="B488" s="101" t="s">
        <v>348</v>
      </c>
      <c r="C488" s="99"/>
      <c r="D488" s="37"/>
      <c r="E488" s="65" t="s">
        <v>16</v>
      </c>
      <c r="F488" s="20" t="str">
        <f>IF(H489=1,IF(H487=H$2,H487,""),"")</f>
        <v/>
      </c>
      <c r="G488" s="152"/>
      <c r="H488" s="150" t="str">
        <f>IF(E$510="comprobar",COUNTIF(D487:D491,"x"),"")</f>
        <v/>
      </c>
    </row>
    <row r="489" spans="1:24" x14ac:dyDescent="0.2">
      <c r="B489" s="101" t="s">
        <v>349</v>
      </c>
      <c r="C489" s="99"/>
      <c r="D489" s="37"/>
      <c r="E489" s="65" t="s">
        <v>17</v>
      </c>
      <c r="F489" s="21" t="str">
        <f>IF(H489=-0.33,IF(H487=H$1,H487,""),"")</f>
        <v/>
      </c>
      <c r="G489" s="152"/>
      <c r="H489" s="151">
        <f t="shared" ref="H489" si="50">IF(H488=1,IF(H487=H$2,1,-0.33),0)</f>
        <v>0</v>
      </c>
    </row>
    <row r="490" spans="1:24" x14ac:dyDescent="0.2">
      <c r="B490" s="101" t="s">
        <v>343</v>
      </c>
      <c r="C490" s="99"/>
      <c r="D490" s="37"/>
      <c r="E490" s="65" t="s">
        <v>18</v>
      </c>
      <c r="F490" s="19"/>
      <c r="G490" s="152"/>
      <c r="H490" s="151"/>
    </row>
    <row r="491" spans="1:24" x14ac:dyDescent="0.2">
      <c r="B491" s="102"/>
      <c r="C491" s="70"/>
      <c r="D491" s="37"/>
      <c r="E491" s="65" t="s">
        <v>19</v>
      </c>
      <c r="F491" s="11"/>
      <c r="G491" s="18"/>
      <c r="H491" s="151"/>
    </row>
    <row r="492" spans="1:24" s="16" customFormat="1" x14ac:dyDescent="0.2">
      <c r="A492" s="4"/>
      <c r="B492" s="100" t="s">
        <v>314</v>
      </c>
      <c r="C492" s="71"/>
      <c r="D492" s="38"/>
      <c r="E492" s="13"/>
      <c r="F492" s="25"/>
      <c r="G492" s="152"/>
      <c r="H492" s="18"/>
      <c r="I492" s="4"/>
      <c r="J492" s="4"/>
      <c r="K492" s="4"/>
      <c r="L492" s="4"/>
      <c r="M492" s="4"/>
      <c r="N492" s="4"/>
      <c r="O492" s="4"/>
      <c r="P492" s="4"/>
      <c r="Q492" s="4"/>
      <c r="R492" s="4"/>
      <c r="S492" s="4"/>
      <c r="T492" s="4"/>
      <c r="U492" s="4"/>
      <c r="V492" s="4"/>
      <c r="W492" s="4"/>
      <c r="X492" s="4"/>
    </row>
    <row r="493" spans="1:24" x14ac:dyDescent="0.2">
      <c r="B493" s="101" t="s">
        <v>340</v>
      </c>
      <c r="C493" s="98"/>
      <c r="D493" s="37"/>
      <c r="E493" s="65" t="s">
        <v>15</v>
      </c>
      <c r="F493" s="23"/>
      <c r="G493" s="152"/>
      <c r="H493" s="150" t="b">
        <f>IF(D493="x",H$2,H$1)</f>
        <v>0</v>
      </c>
    </row>
    <row r="494" spans="1:24" x14ac:dyDescent="0.2">
      <c r="B494" s="101" t="s">
        <v>350</v>
      </c>
      <c r="C494" s="99"/>
      <c r="D494" s="37"/>
      <c r="E494" s="65" t="s">
        <v>16</v>
      </c>
      <c r="F494" s="20" t="str">
        <f>IF(H495=1,IF(H493=H$2,H493,""),"")</f>
        <v/>
      </c>
      <c r="G494" s="152"/>
      <c r="H494" s="150" t="str">
        <f>IF(E$510="comprobar",COUNTIF(D493:D497,"x"),"")</f>
        <v/>
      </c>
    </row>
    <row r="495" spans="1:24" x14ac:dyDescent="0.2">
      <c r="B495" s="101" t="s">
        <v>342</v>
      </c>
      <c r="C495" s="99"/>
      <c r="D495" s="37"/>
      <c r="E495" s="65" t="s">
        <v>17</v>
      </c>
      <c r="F495" s="21" t="str">
        <f>IF(H495=-0.33,IF(H493=H$1,H493,""),"")</f>
        <v/>
      </c>
      <c r="G495" s="152"/>
      <c r="H495" s="151">
        <f t="shared" ref="H495" si="51">IF(H494=1,IF(H493=H$2,1,-0.33),0)</f>
        <v>0</v>
      </c>
    </row>
    <row r="496" spans="1:24" x14ac:dyDescent="0.2">
      <c r="B496" s="101" t="s">
        <v>343</v>
      </c>
      <c r="C496" s="99"/>
      <c r="D496" s="37"/>
      <c r="E496" s="65" t="s">
        <v>18</v>
      </c>
      <c r="F496" s="24"/>
      <c r="G496" s="152"/>
      <c r="H496" s="151"/>
    </row>
    <row r="497" spans="1:24" x14ac:dyDescent="0.2">
      <c r="B497" s="102"/>
      <c r="C497" s="70"/>
      <c r="D497" s="37"/>
      <c r="E497" s="65" t="s">
        <v>19</v>
      </c>
      <c r="F497" s="24"/>
      <c r="G497" s="18"/>
      <c r="H497" s="151"/>
    </row>
    <row r="498" spans="1:24" s="16" customFormat="1" x14ac:dyDescent="0.2">
      <c r="A498" s="4"/>
      <c r="B498" s="100" t="s">
        <v>315</v>
      </c>
      <c r="C498" s="71"/>
      <c r="D498" s="38"/>
      <c r="E498" s="13"/>
      <c r="F498" s="25"/>
      <c r="G498" s="152"/>
      <c r="H498" s="18"/>
      <c r="I498" s="4"/>
      <c r="J498" s="4"/>
      <c r="K498" s="4"/>
      <c r="L498" s="4"/>
      <c r="M498" s="4"/>
      <c r="N498" s="4"/>
      <c r="O498" s="4"/>
      <c r="P498" s="4"/>
      <c r="Q498" s="4"/>
      <c r="R498" s="4"/>
      <c r="S498" s="4"/>
      <c r="T498" s="4"/>
      <c r="U498" s="4"/>
      <c r="V498" s="4"/>
      <c r="W498" s="4"/>
      <c r="X498" s="4"/>
    </row>
    <row r="499" spans="1:24" x14ac:dyDescent="0.2">
      <c r="B499" s="101" t="s">
        <v>351</v>
      </c>
      <c r="C499" s="98"/>
      <c r="D499" s="37"/>
      <c r="E499" s="65" t="s">
        <v>15</v>
      </c>
      <c r="F499" s="23"/>
      <c r="G499" s="152"/>
      <c r="H499" s="150" t="b">
        <f>IF(D500="x",H$2,H$1)</f>
        <v>0</v>
      </c>
    </row>
    <row r="500" spans="1:24" x14ac:dyDescent="0.2">
      <c r="B500" s="101" t="s">
        <v>352</v>
      </c>
      <c r="C500" s="99"/>
      <c r="D500" s="37"/>
      <c r="E500" s="65" t="s">
        <v>16</v>
      </c>
      <c r="F500" s="20" t="str">
        <f>IF(H501=1,IF(H499=H$2,H499,""),"")</f>
        <v/>
      </c>
      <c r="G500" s="152"/>
      <c r="H500" s="150" t="str">
        <f>IF(E$510="comprobar",COUNTIF(D499:D503,"x"),"")</f>
        <v/>
      </c>
    </row>
    <row r="501" spans="1:24" x14ac:dyDescent="0.2">
      <c r="B501" s="101" t="s">
        <v>353</v>
      </c>
      <c r="C501" s="99"/>
      <c r="D501" s="37"/>
      <c r="E501" s="65" t="s">
        <v>17</v>
      </c>
      <c r="F501" s="21" t="str">
        <f>IF(H501=-0.33,IF(H499=H$1,H499,""),"")</f>
        <v/>
      </c>
      <c r="G501" s="152"/>
      <c r="H501" s="151">
        <f t="shared" ref="H501" si="52">IF(H500=1,IF(H499=H$2,1,-0.33),0)</f>
        <v>0</v>
      </c>
    </row>
    <row r="502" spans="1:24" x14ac:dyDescent="0.2">
      <c r="B502" s="101" t="s">
        <v>343</v>
      </c>
      <c r="C502" s="99"/>
      <c r="D502" s="37"/>
      <c r="E502" s="65" t="s">
        <v>18</v>
      </c>
      <c r="F502" s="19"/>
      <c r="G502" s="152"/>
      <c r="H502" s="151"/>
    </row>
    <row r="503" spans="1:24" x14ac:dyDescent="0.2">
      <c r="B503" s="102"/>
      <c r="C503" s="70"/>
      <c r="D503" s="37"/>
      <c r="E503" s="65" t="s">
        <v>19</v>
      </c>
      <c r="F503" s="24"/>
      <c r="G503" s="18"/>
      <c r="H503" s="151"/>
    </row>
    <row r="504" spans="1:24" s="16" customFormat="1" x14ac:dyDescent="0.2">
      <c r="A504" s="4"/>
      <c r="B504" s="100" t="s">
        <v>316</v>
      </c>
      <c r="C504" s="71"/>
      <c r="D504" s="38"/>
      <c r="E504" s="13"/>
      <c r="F504" s="25"/>
      <c r="G504" s="152"/>
      <c r="H504" s="18"/>
      <c r="I504" s="4"/>
      <c r="J504" s="4"/>
      <c r="K504" s="4"/>
      <c r="L504" s="4"/>
      <c r="M504" s="4"/>
      <c r="N504" s="4"/>
      <c r="O504" s="4"/>
      <c r="P504" s="4"/>
      <c r="Q504" s="4"/>
      <c r="R504" s="4"/>
      <c r="S504" s="4"/>
      <c r="T504" s="4"/>
      <c r="U504" s="4"/>
      <c r="V504" s="4"/>
      <c r="W504" s="4"/>
      <c r="X504" s="4"/>
    </row>
    <row r="505" spans="1:24" x14ac:dyDescent="0.2">
      <c r="B505" s="101" t="s">
        <v>354</v>
      </c>
      <c r="C505" s="98"/>
      <c r="D505" s="37"/>
      <c r="E505" s="65" t="s">
        <v>15</v>
      </c>
      <c r="F505" s="23"/>
      <c r="G505" s="152"/>
      <c r="H505" s="150" t="b">
        <f>IF(D507="x",H$2,H$1)</f>
        <v>0</v>
      </c>
    </row>
    <row r="506" spans="1:24" x14ac:dyDescent="0.2">
      <c r="B506" s="101" t="s">
        <v>355</v>
      </c>
      <c r="C506" s="99"/>
      <c r="D506" s="37"/>
      <c r="E506" s="65" t="s">
        <v>16</v>
      </c>
      <c r="F506" s="20" t="str">
        <f>IF(H507=1,IF(H505=H$2,H505,""),"")</f>
        <v/>
      </c>
      <c r="G506" s="152"/>
      <c r="H506" s="150" t="str">
        <f>IF(E$510="comprobar",COUNTIF(D505:D509,"x"),"")</f>
        <v/>
      </c>
    </row>
    <row r="507" spans="1:24" x14ac:dyDescent="0.2">
      <c r="B507" s="101" t="s">
        <v>356</v>
      </c>
      <c r="C507" s="99"/>
      <c r="D507" s="37"/>
      <c r="E507" s="65" t="s">
        <v>17</v>
      </c>
      <c r="F507" s="21" t="str">
        <f>IF(H507=-0.33,IF(H505=H$1,H505,""),"")</f>
        <v/>
      </c>
      <c r="G507" s="152"/>
      <c r="H507" s="151">
        <f t="shared" ref="H507" si="53">IF(H506=1,IF(H505=H$2,1,-0.33),0)</f>
        <v>0</v>
      </c>
    </row>
    <row r="508" spans="1:24" x14ac:dyDescent="0.2">
      <c r="B508" s="101" t="s">
        <v>343</v>
      </c>
      <c r="C508" s="99"/>
      <c r="D508" s="37"/>
      <c r="E508" s="65" t="s">
        <v>18</v>
      </c>
      <c r="F508" s="19"/>
      <c r="G508" s="152"/>
      <c r="H508" s="151"/>
    </row>
    <row r="509" spans="1:24" x14ac:dyDescent="0.2">
      <c r="B509" s="102"/>
      <c r="C509" s="70"/>
      <c r="D509" s="37"/>
      <c r="E509" s="65" t="s">
        <v>19</v>
      </c>
      <c r="F509" s="24"/>
      <c r="G509" s="18"/>
      <c r="H509" s="151"/>
    </row>
    <row r="510" spans="1:24" x14ac:dyDescent="0.2">
      <c r="B510" s="41"/>
      <c r="C510" s="8"/>
      <c r="D510" s="53"/>
      <c r="E510" s="64"/>
      <c r="F510" s="19"/>
      <c r="G510" s="18"/>
      <c r="H510" s="151"/>
    </row>
    <row r="511" spans="1:24" x14ac:dyDescent="0.2">
      <c r="B511" s="41"/>
      <c r="C511" s="8"/>
      <c r="D511" s="53"/>
      <c r="E511" s="64"/>
      <c r="F511" s="26" t="s">
        <v>8</v>
      </c>
      <c r="G511" s="18" t="s">
        <v>6</v>
      </c>
      <c r="H511" s="18" t="s">
        <v>7</v>
      </c>
    </row>
    <row r="512" spans="1:24" ht="20" x14ac:dyDescent="0.2">
      <c r="B512" s="41"/>
      <c r="C512" s="8"/>
      <c r="D512" s="193"/>
      <c r="E512" s="193"/>
      <c r="F512" s="27" t="str">
        <f>IF(E$510="comprobar",H441+H447+H453+H459+H465+H471+H477+H483+H489+H495+H501+H507,"")</f>
        <v/>
      </c>
      <c r="G512" s="18">
        <f>12/2</f>
        <v>6</v>
      </c>
      <c r="H512" s="18"/>
    </row>
    <row r="513" spans="1:24" ht="17" thickBot="1" x14ac:dyDescent="0.25">
      <c r="B513" s="72"/>
      <c r="C513" s="73"/>
      <c r="D513" s="29"/>
      <c r="E513" s="9"/>
      <c r="F513" s="30" t="str">
        <f>IF(F512&gt;G512,G511,H511)</f>
        <v>APROBADO</v>
      </c>
      <c r="G513" s="18"/>
      <c r="H513" s="18"/>
    </row>
    <row r="514" spans="1:24" ht="29" x14ac:dyDescent="0.35">
      <c r="B514" s="177" t="s">
        <v>21</v>
      </c>
      <c r="C514" s="118" t="s">
        <v>357</v>
      </c>
      <c r="D514" s="66"/>
      <c r="E514" s="66"/>
      <c r="F514" s="67"/>
    </row>
    <row r="515" spans="1:24" s="182" customFormat="1" ht="19" customHeight="1" x14ac:dyDescent="0.2">
      <c r="A515" s="179"/>
      <c r="B515" s="100" t="s">
        <v>358</v>
      </c>
      <c r="C515" s="183"/>
      <c r="D515" s="180"/>
      <c r="E515" s="181"/>
      <c r="F515" s="95"/>
      <c r="G515" s="17"/>
      <c r="H515" s="17"/>
      <c r="I515" s="179"/>
      <c r="J515" s="179"/>
      <c r="K515" s="179"/>
      <c r="L515" s="179"/>
      <c r="M515" s="179"/>
      <c r="N515" s="179"/>
      <c r="O515" s="179"/>
      <c r="P515" s="179"/>
      <c r="Q515" s="179"/>
      <c r="R515" s="179"/>
      <c r="S515" s="179"/>
      <c r="T515" s="179"/>
      <c r="U515" s="179"/>
      <c r="V515" s="179"/>
      <c r="W515" s="179"/>
      <c r="X515" s="179"/>
    </row>
    <row r="516" spans="1:24" ht="19" x14ac:dyDescent="0.25">
      <c r="B516" s="109" t="s">
        <v>368</v>
      </c>
      <c r="C516" s="80"/>
      <c r="D516" s="37"/>
      <c r="E516" s="58" t="s">
        <v>15</v>
      </c>
      <c r="F516" s="24"/>
      <c r="G516" s="18"/>
      <c r="H516" s="150" t="b">
        <f>IF(D516="x",H$2,H$1)</f>
        <v>0</v>
      </c>
    </row>
    <row r="517" spans="1:24" ht="19" x14ac:dyDescent="0.25">
      <c r="B517" s="109" t="s">
        <v>369</v>
      </c>
      <c r="C517" s="82"/>
      <c r="D517" s="37"/>
      <c r="E517" s="58" t="s">
        <v>16</v>
      </c>
      <c r="F517" s="20" t="str">
        <f>IF(H518=1,IF(H516=H$2,H516,""),"")</f>
        <v/>
      </c>
      <c r="G517" s="18"/>
      <c r="H517" s="150" t="str">
        <f>IF(E$586="comprobar",COUNTIF(D516:D520,"x"),"")</f>
        <v/>
      </c>
    </row>
    <row r="518" spans="1:24" ht="19" x14ac:dyDescent="0.25">
      <c r="B518" s="109" t="s">
        <v>370</v>
      </c>
      <c r="C518" s="82"/>
      <c r="D518" s="37"/>
      <c r="E518" s="58" t="s">
        <v>17</v>
      </c>
      <c r="F518" s="21" t="str">
        <f>IF(H518=-0.33,IF(H516=H$1,H516,""),"")</f>
        <v/>
      </c>
      <c r="G518" s="18"/>
      <c r="H518" s="151">
        <f>IF(H517=1,IF(H516=H$2,1,-0.33),0)</f>
        <v>0</v>
      </c>
    </row>
    <row r="519" spans="1:24" ht="19" x14ac:dyDescent="0.25">
      <c r="B519" s="109" t="s">
        <v>318</v>
      </c>
      <c r="C519" s="82"/>
      <c r="D519" s="37"/>
      <c r="E519" s="58" t="s">
        <v>18</v>
      </c>
      <c r="F519" s="24"/>
      <c r="G519" s="18"/>
      <c r="H519" s="151"/>
    </row>
    <row r="520" spans="1:24" x14ac:dyDescent="0.2">
      <c r="B520" s="102"/>
      <c r="C520" s="70"/>
      <c r="D520" s="37"/>
      <c r="E520" s="58" t="s">
        <v>19</v>
      </c>
      <c r="F520" s="19"/>
      <c r="G520" s="18"/>
      <c r="H520" s="151"/>
    </row>
    <row r="521" spans="1:24" s="182" customFormat="1" ht="19" customHeight="1" x14ac:dyDescent="0.2">
      <c r="A521" s="179"/>
      <c r="B521" s="100" t="s">
        <v>359</v>
      </c>
      <c r="C521" s="184"/>
      <c r="D521" s="180"/>
      <c r="E521" s="181"/>
      <c r="F521" s="25"/>
      <c r="G521" s="17"/>
      <c r="H521" s="17"/>
      <c r="I521" s="179"/>
      <c r="J521" s="179"/>
      <c r="K521" s="179"/>
      <c r="L521" s="179"/>
      <c r="M521" s="179"/>
      <c r="N521" s="179"/>
      <c r="O521" s="179"/>
      <c r="P521" s="179"/>
      <c r="Q521" s="179"/>
      <c r="R521" s="179"/>
      <c r="S521" s="179"/>
      <c r="T521" s="179"/>
      <c r="U521" s="179"/>
      <c r="V521" s="179"/>
      <c r="W521" s="179"/>
      <c r="X521" s="179"/>
    </row>
    <row r="522" spans="1:24" ht="19" x14ac:dyDescent="0.2">
      <c r="B522" s="109" t="s">
        <v>388</v>
      </c>
      <c r="C522" s="103"/>
      <c r="D522" s="37"/>
      <c r="E522" s="58" t="s">
        <v>15</v>
      </c>
      <c r="F522" s="24"/>
      <c r="G522" s="18"/>
      <c r="H522" s="150" t="b">
        <f t="shared" ref="H522" si="54">IF(D522="x",H$2,H$1)</f>
        <v>0</v>
      </c>
    </row>
    <row r="523" spans="1:24" ht="19" x14ac:dyDescent="0.25">
      <c r="B523" s="109" t="s">
        <v>371</v>
      </c>
      <c r="C523" s="80"/>
      <c r="D523" s="37"/>
      <c r="E523" s="58" t="s">
        <v>16</v>
      </c>
      <c r="F523" s="20" t="str">
        <f>IF(H524=1,IF(H522=H$2,H522,""),"")</f>
        <v/>
      </c>
      <c r="G523" s="18"/>
      <c r="H523" s="150" t="str">
        <f t="shared" ref="H523" si="55">IF(E$586="comprobar",COUNTIF(D522:D526,"x"),"")</f>
        <v/>
      </c>
    </row>
    <row r="524" spans="1:24" ht="19" x14ac:dyDescent="0.25">
      <c r="B524" s="109" t="s">
        <v>372</v>
      </c>
      <c r="C524" s="82"/>
      <c r="D524" s="37"/>
      <c r="E524" s="58" t="s">
        <v>17</v>
      </c>
      <c r="F524" s="21" t="str">
        <f>IF(H524=-0.33,IF(H522=H$1,H522,""),"")</f>
        <v/>
      </c>
      <c r="G524" s="18"/>
      <c r="H524" s="151">
        <f t="shared" ref="H524" si="56">IF(H523=1,IF(H522=H$2,1,-0.33),0)</f>
        <v>0</v>
      </c>
    </row>
    <row r="525" spans="1:24" ht="19" x14ac:dyDescent="0.25">
      <c r="B525" s="109" t="s">
        <v>318</v>
      </c>
      <c r="C525" s="82"/>
      <c r="D525" s="37"/>
      <c r="E525" s="58" t="s">
        <v>18</v>
      </c>
      <c r="F525" s="24"/>
      <c r="G525" s="18"/>
      <c r="H525" s="151"/>
    </row>
    <row r="526" spans="1:24" ht="19" x14ac:dyDescent="0.25">
      <c r="B526" s="110"/>
      <c r="C526" s="83"/>
      <c r="D526" s="37"/>
      <c r="E526" s="58" t="s">
        <v>19</v>
      </c>
      <c r="F526" s="19"/>
      <c r="G526" s="18"/>
      <c r="H526" s="151"/>
    </row>
    <row r="527" spans="1:24" s="182" customFormat="1" ht="19" customHeight="1" x14ac:dyDescent="0.2">
      <c r="A527" s="179"/>
      <c r="B527" s="100" t="s">
        <v>360</v>
      </c>
      <c r="C527" s="185"/>
      <c r="D527" s="180"/>
      <c r="E527" s="181"/>
      <c r="F527" s="25"/>
      <c r="G527" s="17"/>
      <c r="H527" s="17"/>
      <c r="I527" s="179"/>
      <c r="J527" s="179"/>
      <c r="K527" s="179"/>
      <c r="L527" s="179"/>
      <c r="M527" s="179"/>
      <c r="N527" s="179"/>
      <c r="O527" s="179"/>
      <c r="P527" s="179"/>
      <c r="Q527" s="179"/>
      <c r="R527" s="179"/>
      <c r="S527" s="179"/>
      <c r="T527" s="179"/>
      <c r="U527" s="179"/>
      <c r="V527" s="179"/>
      <c r="W527" s="179"/>
      <c r="X527" s="179"/>
    </row>
    <row r="528" spans="1:24" ht="19" x14ac:dyDescent="0.25">
      <c r="B528" s="109" t="s">
        <v>319</v>
      </c>
      <c r="C528" s="82"/>
      <c r="D528" s="37"/>
      <c r="E528" s="58" t="s">
        <v>15</v>
      </c>
      <c r="F528" s="24"/>
      <c r="G528" s="18"/>
      <c r="H528" s="150" t="b">
        <f>IF(D529="x",H$2,H$1)</f>
        <v>0</v>
      </c>
    </row>
    <row r="529" spans="1:24" ht="19" x14ac:dyDescent="0.25">
      <c r="B529" s="109" t="s">
        <v>373</v>
      </c>
      <c r="C529" s="82"/>
      <c r="D529" s="37"/>
      <c r="E529" s="58" t="s">
        <v>16</v>
      </c>
      <c r="F529" s="20" t="str">
        <f>IF(H530=1,IF(H528=H$2,H528,""),"")</f>
        <v/>
      </c>
      <c r="G529" s="18"/>
      <c r="H529" s="150" t="str">
        <f t="shared" ref="H529" si="57">IF(E$586="comprobar",COUNTIF(D528:D532,"x"),"")</f>
        <v/>
      </c>
    </row>
    <row r="530" spans="1:24" ht="19" x14ac:dyDescent="0.25">
      <c r="B530" s="109" t="s">
        <v>374</v>
      </c>
      <c r="C530" s="83"/>
      <c r="D530" s="37"/>
      <c r="E530" s="58" t="s">
        <v>17</v>
      </c>
      <c r="F530" s="21" t="str">
        <f>IF(H530=-0.33,IF(H528=H$1,H528,""),"")</f>
        <v/>
      </c>
      <c r="G530" s="18"/>
      <c r="H530" s="151">
        <f t="shared" ref="H530" si="58">IF(H529=1,IF(H528=H$2,1,-0.33),0)</f>
        <v>0</v>
      </c>
    </row>
    <row r="531" spans="1:24" ht="19" x14ac:dyDescent="0.2">
      <c r="B531" s="109" t="s">
        <v>318</v>
      </c>
      <c r="C531" s="103"/>
      <c r="D531" s="37"/>
      <c r="E531" s="58" t="s">
        <v>18</v>
      </c>
      <c r="F531" s="24"/>
      <c r="G531" s="18"/>
      <c r="H531" s="151"/>
    </row>
    <row r="532" spans="1:24" x14ac:dyDescent="0.2">
      <c r="B532" s="102"/>
      <c r="C532" s="70"/>
      <c r="D532" s="37"/>
      <c r="E532" s="58" t="s">
        <v>19</v>
      </c>
      <c r="F532" s="19"/>
      <c r="G532" s="18"/>
      <c r="H532" s="151"/>
    </row>
    <row r="533" spans="1:24" s="182" customFormat="1" ht="38" customHeight="1" x14ac:dyDescent="0.2">
      <c r="A533" s="179"/>
      <c r="B533" s="189" t="s">
        <v>361</v>
      </c>
      <c r="C533" s="190"/>
      <c r="D533" s="180"/>
      <c r="E533" s="181"/>
      <c r="F533" s="25"/>
      <c r="G533" s="17"/>
      <c r="H533" s="17"/>
      <c r="I533" s="179"/>
      <c r="J533" s="179"/>
      <c r="K533" s="179"/>
      <c r="L533" s="179"/>
      <c r="M533" s="179"/>
      <c r="N533" s="179"/>
      <c r="O533" s="179"/>
      <c r="P533" s="179"/>
      <c r="Q533" s="179"/>
      <c r="R533" s="179"/>
      <c r="S533" s="179"/>
      <c r="T533" s="179"/>
      <c r="U533" s="179"/>
      <c r="V533" s="179"/>
      <c r="W533" s="179"/>
      <c r="X533" s="179"/>
    </row>
    <row r="534" spans="1:24" ht="19" x14ac:dyDescent="0.25">
      <c r="B534" s="109" t="s">
        <v>442</v>
      </c>
      <c r="C534" s="82"/>
      <c r="D534" s="37"/>
      <c r="E534" s="58" t="s">
        <v>15</v>
      </c>
      <c r="F534" s="24"/>
      <c r="G534" s="18"/>
      <c r="H534" s="150" t="b">
        <f>IF(D536="x",H$2,H$1)</f>
        <v>0</v>
      </c>
    </row>
    <row r="535" spans="1:24" ht="19" x14ac:dyDescent="0.25">
      <c r="B535" s="109" t="s">
        <v>440</v>
      </c>
      <c r="C535" s="82"/>
      <c r="D535" s="37"/>
      <c r="E535" s="58"/>
      <c r="F535" s="20" t="str">
        <f>IF(H536=1,IF(H534=H$2,H534,""),"")</f>
        <v/>
      </c>
      <c r="G535" s="18"/>
      <c r="H535" s="150" t="str">
        <f t="shared" ref="H535" si="59">IF(E$586="comprobar",COUNTIF(D534:D538,"x"),"")</f>
        <v/>
      </c>
    </row>
    <row r="536" spans="1:24" ht="19" x14ac:dyDescent="0.25">
      <c r="B536" s="109" t="s">
        <v>441</v>
      </c>
      <c r="C536" s="82"/>
      <c r="D536" s="37"/>
      <c r="E536" s="58" t="s">
        <v>16</v>
      </c>
      <c r="F536" s="21" t="str">
        <f>IF(H536=-0.33,IF(H534=H$1,H534,""),"")</f>
        <v/>
      </c>
      <c r="G536" s="18"/>
      <c r="H536" s="151">
        <f t="shared" ref="H536" si="60">IF(H535=1,IF(H534=H$2,1,-0.33),0)</f>
        <v>0</v>
      </c>
    </row>
    <row r="537" spans="1:24" ht="19" x14ac:dyDescent="0.25">
      <c r="B537" s="109" t="s">
        <v>440</v>
      </c>
      <c r="C537" s="82"/>
      <c r="D537" s="37"/>
      <c r="E537" s="58"/>
      <c r="F537" s="24"/>
      <c r="G537" s="18"/>
      <c r="H537" s="151"/>
    </row>
    <row r="538" spans="1:24" ht="19" x14ac:dyDescent="0.2">
      <c r="B538" s="109" t="s">
        <v>443</v>
      </c>
      <c r="C538" s="107"/>
      <c r="D538" s="37"/>
      <c r="E538" s="58" t="s">
        <v>17</v>
      </c>
      <c r="F538" s="19"/>
      <c r="G538" s="18"/>
      <c r="H538" s="151"/>
    </row>
    <row r="539" spans="1:24" ht="19" customHeight="1" x14ac:dyDescent="0.25">
      <c r="B539" s="109" t="s">
        <v>440</v>
      </c>
      <c r="C539" s="108"/>
      <c r="D539" s="37"/>
      <c r="E539" s="58"/>
      <c r="F539" s="19"/>
      <c r="G539" s="18"/>
      <c r="H539" s="151"/>
    </row>
    <row r="540" spans="1:24" ht="19" x14ac:dyDescent="0.25">
      <c r="B540" s="109" t="s">
        <v>318</v>
      </c>
      <c r="C540" s="82"/>
      <c r="D540" s="37"/>
      <c r="E540" s="58" t="s">
        <v>18</v>
      </c>
      <c r="F540" s="24"/>
      <c r="G540" s="18"/>
      <c r="H540" s="18"/>
    </row>
    <row r="541" spans="1:24" s="182" customFormat="1" x14ac:dyDescent="0.2">
      <c r="A541" s="179"/>
      <c r="B541" s="100" t="s">
        <v>362</v>
      </c>
      <c r="C541" s="186"/>
      <c r="D541" s="187"/>
      <c r="E541" s="181"/>
      <c r="F541" s="95"/>
      <c r="G541" s="17"/>
      <c r="H541" s="17"/>
      <c r="I541" s="179"/>
      <c r="J541" s="179"/>
      <c r="K541" s="179"/>
      <c r="L541" s="179"/>
      <c r="M541" s="179"/>
      <c r="N541" s="179"/>
      <c r="O541" s="179"/>
      <c r="P541" s="179"/>
      <c r="Q541" s="179"/>
      <c r="R541" s="179"/>
      <c r="S541" s="179"/>
      <c r="T541" s="179"/>
      <c r="U541" s="179"/>
      <c r="V541" s="179"/>
      <c r="W541" s="179"/>
      <c r="X541" s="179"/>
    </row>
    <row r="542" spans="1:24" ht="19" x14ac:dyDescent="0.25">
      <c r="B542" s="109" t="s">
        <v>444</v>
      </c>
      <c r="C542" s="82"/>
      <c r="D542" s="37"/>
      <c r="E542" s="58" t="s">
        <v>15</v>
      </c>
      <c r="F542" s="24"/>
      <c r="G542" s="18"/>
      <c r="H542" s="150" t="b">
        <f>IF(D542="x",H$2,H$1)</f>
        <v>0</v>
      </c>
    </row>
    <row r="543" spans="1:24" ht="19" x14ac:dyDescent="0.25">
      <c r="B543" s="109" t="s">
        <v>440</v>
      </c>
      <c r="C543" s="82"/>
      <c r="D543" s="37"/>
      <c r="E543" s="58"/>
      <c r="F543" s="20" t="str">
        <f>IF(H544=1,IF(H542=H$2,H542,""),"")</f>
        <v/>
      </c>
      <c r="G543" s="18"/>
      <c r="H543" s="150" t="str">
        <f t="shared" ref="H543" si="61">IF(E$586="comprobar",COUNTIF(D542:D546,"x"),"")</f>
        <v/>
      </c>
    </row>
    <row r="544" spans="1:24" ht="19" x14ac:dyDescent="0.2">
      <c r="B544" s="109" t="s">
        <v>445</v>
      </c>
      <c r="C544" s="107"/>
      <c r="D544" s="37"/>
      <c r="E544" s="58" t="s">
        <v>16</v>
      </c>
      <c r="F544" s="21" t="str">
        <f>IF(H544=-0.33,IF(H542=H$1,H542,""),"")</f>
        <v/>
      </c>
      <c r="G544" s="18"/>
      <c r="H544" s="151">
        <f t="shared" ref="H544" si="62">IF(H543=1,IF(H542=H$2,1,-0.33),0)</f>
        <v>0</v>
      </c>
    </row>
    <row r="545" spans="1:24" ht="19" customHeight="1" x14ac:dyDescent="0.25">
      <c r="B545" s="109" t="s">
        <v>440</v>
      </c>
      <c r="C545" s="108"/>
      <c r="D545" s="37"/>
      <c r="E545" s="58"/>
      <c r="F545" s="24"/>
      <c r="G545" s="18"/>
      <c r="H545" s="151"/>
    </row>
    <row r="546" spans="1:24" ht="19" x14ac:dyDescent="0.25">
      <c r="B546" s="109" t="s">
        <v>440</v>
      </c>
      <c r="C546" s="82"/>
      <c r="D546" s="37"/>
      <c r="E546" s="58"/>
      <c r="F546" s="19"/>
      <c r="G546" s="18"/>
      <c r="H546" s="151"/>
    </row>
    <row r="547" spans="1:24" ht="19" x14ac:dyDescent="0.25">
      <c r="B547" s="109" t="s">
        <v>446</v>
      </c>
      <c r="C547" s="82"/>
      <c r="D547" s="37"/>
      <c r="E547" s="58" t="s">
        <v>17</v>
      </c>
      <c r="F547" s="19"/>
      <c r="G547" s="18"/>
      <c r="H547" s="151"/>
    </row>
    <row r="548" spans="1:24" ht="19" x14ac:dyDescent="0.25">
      <c r="B548" s="109" t="s">
        <v>440</v>
      </c>
      <c r="C548" s="82"/>
      <c r="D548" s="37"/>
      <c r="E548" s="58"/>
      <c r="F548" s="19"/>
      <c r="G548" s="18"/>
      <c r="H548" s="18"/>
    </row>
    <row r="549" spans="1:24" ht="19" x14ac:dyDescent="0.25">
      <c r="B549" s="109" t="s">
        <v>318</v>
      </c>
      <c r="C549" s="83"/>
      <c r="D549" s="37"/>
      <c r="E549" s="58" t="s">
        <v>18</v>
      </c>
      <c r="F549" s="19"/>
      <c r="G549" s="18"/>
      <c r="H549" s="18"/>
    </row>
    <row r="550" spans="1:24" s="182" customFormat="1" x14ac:dyDescent="0.2">
      <c r="A550" s="179"/>
      <c r="B550" s="100" t="s">
        <v>363</v>
      </c>
      <c r="C550" s="183"/>
      <c r="D550" s="180"/>
      <c r="E550" s="181"/>
      <c r="F550" s="25"/>
      <c r="G550" s="152"/>
      <c r="H550" s="17"/>
      <c r="I550" s="179"/>
      <c r="J550" s="179"/>
      <c r="K550" s="179"/>
      <c r="L550" s="179"/>
      <c r="M550" s="179"/>
      <c r="N550" s="179"/>
      <c r="O550" s="179"/>
      <c r="P550" s="179"/>
      <c r="Q550" s="179"/>
      <c r="R550" s="179"/>
      <c r="S550" s="179"/>
      <c r="T550" s="179"/>
      <c r="U550" s="179"/>
      <c r="V550" s="179"/>
      <c r="W550" s="179"/>
      <c r="X550" s="179"/>
    </row>
    <row r="551" spans="1:24" ht="19" customHeight="1" x14ac:dyDescent="0.2">
      <c r="B551" s="191" t="s">
        <v>375</v>
      </c>
      <c r="C551" s="192"/>
      <c r="D551" s="37"/>
      <c r="E551" s="58" t="s">
        <v>15</v>
      </c>
      <c r="F551" s="24"/>
      <c r="G551" s="152"/>
      <c r="H551" s="150" t="b">
        <f>IF(D553="x",H$2,H$1)</f>
        <v>0</v>
      </c>
    </row>
    <row r="552" spans="1:24" x14ac:dyDescent="0.2">
      <c r="B552" s="191" t="s">
        <v>376</v>
      </c>
      <c r="C552" s="192"/>
      <c r="D552" s="37"/>
      <c r="E552" s="58" t="s">
        <v>16</v>
      </c>
      <c r="F552" s="20" t="str">
        <f>IF(H553=1,IF(H551=H$2,H551,""),"")</f>
        <v/>
      </c>
      <c r="G552" s="152"/>
      <c r="H552" s="150" t="str">
        <f t="shared" ref="H552" si="63">IF(E$586="comprobar",COUNTIF(D551:D555,"x"),"")</f>
        <v/>
      </c>
    </row>
    <row r="553" spans="1:24" x14ac:dyDescent="0.2">
      <c r="B553" s="191" t="s">
        <v>389</v>
      </c>
      <c r="C553" s="192"/>
      <c r="D553" s="37"/>
      <c r="E553" s="58" t="s">
        <v>17</v>
      </c>
      <c r="F553" s="21" t="str">
        <f>IF(H553=-0.33,IF(H551=H$1,H551,""),"")</f>
        <v/>
      </c>
      <c r="G553" s="152"/>
      <c r="H553" s="151">
        <f t="shared" ref="H553:H577" si="64">IF(H552=1,IF(H551=H$2,1,-0.33),0)</f>
        <v>0</v>
      </c>
    </row>
    <row r="554" spans="1:24" x14ac:dyDescent="0.2">
      <c r="B554" s="191" t="s">
        <v>318</v>
      </c>
      <c r="C554" s="192"/>
      <c r="D554" s="37"/>
      <c r="E554" s="58" t="s">
        <v>18</v>
      </c>
      <c r="F554" s="24"/>
      <c r="G554" s="152"/>
      <c r="H554" s="151"/>
    </row>
    <row r="555" spans="1:24" x14ac:dyDescent="0.2">
      <c r="B555" s="102"/>
      <c r="C555" s="70"/>
      <c r="D555" s="37"/>
      <c r="E555" s="58" t="s">
        <v>19</v>
      </c>
      <c r="F555" s="19"/>
      <c r="G555" s="152"/>
      <c r="H555" s="151"/>
    </row>
    <row r="556" spans="1:24" s="182" customFormat="1" x14ac:dyDescent="0.2">
      <c r="A556" s="179"/>
      <c r="B556" s="100" t="s">
        <v>364</v>
      </c>
      <c r="C556" s="184"/>
      <c r="D556" s="180"/>
      <c r="E556" s="181"/>
      <c r="F556" s="25"/>
      <c r="G556" s="152"/>
      <c r="H556" s="17"/>
      <c r="I556" s="179"/>
      <c r="J556" s="179"/>
      <c r="K556" s="179"/>
      <c r="L556" s="179"/>
      <c r="M556" s="179"/>
      <c r="N556" s="179"/>
      <c r="O556" s="179"/>
      <c r="P556" s="179"/>
      <c r="Q556" s="179"/>
      <c r="R556" s="179"/>
      <c r="S556" s="179"/>
      <c r="T556" s="179"/>
      <c r="U556" s="179"/>
      <c r="V556" s="179"/>
      <c r="W556" s="179"/>
      <c r="X556" s="179"/>
    </row>
    <row r="557" spans="1:24" ht="19" customHeight="1" x14ac:dyDescent="0.2">
      <c r="B557" s="191" t="s">
        <v>377</v>
      </c>
      <c r="C557" s="192"/>
      <c r="D557" s="37"/>
      <c r="E557" s="58" t="s">
        <v>15</v>
      </c>
      <c r="F557" s="24"/>
      <c r="G557" s="152"/>
      <c r="H557" s="150" t="b">
        <f>IF(D558="x",H$2,H$1)</f>
        <v>0</v>
      </c>
    </row>
    <row r="558" spans="1:24" x14ac:dyDescent="0.2">
      <c r="B558" s="191" t="s">
        <v>378</v>
      </c>
      <c r="C558" s="192"/>
      <c r="D558" s="37"/>
      <c r="E558" s="58" t="s">
        <v>16</v>
      </c>
      <c r="F558" s="20" t="str">
        <f>IF(H559=1,IF(H557=H$2,H557,""),"")</f>
        <v/>
      </c>
      <c r="G558" s="152"/>
      <c r="H558" s="150" t="str">
        <f t="shared" ref="H558" si="65">IF(E$586="comprobar",COUNTIF(D557:D561,"x"),"")</f>
        <v/>
      </c>
    </row>
    <row r="559" spans="1:24" x14ac:dyDescent="0.2">
      <c r="B559" s="191" t="s">
        <v>379</v>
      </c>
      <c r="C559" s="192"/>
      <c r="D559" s="37"/>
      <c r="E559" s="58" t="s">
        <v>17</v>
      </c>
      <c r="F559" s="21" t="str">
        <f>IF(H559=-0.33,IF(H557=H$1,H557,""),"")</f>
        <v/>
      </c>
      <c r="G559" s="152"/>
      <c r="H559" s="151">
        <f t="shared" si="64"/>
        <v>0</v>
      </c>
    </row>
    <row r="560" spans="1:24" ht="19" customHeight="1" x14ac:dyDescent="0.2">
      <c r="B560" s="191" t="s">
        <v>318</v>
      </c>
      <c r="C560" s="192"/>
      <c r="D560" s="37"/>
      <c r="E560" s="58" t="s">
        <v>18</v>
      </c>
      <c r="F560" s="24"/>
      <c r="G560" s="152"/>
      <c r="H560" s="151"/>
    </row>
    <row r="561" spans="1:24" x14ac:dyDescent="0.2">
      <c r="B561" s="111"/>
      <c r="C561" s="112"/>
      <c r="D561" s="37"/>
      <c r="E561" s="58" t="s">
        <v>19</v>
      </c>
      <c r="F561" s="19"/>
      <c r="G561" s="152"/>
      <c r="H561" s="151"/>
    </row>
    <row r="562" spans="1:24" s="182" customFormat="1" x14ac:dyDescent="0.2">
      <c r="A562" s="179"/>
      <c r="B562" s="100" t="s">
        <v>365</v>
      </c>
      <c r="C562" s="183"/>
      <c r="D562" s="180"/>
      <c r="E562" s="181"/>
      <c r="F562" s="25"/>
      <c r="G562" s="152"/>
      <c r="H562" s="17"/>
      <c r="I562" s="179"/>
      <c r="J562" s="179"/>
      <c r="K562" s="179"/>
      <c r="L562" s="179"/>
      <c r="M562" s="179"/>
      <c r="N562" s="179"/>
      <c r="O562" s="179"/>
      <c r="P562" s="179"/>
      <c r="Q562" s="179"/>
      <c r="R562" s="179"/>
      <c r="S562" s="179"/>
      <c r="T562" s="179"/>
      <c r="U562" s="179"/>
      <c r="V562" s="179"/>
      <c r="W562" s="179"/>
      <c r="X562" s="179"/>
    </row>
    <row r="563" spans="1:24" ht="19" customHeight="1" x14ac:dyDescent="0.25">
      <c r="B563" s="113" t="s">
        <v>380</v>
      </c>
      <c r="C563" s="80"/>
      <c r="D563" s="37"/>
      <c r="E563" s="58" t="s">
        <v>15</v>
      </c>
      <c r="F563" s="24"/>
      <c r="G563" s="152"/>
      <c r="H563" s="150" t="b">
        <f t="shared" ref="H563" si="66">IF(D566="x",H$2,H$1)</f>
        <v>0</v>
      </c>
    </row>
    <row r="564" spans="1:24" ht="19" x14ac:dyDescent="0.25">
      <c r="B564" s="113" t="s">
        <v>381</v>
      </c>
      <c r="C564" s="82"/>
      <c r="D564" s="37"/>
      <c r="E564" s="58" t="s">
        <v>16</v>
      </c>
      <c r="F564" s="20" t="str">
        <f>IF(H565=1,IF(H563=H$2,H563,""),"")</f>
        <v/>
      </c>
      <c r="G564" s="152"/>
      <c r="H564" s="150" t="str">
        <f t="shared" ref="H564" si="67">IF(E$586="comprobar",COUNTIF(D563:D567,"x"),"")</f>
        <v/>
      </c>
    </row>
    <row r="565" spans="1:24" ht="19" x14ac:dyDescent="0.25">
      <c r="B565" s="113" t="s">
        <v>382</v>
      </c>
      <c r="C565" s="82"/>
      <c r="D565" s="37"/>
      <c r="E565" s="58" t="s">
        <v>17</v>
      </c>
      <c r="F565" s="21" t="str">
        <f>IF(H565=-0.33,IF(H563=H$1,H563,""),"")</f>
        <v/>
      </c>
      <c r="G565" s="152"/>
      <c r="H565" s="151">
        <f t="shared" si="64"/>
        <v>0</v>
      </c>
    </row>
    <row r="566" spans="1:24" ht="19" x14ac:dyDescent="0.25">
      <c r="B566" s="113" t="s">
        <v>390</v>
      </c>
      <c r="C566" s="82"/>
      <c r="D566" s="37"/>
      <c r="E566" s="58" t="s">
        <v>18</v>
      </c>
      <c r="F566" s="24"/>
      <c r="G566" s="152"/>
      <c r="H566" s="151"/>
    </row>
    <row r="567" spans="1:24" s="4" customFormat="1" ht="19" x14ac:dyDescent="0.25">
      <c r="B567" s="114"/>
      <c r="C567" s="104"/>
      <c r="D567" s="37"/>
      <c r="E567" s="58" t="s">
        <v>19</v>
      </c>
      <c r="F567" s="19"/>
      <c r="G567" s="152"/>
      <c r="H567" s="151"/>
    </row>
    <row r="568" spans="1:24" s="182" customFormat="1" x14ac:dyDescent="0.2">
      <c r="A568" s="179"/>
      <c r="B568" s="100" t="s">
        <v>365</v>
      </c>
      <c r="C568" s="183"/>
      <c r="D568" s="180"/>
      <c r="E568" s="181"/>
      <c r="F568" s="25"/>
      <c r="G568" s="152"/>
      <c r="H568" s="17"/>
      <c r="I568" s="179"/>
      <c r="J568" s="179"/>
      <c r="K568" s="179"/>
      <c r="L568" s="179"/>
      <c r="M568" s="179"/>
      <c r="N568" s="179"/>
      <c r="O568" s="179"/>
      <c r="P568" s="179"/>
      <c r="Q568" s="179"/>
      <c r="R568" s="179"/>
      <c r="S568" s="179"/>
      <c r="T568" s="179"/>
      <c r="U568" s="179"/>
      <c r="V568" s="179"/>
      <c r="W568" s="179"/>
      <c r="X568" s="179"/>
    </row>
    <row r="569" spans="1:24" ht="19" customHeight="1" x14ac:dyDescent="0.25">
      <c r="B569" s="113" t="s">
        <v>380</v>
      </c>
      <c r="C569" s="80"/>
      <c r="D569" s="37"/>
      <c r="E569" s="58" t="s">
        <v>15</v>
      </c>
      <c r="F569" s="24"/>
      <c r="G569" s="152"/>
      <c r="H569" s="150" t="b">
        <f t="shared" ref="H569" si="68">IF(D572="x",H$2,H$1)</f>
        <v>0</v>
      </c>
    </row>
    <row r="570" spans="1:24" ht="19" x14ac:dyDescent="0.25">
      <c r="B570" s="113" t="s">
        <v>381</v>
      </c>
      <c r="C570" s="82"/>
      <c r="D570" s="37"/>
      <c r="E570" s="58" t="s">
        <v>16</v>
      </c>
      <c r="F570" s="20" t="str">
        <f>IF(H571=1,IF(H569=H$2,H569,""),"")</f>
        <v/>
      </c>
      <c r="G570" s="152"/>
      <c r="H570" s="150" t="str">
        <f t="shared" ref="H570" si="69">IF(E$586="comprobar",COUNTIF(D569:D573,"x"),"")</f>
        <v/>
      </c>
    </row>
    <row r="571" spans="1:24" ht="19" x14ac:dyDescent="0.25">
      <c r="B571" s="113" t="s">
        <v>382</v>
      </c>
      <c r="C571" s="82"/>
      <c r="D571" s="37"/>
      <c r="E571" s="58" t="s">
        <v>17</v>
      </c>
      <c r="F571" s="21" t="str">
        <f>IF(H571=-0.33,IF(H569=H$1,H569,""),"")</f>
        <v/>
      </c>
      <c r="G571" s="152"/>
      <c r="H571" s="151">
        <f t="shared" si="64"/>
        <v>0</v>
      </c>
    </row>
    <row r="572" spans="1:24" ht="19" x14ac:dyDescent="0.25">
      <c r="B572" s="113" t="s">
        <v>390</v>
      </c>
      <c r="C572" s="82"/>
      <c r="D572" s="37"/>
      <c r="E572" s="58" t="s">
        <v>18</v>
      </c>
      <c r="F572" s="24"/>
      <c r="G572" s="152"/>
      <c r="H572" s="151"/>
    </row>
    <row r="573" spans="1:24" s="4" customFormat="1" x14ac:dyDescent="0.2">
      <c r="B573" s="115"/>
      <c r="C573" s="116"/>
      <c r="D573" s="37"/>
      <c r="E573" s="58" t="s">
        <v>19</v>
      </c>
      <c r="F573" s="19"/>
      <c r="G573" s="152"/>
      <c r="H573" s="151"/>
    </row>
    <row r="574" spans="1:24" s="7" customFormat="1" x14ac:dyDescent="0.2">
      <c r="A574" s="179"/>
      <c r="B574" s="100" t="s">
        <v>366</v>
      </c>
      <c r="C574" s="183"/>
      <c r="D574" s="180"/>
      <c r="E574" s="181"/>
      <c r="F574" s="25"/>
      <c r="G574" s="152"/>
      <c r="H574" s="17"/>
      <c r="I574" s="179"/>
      <c r="J574" s="179"/>
      <c r="K574" s="179"/>
      <c r="L574" s="179"/>
      <c r="M574" s="179"/>
      <c r="N574" s="179"/>
      <c r="O574" s="179"/>
      <c r="P574" s="179"/>
      <c r="Q574" s="179"/>
      <c r="R574" s="179"/>
      <c r="S574" s="179"/>
      <c r="T574" s="179"/>
      <c r="U574" s="179"/>
      <c r="V574" s="179"/>
      <c r="W574" s="179"/>
      <c r="X574" s="179"/>
    </row>
    <row r="575" spans="1:24" ht="19" customHeight="1" x14ac:dyDescent="0.25">
      <c r="B575" s="113" t="s">
        <v>383</v>
      </c>
      <c r="C575" s="80"/>
      <c r="D575" s="37"/>
      <c r="E575" s="58" t="s">
        <v>15</v>
      </c>
      <c r="F575" s="24"/>
      <c r="G575" s="152"/>
      <c r="H575" s="150" t="b">
        <f>IF(D577="x",H$2,H$1)</f>
        <v>0</v>
      </c>
    </row>
    <row r="576" spans="1:24" ht="19" x14ac:dyDescent="0.25">
      <c r="B576" s="113" t="s">
        <v>384</v>
      </c>
      <c r="C576" s="82"/>
      <c r="D576" s="37"/>
      <c r="E576" s="58" t="s">
        <v>16</v>
      </c>
      <c r="F576" s="20" t="str">
        <f>IF(H577=1,IF(H575=H$2,H575,""),"")</f>
        <v/>
      </c>
      <c r="G576" s="152"/>
      <c r="H576" s="150" t="str">
        <f t="shared" ref="H576" si="70">IF(E$586="comprobar",COUNTIF(D575:D579,"x"),"")</f>
        <v/>
      </c>
    </row>
    <row r="577" spans="1:40" ht="19" x14ac:dyDescent="0.25">
      <c r="B577" s="113" t="s">
        <v>391</v>
      </c>
      <c r="C577" s="82"/>
      <c r="D577" s="37"/>
      <c r="E577" s="58" t="s">
        <v>17</v>
      </c>
      <c r="F577" s="21" t="str">
        <f>IF(H577=-0.33,IF(H575=H$1,H575,""),"")</f>
        <v/>
      </c>
      <c r="G577" s="152"/>
      <c r="H577" s="151">
        <f t="shared" si="64"/>
        <v>0</v>
      </c>
    </row>
    <row r="578" spans="1:40" ht="19" x14ac:dyDescent="0.25">
      <c r="B578" s="113" t="s">
        <v>318</v>
      </c>
      <c r="C578" s="82"/>
      <c r="D578" s="37"/>
      <c r="E578" s="58" t="s">
        <v>18</v>
      </c>
      <c r="F578" s="24"/>
      <c r="G578" s="152"/>
      <c r="H578" s="151"/>
    </row>
    <row r="579" spans="1:40" x14ac:dyDescent="0.2">
      <c r="B579" s="115"/>
      <c r="C579" s="116"/>
      <c r="D579" s="37"/>
      <c r="E579" s="58" t="s">
        <v>19</v>
      </c>
      <c r="F579" s="19"/>
      <c r="G579" s="152"/>
      <c r="H579" s="151"/>
    </row>
    <row r="580" spans="1:40" s="182" customFormat="1" x14ac:dyDescent="0.2">
      <c r="A580" s="179"/>
      <c r="B580" s="100" t="s">
        <v>367</v>
      </c>
      <c r="C580" s="185"/>
      <c r="D580" s="180"/>
      <c r="E580" s="181"/>
      <c r="F580" s="25"/>
      <c r="G580" s="152"/>
      <c r="H580" s="17"/>
      <c r="I580" s="179"/>
      <c r="J580" s="179"/>
      <c r="K580" s="179"/>
      <c r="L580" s="179"/>
      <c r="M580" s="179"/>
      <c r="N580" s="179"/>
      <c r="O580" s="179"/>
      <c r="P580" s="179"/>
      <c r="Q580" s="179"/>
      <c r="R580" s="179"/>
      <c r="S580" s="179"/>
      <c r="T580" s="179"/>
      <c r="U580" s="179"/>
      <c r="V580" s="179"/>
      <c r="W580" s="179"/>
      <c r="X580" s="179"/>
    </row>
    <row r="581" spans="1:40" ht="19" customHeight="1" x14ac:dyDescent="0.2">
      <c r="B581" s="191" t="s">
        <v>385</v>
      </c>
      <c r="C581" s="192"/>
      <c r="D581" s="37"/>
      <c r="E581" s="58" t="s">
        <v>15</v>
      </c>
      <c r="F581" s="24"/>
      <c r="G581" s="152"/>
      <c r="H581" s="150" t="b">
        <f>IF(D584="x",H$2,H$1)</f>
        <v>0</v>
      </c>
    </row>
    <row r="582" spans="1:40" x14ac:dyDescent="0.2">
      <c r="B582" s="191" t="s">
        <v>386</v>
      </c>
      <c r="C582" s="192"/>
      <c r="D582" s="37"/>
      <c r="E582" s="58" t="s">
        <v>16</v>
      </c>
      <c r="F582" s="20" t="str">
        <f>IF(H583=1,IF(H581=H$2,H581,""),"")</f>
        <v/>
      </c>
      <c r="G582" s="152"/>
      <c r="H582" s="150" t="str">
        <f>IF(E$586="comprobar",COUNTIF(D581:D585,"x"),"")</f>
        <v/>
      </c>
    </row>
    <row r="583" spans="1:40" x14ac:dyDescent="0.2">
      <c r="B583" s="191" t="s">
        <v>387</v>
      </c>
      <c r="C583" s="192"/>
      <c r="D583" s="37"/>
      <c r="E583" s="58" t="s">
        <v>17</v>
      </c>
      <c r="F583" s="21" t="str">
        <f>IF(H583=-0.33,IF(H581=H$1,H581,""),"")</f>
        <v/>
      </c>
      <c r="G583" s="152"/>
      <c r="H583" s="151">
        <f t="shared" ref="H583" si="71">IF(H582=1,IF(H581=H$2,1,-0.33),0)</f>
        <v>0</v>
      </c>
    </row>
    <row r="584" spans="1:40" x14ac:dyDescent="0.2">
      <c r="B584" s="191" t="s">
        <v>392</v>
      </c>
      <c r="C584" s="192"/>
      <c r="D584" s="37"/>
      <c r="E584" s="58" t="s">
        <v>18</v>
      </c>
      <c r="F584" s="24"/>
      <c r="G584" s="152"/>
      <c r="H584" s="151"/>
    </row>
    <row r="585" spans="1:40" x14ac:dyDescent="0.2">
      <c r="B585" s="117"/>
      <c r="C585" s="68"/>
      <c r="D585" s="37"/>
      <c r="E585" s="58" t="s">
        <v>19</v>
      </c>
      <c r="F585" s="19"/>
      <c r="G585" s="152"/>
      <c r="H585" s="151"/>
    </row>
    <row r="586" spans="1:40" x14ac:dyDescent="0.2">
      <c r="B586" s="92"/>
      <c r="C586" s="8"/>
      <c r="D586" s="53"/>
      <c r="E586" s="59"/>
      <c r="F586" s="19"/>
      <c r="G586" s="18"/>
      <c r="H586" s="18"/>
    </row>
    <row r="587" spans="1:40" x14ac:dyDescent="0.2">
      <c r="B587" s="92"/>
      <c r="C587" s="2"/>
      <c r="D587" s="53"/>
      <c r="E587" s="62"/>
      <c r="F587" s="26" t="s">
        <v>8</v>
      </c>
      <c r="G587" s="18" t="s">
        <v>6</v>
      </c>
      <c r="H587" s="18" t="s">
        <v>7</v>
      </c>
    </row>
    <row r="588" spans="1:40" ht="20" x14ac:dyDescent="0.2">
      <c r="B588" s="92"/>
      <c r="C588" s="2"/>
      <c r="D588" s="65"/>
      <c r="E588" s="56"/>
      <c r="F588" s="27" t="str">
        <f>IF(E586="comprobar",H583+H577+H565+H559+H553+H544+H536+H530+H524+H518,"")</f>
        <v/>
      </c>
      <c r="G588" s="18">
        <f>10/2</f>
        <v>5</v>
      </c>
      <c r="H588" s="18"/>
    </row>
    <row r="589" spans="1:40" ht="17" thickBot="1" x14ac:dyDescent="0.25">
      <c r="B589" s="105"/>
      <c r="C589" s="106"/>
      <c r="D589" s="29"/>
      <c r="E589" s="60"/>
      <c r="F589" s="30" t="str">
        <f>IF(F588&gt;G588,G587,H587)</f>
        <v>APROBADO</v>
      </c>
      <c r="G589" s="18"/>
      <c r="H589" s="18"/>
    </row>
    <row r="590" spans="1:40" ht="29" x14ac:dyDescent="0.35">
      <c r="A590" s="156"/>
      <c r="B590" s="120" t="s">
        <v>21</v>
      </c>
      <c r="C590" s="121" t="s">
        <v>436</v>
      </c>
      <c r="D590" s="121"/>
      <c r="E590" s="121"/>
      <c r="F590" s="122"/>
      <c r="G590" s="156"/>
      <c r="H590" s="156"/>
      <c r="I590" s="156"/>
      <c r="J590" s="156"/>
      <c r="K590" s="156"/>
      <c r="L590" s="156"/>
      <c r="M590" s="156"/>
      <c r="N590" s="156"/>
      <c r="O590" s="156"/>
      <c r="P590" s="156"/>
      <c r="Q590" s="156"/>
      <c r="R590" s="156"/>
      <c r="S590" s="156"/>
      <c r="T590" s="156"/>
      <c r="U590" s="156"/>
      <c r="V590" s="156"/>
      <c r="W590" s="156"/>
      <c r="X590" s="156"/>
      <c r="Y590" s="119"/>
      <c r="Z590" s="119"/>
      <c r="AA590" s="119"/>
      <c r="AB590" s="119"/>
      <c r="AC590" s="119"/>
      <c r="AD590" s="119"/>
      <c r="AE590" s="119"/>
      <c r="AF590" s="119"/>
      <c r="AG590" s="119"/>
      <c r="AH590" s="119"/>
      <c r="AI590" s="119"/>
      <c r="AJ590" s="119"/>
      <c r="AK590" s="119"/>
      <c r="AL590" s="119"/>
      <c r="AM590" s="119"/>
      <c r="AN590" s="119"/>
    </row>
    <row r="591" spans="1:40" s="16" customFormat="1" x14ac:dyDescent="0.2">
      <c r="A591" s="156"/>
      <c r="B591" s="162" t="s">
        <v>393</v>
      </c>
      <c r="C591" s="31"/>
      <c r="D591" s="139"/>
      <c r="E591" s="139"/>
      <c r="F591" s="95"/>
      <c r="G591" s="137"/>
      <c r="H591" s="14"/>
      <c r="I591" s="137"/>
      <c r="J591" s="137"/>
      <c r="K591" s="137"/>
      <c r="L591" s="137"/>
      <c r="M591" s="137"/>
      <c r="N591" s="137"/>
      <c r="O591" s="137"/>
      <c r="P591" s="137"/>
      <c r="Q591" s="137"/>
      <c r="R591" s="137"/>
      <c r="S591" s="137"/>
      <c r="T591" s="137"/>
      <c r="U591" s="137"/>
      <c r="V591" s="137"/>
      <c r="W591" s="137"/>
      <c r="X591" s="137"/>
      <c r="Y591" s="137"/>
      <c r="Z591" s="137"/>
      <c r="AA591" s="137"/>
      <c r="AB591" s="137"/>
      <c r="AC591" s="137"/>
      <c r="AD591" s="137"/>
      <c r="AE591" s="137"/>
      <c r="AF591" s="137"/>
      <c r="AG591" s="137"/>
      <c r="AH591" s="137"/>
      <c r="AI591" s="137"/>
      <c r="AJ591" s="137"/>
      <c r="AK591" s="137"/>
      <c r="AL591" s="137"/>
      <c r="AM591" s="137"/>
      <c r="AN591" s="137"/>
    </row>
    <row r="592" spans="1:40" x14ac:dyDescent="0.2">
      <c r="A592" s="156"/>
      <c r="B592" s="201" t="s">
        <v>409</v>
      </c>
      <c r="C592" s="203"/>
      <c r="D592" s="125"/>
      <c r="E592" s="136" t="s">
        <v>15</v>
      </c>
      <c r="F592" s="23"/>
      <c r="G592" s="156"/>
      <c r="H592" s="150" t="b">
        <f>IF(D595="x",H$2,H$1)</f>
        <v>0</v>
      </c>
      <c r="I592" s="156"/>
      <c r="J592" s="156"/>
      <c r="K592" s="156"/>
      <c r="L592" s="156"/>
      <c r="M592" s="156"/>
      <c r="N592" s="156"/>
      <c r="O592" s="156"/>
      <c r="P592" s="156"/>
      <c r="Q592" s="156"/>
      <c r="R592" s="156"/>
      <c r="S592" s="156"/>
      <c r="T592" s="156"/>
      <c r="U592" s="156"/>
      <c r="V592" s="156"/>
      <c r="W592" s="156"/>
      <c r="X592" s="156"/>
      <c r="Y592" s="119"/>
      <c r="Z592" s="119"/>
      <c r="AA592" s="119"/>
      <c r="AB592" s="119"/>
      <c r="AC592" s="119"/>
      <c r="AD592" s="119"/>
      <c r="AE592" s="119"/>
      <c r="AF592" s="119"/>
      <c r="AG592" s="119"/>
      <c r="AH592" s="119"/>
      <c r="AI592" s="119"/>
      <c r="AJ592" s="119"/>
      <c r="AK592" s="119"/>
      <c r="AL592" s="119"/>
      <c r="AM592" s="119"/>
      <c r="AN592" s="119"/>
    </row>
    <row r="593" spans="1:40" x14ac:dyDescent="0.2">
      <c r="A593" s="156"/>
      <c r="B593" s="201" t="s">
        <v>410</v>
      </c>
      <c r="C593" s="203"/>
      <c r="D593" s="126"/>
      <c r="E593" s="136" t="s">
        <v>16</v>
      </c>
      <c r="F593" s="127"/>
      <c r="G593" s="156"/>
      <c r="H593" s="150" t="str">
        <f>IF(E$652="comprobar",COUNTIF(D592:D596,"x"),"")</f>
        <v/>
      </c>
      <c r="I593" s="156"/>
      <c r="J593" s="156"/>
      <c r="K593" s="156"/>
      <c r="L593" s="156"/>
      <c r="M593" s="156"/>
      <c r="N593" s="156"/>
      <c r="O593" s="156"/>
      <c r="P593" s="156"/>
      <c r="Q593" s="156"/>
      <c r="R593" s="156"/>
      <c r="S593" s="156"/>
      <c r="T593" s="156"/>
      <c r="U593" s="156"/>
      <c r="V593" s="156"/>
      <c r="W593" s="156"/>
      <c r="X593" s="156"/>
      <c r="Y593" s="119"/>
      <c r="Z593" s="119"/>
      <c r="AA593" s="119"/>
      <c r="AB593" s="119"/>
      <c r="AC593" s="119"/>
      <c r="AD593" s="119"/>
      <c r="AE593" s="119"/>
      <c r="AF593" s="119"/>
      <c r="AG593" s="119"/>
      <c r="AH593" s="119"/>
      <c r="AI593" s="119"/>
      <c r="AJ593" s="119"/>
      <c r="AK593" s="119"/>
      <c r="AL593" s="119"/>
      <c r="AM593" s="119"/>
      <c r="AN593" s="119"/>
    </row>
    <row r="594" spans="1:40" x14ac:dyDescent="0.2">
      <c r="A594" s="156"/>
      <c r="B594" s="201" t="s">
        <v>411</v>
      </c>
      <c r="C594" s="203"/>
      <c r="D594" s="126"/>
      <c r="E594" s="136" t="s">
        <v>17</v>
      </c>
      <c r="F594" s="128"/>
      <c r="G594" s="156"/>
      <c r="H594" s="151">
        <f t="shared" ref="H594" si="72">IF(H593=1,IF(H592=H$2,1,-0.33),0)</f>
        <v>0</v>
      </c>
      <c r="I594" s="156"/>
      <c r="J594" s="156"/>
      <c r="K594" s="156"/>
      <c r="L594" s="156"/>
      <c r="M594" s="156"/>
      <c r="N594" s="156"/>
      <c r="O594" s="156"/>
      <c r="P594" s="156"/>
      <c r="Q594" s="156"/>
      <c r="R594" s="156"/>
      <c r="S594" s="156"/>
      <c r="T594" s="156"/>
      <c r="U594" s="156"/>
      <c r="V594" s="156"/>
      <c r="W594" s="156"/>
      <c r="X594" s="156"/>
      <c r="Y594" s="119"/>
      <c r="Z594" s="119"/>
      <c r="AA594" s="119"/>
      <c r="AB594" s="119"/>
      <c r="AC594" s="119"/>
      <c r="AD594" s="119"/>
      <c r="AE594" s="119"/>
      <c r="AF594" s="119"/>
      <c r="AG594" s="119"/>
      <c r="AH594" s="119"/>
      <c r="AI594" s="119"/>
      <c r="AJ594" s="119"/>
      <c r="AK594" s="119"/>
      <c r="AL594" s="119"/>
      <c r="AM594" s="119"/>
      <c r="AN594" s="119"/>
    </row>
    <row r="595" spans="1:40" x14ac:dyDescent="0.2">
      <c r="A595" s="156"/>
      <c r="B595" s="201" t="s">
        <v>429</v>
      </c>
      <c r="C595" s="203"/>
      <c r="D595" s="126"/>
      <c r="E595" s="136" t="s">
        <v>18</v>
      </c>
      <c r="F595" s="23"/>
      <c r="G595" s="156"/>
      <c r="H595" s="151"/>
      <c r="I595" s="156"/>
      <c r="J595" s="156"/>
      <c r="K595" s="156"/>
      <c r="L595" s="156"/>
      <c r="M595" s="156"/>
      <c r="N595" s="156"/>
      <c r="O595" s="156"/>
      <c r="P595" s="156"/>
      <c r="Q595" s="156"/>
      <c r="R595" s="156"/>
      <c r="S595" s="156"/>
      <c r="T595" s="156"/>
      <c r="U595" s="156"/>
      <c r="V595" s="156"/>
      <c r="W595" s="156"/>
      <c r="X595" s="156"/>
      <c r="Y595" s="119"/>
      <c r="Z595" s="119"/>
      <c r="AA595" s="119"/>
      <c r="AB595" s="119"/>
      <c r="AC595" s="119"/>
      <c r="AD595" s="119"/>
      <c r="AE595" s="119"/>
      <c r="AF595" s="119"/>
      <c r="AG595" s="119"/>
      <c r="AH595" s="119"/>
      <c r="AI595" s="119"/>
      <c r="AJ595" s="119"/>
      <c r="AK595" s="119"/>
      <c r="AL595" s="119"/>
      <c r="AM595" s="119"/>
      <c r="AN595" s="119"/>
    </row>
    <row r="596" spans="1:40" x14ac:dyDescent="0.2">
      <c r="A596" s="156"/>
      <c r="B596" s="41"/>
      <c r="C596" s="8"/>
      <c r="D596" s="129"/>
      <c r="E596" s="136" t="s">
        <v>19</v>
      </c>
      <c r="F596" s="23"/>
      <c r="G596" s="156"/>
      <c r="H596" s="151"/>
      <c r="I596" s="156"/>
      <c r="J596" s="156"/>
      <c r="K596" s="156"/>
      <c r="L596" s="156"/>
      <c r="M596" s="156"/>
      <c r="N596" s="156"/>
      <c r="O596" s="156"/>
      <c r="P596" s="156"/>
      <c r="Q596" s="156"/>
      <c r="R596" s="156"/>
      <c r="S596" s="156"/>
      <c r="T596" s="156"/>
      <c r="U596" s="156"/>
      <c r="V596" s="156"/>
      <c r="W596" s="156"/>
      <c r="X596" s="156"/>
      <c r="Y596" s="119"/>
      <c r="Z596" s="119"/>
      <c r="AA596" s="119"/>
      <c r="AB596" s="119"/>
      <c r="AC596" s="119"/>
      <c r="AD596" s="119"/>
      <c r="AE596" s="119"/>
      <c r="AF596" s="119"/>
      <c r="AG596" s="119"/>
      <c r="AH596" s="119"/>
      <c r="AI596" s="119"/>
      <c r="AJ596" s="119"/>
      <c r="AK596" s="119"/>
      <c r="AL596" s="119"/>
      <c r="AM596" s="119"/>
      <c r="AN596" s="119"/>
    </row>
    <row r="597" spans="1:40" s="16" customFormat="1" x14ac:dyDescent="0.2">
      <c r="A597" s="156"/>
      <c r="B597" s="162" t="s">
        <v>394</v>
      </c>
      <c r="C597" s="12"/>
      <c r="D597" s="144"/>
      <c r="E597" s="145"/>
      <c r="F597" s="25"/>
      <c r="G597" s="137"/>
      <c r="H597" s="14"/>
      <c r="I597" s="137"/>
      <c r="J597" s="137"/>
      <c r="K597" s="137"/>
      <c r="L597" s="137"/>
      <c r="M597" s="137"/>
      <c r="N597" s="137"/>
      <c r="O597" s="137"/>
      <c r="P597" s="137"/>
      <c r="Q597" s="137"/>
      <c r="R597" s="137"/>
      <c r="S597" s="137"/>
      <c r="T597" s="137"/>
      <c r="U597" s="137"/>
      <c r="V597" s="137"/>
      <c r="W597" s="137"/>
      <c r="X597" s="137"/>
      <c r="Y597" s="140"/>
      <c r="Z597" s="140"/>
      <c r="AA597" s="140"/>
      <c r="AB597" s="140"/>
      <c r="AC597" s="140"/>
      <c r="AD597" s="140"/>
      <c r="AE597" s="140"/>
      <c r="AF597" s="140"/>
      <c r="AG597" s="140"/>
      <c r="AH597" s="140"/>
      <c r="AI597" s="140"/>
      <c r="AJ597" s="140"/>
      <c r="AK597" s="140"/>
      <c r="AL597" s="140"/>
      <c r="AM597" s="140"/>
      <c r="AN597" s="140"/>
    </row>
    <row r="598" spans="1:40" x14ac:dyDescent="0.2">
      <c r="A598" s="156"/>
      <c r="B598" s="163" t="s">
        <v>412</v>
      </c>
      <c r="C598" s="164"/>
      <c r="D598" s="141"/>
      <c r="E598" s="136" t="s">
        <v>15</v>
      </c>
      <c r="F598" s="23"/>
      <c r="G598" s="156"/>
      <c r="H598" s="150" t="b">
        <f>IF(D601="x",H$2,H$1)</f>
        <v>0</v>
      </c>
      <c r="I598" s="156"/>
      <c r="J598" s="156"/>
      <c r="K598" s="156"/>
      <c r="L598" s="156"/>
      <c r="M598" s="156"/>
      <c r="N598" s="156"/>
      <c r="O598" s="156"/>
      <c r="P598" s="156"/>
      <c r="Q598" s="156"/>
      <c r="R598" s="156"/>
      <c r="S598" s="156"/>
      <c r="T598" s="156"/>
      <c r="U598" s="156"/>
      <c r="V598" s="156"/>
      <c r="W598" s="156"/>
      <c r="X598" s="156"/>
      <c r="Y598" s="119"/>
      <c r="Z598" s="119"/>
      <c r="AA598" s="119"/>
      <c r="AB598" s="119"/>
      <c r="AC598" s="119"/>
      <c r="AD598" s="119"/>
      <c r="AE598" s="119"/>
      <c r="AF598" s="119"/>
      <c r="AG598" s="119"/>
      <c r="AH598" s="119"/>
      <c r="AI598" s="119"/>
      <c r="AJ598" s="119"/>
      <c r="AK598" s="119"/>
      <c r="AL598" s="119"/>
      <c r="AM598" s="119"/>
      <c r="AN598" s="119"/>
    </row>
    <row r="599" spans="1:40" x14ac:dyDescent="0.2">
      <c r="A599" s="156"/>
      <c r="B599" s="163" t="s">
        <v>413</v>
      </c>
      <c r="C599" s="159"/>
      <c r="D599" s="141"/>
      <c r="E599" s="136" t="s">
        <v>16</v>
      </c>
      <c r="F599" s="127"/>
      <c r="G599" s="156"/>
      <c r="H599" s="150" t="str">
        <f>IF(E$652="comprobar",COUNTIF(D598:D602,"x"),"")</f>
        <v/>
      </c>
      <c r="I599" s="156"/>
      <c r="J599" s="156"/>
      <c r="K599" s="156"/>
      <c r="L599" s="156"/>
      <c r="M599" s="156"/>
      <c r="N599" s="156"/>
      <c r="O599" s="156"/>
      <c r="P599" s="156"/>
      <c r="Q599" s="156"/>
      <c r="R599" s="156"/>
      <c r="S599" s="156"/>
      <c r="T599" s="156"/>
      <c r="U599" s="156"/>
      <c r="V599" s="156"/>
      <c r="W599" s="156"/>
      <c r="X599" s="156"/>
      <c r="Y599" s="119"/>
      <c r="Z599" s="119"/>
      <c r="AA599" s="119"/>
      <c r="AB599" s="119"/>
      <c r="AC599" s="119"/>
      <c r="AD599" s="119"/>
      <c r="AE599" s="119"/>
      <c r="AF599" s="119"/>
      <c r="AG599" s="119"/>
      <c r="AH599" s="119"/>
      <c r="AI599" s="119"/>
      <c r="AJ599" s="119"/>
      <c r="AK599" s="119"/>
      <c r="AL599" s="119"/>
      <c r="AM599" s="119"/>
      <c r="AN599" s="119"/>
    </row>
    <row r="600" spans="1:40" x14ac:dyDescent="0.2">
      <c r="A600" s="156"/>
      <c r="B600" s="163" t="s">
        <v>411</v>
      </c>
      <c r="C600" s="159"/>
      <c r="D600" s="141"/>
      <c r="E600" s="136" t="s">
        <v>17</v>
      </c>
      <c r="F600" s="128"/>
      <c r="G600" s="156"/>
      <c r="H600" s="151">
        <f t="shared" ref="H600" si="73">IF(H599=1,IF(H598=H$2,1,-0.33),0)</f>
        <v>0</v>
      </c>
      <c r="I600" s="156"/>
      <c r="J600" s="156"/>
      <c r="K600" s="156"/>
      <c r="L600" s="156"/>
      <c r="M600" s="156"/>
      <c r="N600" s="156"/>
      <c r="O600" s="156"/>
      <c r="P600" s="156"/>
      <c r="Q600" s="156"/>
      <c r="R600" s="156"/>
      <c r="S600" s="156"/>
      <c r="T600" s="156"/>
      <c r="U600" s="156"/>
      <c r="V600" s="156"/>
      <c r="W600" s="156"/>
      <c r="X600" s="156"/>
      <c r="Y600" s="119"/>
      <c r="Z600" s="119"/>
      <c r="AA600" s="119"/>
      <c r="AB600" s="119"/>
      <c r="AC600" s="119"/>
      <c r="AD600" s="119"/>
      <c r="AE600" s="119"/>
      <c r="AF600" s="119"/>
      <c r="AG600" s="119"/>
      <c r="AH600" s="119"/>
      <c r="AI600" s="119"/>
      <c r="AJ600" s="119"/>
      <c r="AK600" s="119"/>
      <c r="AL600" s="119"/>
      <c r="AM600" s="119"/>
      <c r="AN600" s="119"/>
    </row>
    <row r="601" spans="1:40" x14ac:dyDescent="0.2">
      <c r="A601" s="156"/>
      <c r="B601" s="163" t="s">
        <v>430</v>
      </c>
      <c r="C601" s="159"/>
      <c r="D601" s="141"/>
      <c r="E601" s="136" t="s">
        <v>18</v>
      </c>
      <c r="F601" s="23"/>
      <c r="G601" s="156"/>
      <c r="H601" s="151"/>
      <c r="I601" s="156"/>
      <c r="J601" s="156"/>
      <c r="K601" s="156"/>
      <c r="L601" s="156"/>
      <c r="M601" s="156"/>
      <c r="N601" s="156"/>
      <c r="O601" s="156"/>
      <c r="P601" s="156"/>
      <c r="Q601" s="156"/>
      <c r="R601" s="156"/>
      <c r="S601" s="156"/>
      <c r="T601" s="156"/>
      <c r="U601" s="156"/>
      <c r="V601" s="156"/>
      <c r="W601" s="156"/>
      <c r="X601" s="156"/>
      <c r="Y601" s="119"/>
      <c r="Z601" s="119"/>
      <c r="AA601" s="119"/>
      <c r="AB601" s="119"/>
      <c r="AC601" s="119"/>
      <c r="AD601" s="119"/>
      <c r="AE601" s="119"/>
      <c r="AF601" s="119"/>
      <c r="AG601" s="119"/>
      <c r="AH601" s="119"/>
      <c r="AI601" s="119"/>
      <c r="AJ601" s="119"/>
      <c r="AK601" s="119"/>
      <c r="AL601" s="119"/>
      <c r="AM601" s="119"/>
      <c r="AN601" s="119"/>
    </row>
    <row r="602" spans="1:40" x14ac:dyDescent="0.2">
      <c r="A602" s="156"/>
      <c r="B602" s="41"/>
      <c r="C602" s="8"/>
      <c r="D602" s="141"/>
      <c r="E602" s="136" t="s">
        <v>19</v>
      </c>
      <c r="F602" s="23"/>
      <c r="G602" s="156"/>
      <c r="H602" s="151"/>
      <c r="I602" s="156"/>
      <c r="J602" s="156"/>
      <c r="K602" s="156"/>
      <c r="L602" s="156"/>
      <c r="M602" s="156"/>
      <c r="N602" s="156"/>
      <c r="O602" s="156"/>
      <c r="P602" s="156"/>
      <c r="Q602" s="156"/>
      <c r="R602" s="156"/>
      <c r="S602" s="156"/>
      <c r="T602" s="156"/>
      <c r="U602" s="156"/>
      <c r="V602" s="156"/>
      <c r="W602" s="156"/>
      <c r="X602" s="156"/>
      <c r="Y602" s="119"/>
      <c r="Z602" s="119"/>
      <c r="AA602" s="119"/>
      <c r="AB602" s="119"/>
      <c r="AC602" s="119"/>
      <c r="AD602" s="119"/>
      <c r="AE602" s="119"/>
      <c r="AF602" s="119"/>
      <c r="AG602" s="119"/>
      <c r="AH602" s="119"/>
      <c r="AI602" s="119"/>
      <c r="AJ602" s="119"/>
      <c r="AK602" s="119"/>
      <c r="AL602" s="119"/>
      <c r="AM602" s="119"/>
      <c r="AN602" s="119"/>
    </row>
    <row r="603" spans="1:40" s="16" customFormat="1" x14ac:dyDescent="0.2">
      <c r="A603" s="156"/>
      <c r="B603" s="165" t="s">
        <v>395</v>
      </c>
      <c r="C603" s="160"/>
      <c r="D603" s="144"/>
      <c r="E603" s="145"/>
      <c r="F603" s="25"/>
      <c r="G603" s="137"/>
      <c r="H603" s="14"/>
      <c r="I603" s="137"/>
      <c r="J603" s="137"/>
      <c r="K603" s="137"/>
      <c r="L603" s="137"/>
      <c r="M603" s="137"/>
      <c r="N603" s="137"/>
      <c r="O603" s="137"/>
      <c r="P603" s="137"/>
      <c r="Q603" s="137"/>
      <c r="R603" s="137"/>
      <c r="S603" s="137"/>
      <c r="T603" s="137"/>
      <c r="U603" s="137"/>
      <c r="V603" s="137"/>
      <c r="W603" s="137"/>
      <c r="X603" s="137"/>
      <c r="Y603" s="140"/>
      <c r="Z603" s="140"/>
      <c r="AA603" s="140"/>
      <c r="AB603" s="140"/>
      <c r="AC603" s="140"/>
      <c r="AD603" s="140"/>
      <c r="AE603" s="140"/>
      <c r="AF603" s="140"/>
      <c r="AG603" s="140"/>
      <c r="AH603" s="140"/>
      <c r="AI603" s="140"/>
      <c r="AJ603" s="140"/>
      <c r="AK603" s="140"/>
      <c r="AL603" s="140"/>
      <c r="AM603" s="140"/>
      <c r="AN603" s="140"/>
    </row>
    <row r="604" spans="1:40" x14ac:dyDescent="0.2">
      <c r="A604" s="156"/>
      <c r="B604" s="163" t="s">
        <v>411</v>
      </c>
      <c r="C604" s="8"/>
      <c r="D604" s="141"/>
      <c r="E604" s="136" t="s">
        <v>15</v>
      </c>
      <c r="F604" s="23"/>
      <c r="G604" s="156"/>
      <c r="H604" s="150" t="b">
        <f>IF(D606="x",H$2,H$1)</f>
        <v>0</v>
      </c>
      <c r="I604" s="156"/>
      <c r="J604" s="156"/>
      <c r="K604" s="156"/>
      <c r="L604" s="156"/>
      <c r="M604" s="156"/>
      <c r="N604" s="156"/>
      <c r="O604" s="156"/>
      <c r="P604" s="156"/>
      <c r="Q604" s="156"/>
      <c r="R604" s="156"/>
      <c r="S604" s="156"/>
      <c r="T604" s="156"/>
      <c r="U604" s="156"/>
      <c r="V604" s="156"/>
      <c r="W604" s="156"/>
      <c r="X604" s="156"/>
      <c r="Y604" s="119"/>
      <c r="Z604" s="119"/>
      <c r="AA604" s="119"/>
      <c r="AB604" s="119"/>
      <c r="AC604" s="119"/>
      <c r="AD604" s="119"/>
      <c r="AE604" s="119"/>
      <c r="AF604" s="119"/>
      <c r="AG604" s="119"/>
      <c r="AH604" s="119"/>
      <c r="AI604" s="119"/>
      <c r="AJ604" s="119"/>
      <c r="AK604" s="119"/>
      <c r="AL604" s="119"/>
      <c r="AM604" s="119"/>
      <c r="AN604" s="119"/>
    </row>
    <row r="605" spans="1:40" x14ac:dyDescent="0.2">
      <c r="A605" s="156"/>
      <c r="B605" s="163" t="s">
        <v>414</v>
      </c>
      <c r="C605" s="164"/>
      <c r="D605" s="141"/>
      <c r="E605" s="136" t="s">
        <v>16</v>
      </c>
      <c r="F605" s="127"/>
      <c r="G605" s="156"/>
      <c r="H605" s="150" t="str">
        <f>IF(E$652="comprobar",COUNTIF(D604:D608,"x"),"")</f>
        <v/>
      </c>
      <c r="I605" s="156"/>
      <c r="J605" s="156"/>
      <c r="K605" s="156"/>
      <c r="L605" s="156"/>
      <c r="M605" s="156"/>
      <c r="N605" s="156"/>
      <c r="O605" s="156"/>
      <c r="P605" s="156"/>
      <c r="Q605" s="156"/>
      <c r="R605" s="156"/>
      <c r="S605" s="156"/>
      <c r="T605" s="156"/>
      <c r="U605" s="156"/>
      <c r="V605" s="156"/>
      <c r="W605" s="156"/>
      <c r="X605" s="156"/>
      <c r="Y605" s="119"/>
      <c r="Z605" s="119"/>
      <c r="AA605" s="119"/>
      <c r="AB605" s="119"/>
      <c r="AC605" s="119"/>
      <c r="AD605" s="119"/>
      <c r="AE605" s="119"/>
      <c r="AF605" s="119"/>
      <c r="AG605" s="119"/>
      <c r="AH605" s="119"/>
      <c r="AI605" s="119"/>
      <c r="AJ605" s="119"/>
      <c r="AK605" s="119"/>
      <c r="AL605" s="119"/>
      <c r="AM605" s="119"/>
      <c r="AN605" s="119"/>
    </row>
    <row r="606" spans="1:40" x14ac:dyDescent="0.2">
      <c r="A606" s="156"/>
      <c r="B606" s="163" t="s">
        <v>431</v>
      </c>
      <c r="C606" s="159"/>
      <c r="D606" s="141"/>
      <c r="E606" s="136" t="s">
        <v>17</v>
      </c>
      <c r="F606" s="128"/>
      <c r="G606" s="156"/>
      <c r="H606" s="151">
        <f t="shared" ref="H606" si="74">IF(H605=1,IF(H604=H$2,1,-0.33),0)</f>
        <v>0</v>
      </c>
      <c r="I606" s="156"/>
      <c r="J606" s="156"/>
      <c r="K606" s="156"/>
      <c r="L606" s="156"/>
      <c r="M606" s="156"/>
      <c r="N606" s="156"/>
      <c r="O606" s="156"/>
      <c r="P606" s="156"/>
      <c r="Q606" s="156"/>
      <c r="R606" s="156"/>
      <c r="S606" s="156"/>
      <c r="T606" s="156"/>
      <c r="U606" s="156"/>
      <c r="V606" s="156"/>
      <c r="W606" s="156"/>
      <c r="X606" s="156"/>
      <c r="Y606" s="119"/>
      <c r="Z606" s="119"/>
      <c r="AA606" s="119"/>
      <c r="AB606" s="119"/>
      <c r="AC606" s="119"/>
      <c r="AD606" s="119"/>
      <c r="AE606" s="119"/>
      <c r="AF606" s="119"/>
      <c r="AG606" s="119"/>
      <c r="AH606" s="119"/>
      <c r="AI606" s="119"/>
      <c r="AJ606" s="119"/>
      <c r="AK606" s="119"/>
      <c r="AL606" s="119"/>
      <c r="AM606" s="119"/>
      <c r="AN606" s="119"/>
    </row>
    <row r="607" spans="1:40" x14ac:dyDescent="0.2">
      <c r="A607" s="156"/>
      <c r="B607" s="163" t="s">
        <v>415</v>
      </c>
      <c r="C607" s="159"/>
      <c r="D607" s="141"/>
      <c r="E607" s="136" t="s">
        <v>18</v>
      </c>
      <c r="F607" s="23"/>
      <c r="G607" s="156"/>
      <c r="H607" s="151"/>
      <c r="I607" s="156"/>
      <c r="J607" s="156"/>
      <c r="K607" s="156"/>
      <c r="L607" s="156"/>
      <c r="M607" s="156"/>
      <c r="N607" s="156"/>
      <c r="O607" s="156"/>
      <c r="P607" s="156"/>
      <c r="Q607" s="156"/>
      <c r="R607" s="156"/>
      <c r="S607" s="156"/>
      <c r="T607" s="156"/>
      <c r="U607" s="156"/>
      <c r="V607" s="156"/>
      <c r="W607" s="156"/>
      <c r="X607" s="156"/>
      <c r="Y607" s="119"/>
      <c r="Z607" s="119"/>
      <c r="AA607" s="119"/>
      <c r="AB607" s="119"/>
      <c r="AC607" s="119"/>
      <c r="AD607" s="119"/>
      <c r="AE607" s="119"/>
      <c r="AF607" s="119"/>
      <c r="AG607" s="119"/>
      <c r="AH607" s="119"/>
      <c r="AI607" s="119"/>
      <c r="AJ607" s="119"/>
      <c r="AK607" s="119"/>
      <c r="AL607" s="119"/>
      <c r="AM607" s="119"/>
      <c r="AN607" s="119"/>
    </row>
    <row r="608" spans="1:40" x14ac:dyDescent="0.2">
      <c r="A608" s="156"/>
      <c r="B608" s="161"/>
      <c r="C608" s="8"/>
      <c r="D608" s="141"/>
      <c r="E608" s="136" t="s">
        <v>19</v>
      </c>
      <c r="F608" s="23"/>
      <c r="G608" s="156"/>
      <c r="H608" s="151"/>
      <c r="I608" s="156"/>
      <c r="J608" s="156"/>
      <c r="K608" s="156"/>
      <c r="L608" s="156"/>
      <c r="M608" s="156"/>
      <c r="N608" s="156"/>
      <c r="O608" s="156"/>
      <c r="P608" s="156"/>
      <c r="Q608" s="156"/>
      <c r="R608" s="156"/>
      <c r="S608" s="156"/>
      <c r="T608" s="156"/>
      <c r="U608" s="156"/>
      <c r="V608" s="156"/>
      <c r="W608" s="156"/>
      <c r="X608" s="156"/>
      <c r="Y608" s="119"/>
      <c r="Z608" s="119"/>
      <c r="AA608" s="119"/>
      <c r="AB608" s="119"/>
      <c r="AC608" s="119"/>
      <c r="AD608" s="119"/>
      <c r="AE608" s="119"/>
      <c r="AF608" s="119"/>
      <c r="AG608" s="119"/>
      <c r="AH608" s="119"/>
      <c r="AI608" s="119"/>
      <c r="AJ608" s="119"/>
      <c r="AK608" s="119"/>
      <c r="AL608" s="119"/>
      <c r="AM608" s="119"/>
      <c r="AN608" s="119"/>
    </row>
    <row r="609" spans="1:40" s="16" customFormat="1" x14ac:dyDescent="0.2">
      <c r="A609" s="156"/>
      <c r="B609" s="188" t="s">
        <v>396</v>
      </c>
      <c r="C609" s="166"/>
      <c r="D609" s="144"/>
      <c r="E609" s="145"/>
      <c r="F609" s="25"/>
      <c r="G609" s="137"/>
      <c r="H609" s="14"/>
      <c r="I609" s="137"/>
      <c r="J609" s="137"/>
      <c r="K609" s="137"/>
      <c r="L609" s="137"/>
      <c r="M609" s="137"/>
      <c r="N609" s="137"/>
      <c r="O609" s="137"/>
      <c r="P609" s="137"/>
      <c r="Q609" s="137"/>
      <c r="R609" s="137"/>
      <c r="S609" s="137"/>
      <c r="T609" s="137"/>
      <c r="U609" s="137"/>
      <c r="V609" s="137"/>
      <c r="W609" s="137"/>
      <c r="X609" s="137"/>
      <c r="Y609" s="140"/>
      <c r="Z609" s="140"/>
      <c r="AA609" s="140"/>
      <c r="AB609" s="140"/>
      <c r="AC609" s="140"/>
      <c r="AD609" s="140"/>
      <c r="AE609" s="140"/>
      <c r="AF609" s="140"/>
      <c r="AG609" s="140"/>
      <c r="AH609" s="140"/>
      <c r="AI609" s="140"/>
      <c r="AJ609" s="140"/>
      <c r="AK609" s="140"/>
      <c r="AL609" s="140"/>
      <c r="AM609" s="140"/>
      <c r="AN609" s="140"/>
    </row>
    <row r="610" spans="1:40" x14ac:dyDescent="0.2">
      <c r="A610" s="156"/>
      <c r="B610" s="163" t="s">
        <v>416</v>
      </c>
      <c r="C610" s="158"/>
      <c r="D610" s="125"/>
      <c r="E610" s="136" t="s">
        <v>15</v>
      </c>
      <c r="F610" s="23"/>
      <c r="G610" s="156"/>
      <c r="H610" s="150" t="b">
        <f>IF(D612="x",H$2,H$1)</f>
        <v>0</v>
      </c>
      <c r="I610" s="156"/>
      <c r="J610" s="156"/>
      <c r="K610" s="156"/>
      <c r="L610" s="156"/>
      <c r="M610" s="156"/>
      <c r="N610" s="156"/>
      <c r="O610" s="156"/>
      <c r="P610" s="156"/>
      <c r="Q610" s="156"/>
      <c r="R610" s="156"/>
      <c r="S610" s="156"/>
      <c r="T610" s="156"/>
      <c r="U610" s="156"/>
      <c r="V610" s="156"/>
      <c r="W610" s="156"/>
      <c r="X610" s="156"/>
      <c r="Y610" s="119"/>
      <c r="Z610" s="119"/>
      <c r="AA610" s="119"/>
      <c r="AB610" s="119"/>
      <c r="AC610" s="119"/>
      <c r="AD610" s="119"/>
      <c r="AE610" s="119"/>
      <c r="AF610" s="119"/>
      <c r="AG610" s="119"/>
      <c r="AH610" s="119"/>
      <c r="AI610" s="119"/>
      <c r="AJ610" s="119"/>
      <c r="AK610" s="119"/>
      <c r="AL610" s="119"/>
      <c r="AM610" s="119"/>
      <c r="AN610" s="119"/>
    </row>
    <row r="611" spans="1:40" x14ac:dyDescent="0.2">
      <c r="A611" s="156"/>
      <c r="B611" s="163" t="s">
        <v>411</v>
      </c>
      <c r="C611" s="158"/>
      <c r="D611" s="126"/>
      <c r="E611" s="136" t="s">
        <v>16</v>
      </c>
      <c r="F611" s="127"/>
      <c r="G611" s="156"/>
      <c r="H611" s="150" t="str">
        <f>IF(E$652="comprobar",COUNTIF(D610:D614,"x"),"")</f>
        <v/>
      </c>
      <c r="I611" s="156"/>
      <c r="J611" s="156"/>
      <c r="K611" s="156"/>
      <c r="L611" s="156"/>
      <c r="M611" s="156"/>
      <c r="N611" s="156"/>
      <c r="O611" s="156"/>
      <c r="P611" s="156"/>
      <c r="Q611" s="156"/>
      <c r="R611" s="156"/>
      <c r="S611" s="156"/>
      <c r="T611" s="156"/>
      <c r="U611" s="156"/>
      <c r="V611" s="156"/>
      <c r="W611" s="156"/>
      <c r="X611" s="156"/>
      <c r="Y611" s="119"/>
      <c r="Z611" s="119"/>
      <c r="AA611" s="119"/>
      <c r="AB611" s="119"/>
      <c r="AC611" s="119"/>
      <c r="AD611" s="119"/>
      <c r="AE611" s="119"/>
      <c r="AF611" s="119"/>
      <c r="AG611" s="119"/>
      <c r="AH611" s="119"/>
      <c r="AI611" s="119"/>
      <c r="AJ611" s="119"/>
      <c r="AK611" s="119"/>
      <c r="AL611" s="119"/>
      <c r="AM611" s="119"/>
      <c r="AN611" s="119"/>
    </row>
    <row r="612" spans="1:40" x14ac:dyDescent="0.2">
      <c r="A612" s="156"/>
      <c r="B612" s="163" t="s">
        <v>432</v>
      </c>
      <c r="C612" s="158"/>
      <c r="D612" s="126"/>
      <c r="E612" s="136" t="s">
        <v>17</v>
      </c>
      <c r="F612" s="128"/>
      <c r="G612" s="156"/>
      <c r="H612" s="151">
        <f t="shared" ref="H612" si="75">IF(H611=1,IF(H610=H$2,1,-0.33),0)</f>
        <v>0</v>
      </c>
      <c r="I612" s="156"/>
      <c r="J612" s="156"/>
      <c r="K612" s="156"/>
      <c r="L612" s="156"/>
      <c r="M612" s="156"/>
      <c r="N612" s="156"/>
      <c r="O612" s="156"/>
      <c r="P612" s="156"/>
      <c r="Q612" s="156"/>
      <c r="R612" s="156"/>
      <c r="S612" s="156"/>
      <c r="T612" s="156"/>
      <c r="U612" s="156"/>
      <c r="V612" s="156"/>
      <c r="W612" s="156"/>
      <c r="X612" s="156"/>
      <c r="Y612" s="119"/>
      <c r="Z612" s="119"/>
      <c r="AA612" s="119"/>
      <c r="AB612" s="119"/>
      <c r="AC612" s="119"/>
      <c r="AD612" s="119"/>
      <c r="AE612" s="119"/>
      <c r="AF612" s="119"/>
      <c r="AG612" s="119"/>
      <c r="AH612" s="119"/>
      <c r="AI612" s="119"/>
      <c r="AJ612" s="119"/>
      <c r="AK612" s="119"/>
      <c r="AL612" s="119"/>
      <c r="AM612" s="119"/>
      <c r="AN612" s="119"/>
    </row>
    <row r="613" spans="1:40" x14ac:dyDescent="0.2">
      <c r="A613" s="156"/>
      <c r="B613" s="163" t="s">
        <v>417</v>
      </c>
      <c r="C613" s="158"/>
      <c r="D613" s="126"/>
      <c r="E613" s="136" t="s">
        <v>18</v>
      </c>
      <c r="F613" s="23"/>
      <c r="G613" s="156"/>
      <c r="H613" s="151"/>
      <c r="I613" s="156"/>
      <c r="J613" s="156"/>
      <c r="K613" s="156"/>
      <c r="L613" s="156"/>
      <c r="M613" s="156"/>
      <c r="N613" s="156"/>
      <c r="O613" s="156"/>
      <c r="P613" s="156"/>
      <c r="Q613" s="156"/>
      <c r="R613" s="156"/>
      <c r="S613" s="156"/>
      <c r="T613" s="156"/>
      <c r="U613" s="156"/>
      <c r="V613" s="156"/>
      <c r="W613" s="156"/>
      <c r="X613" s="156"/>
      <c r="Y613" s="119"/>
      <c r="Z613" s="119"/>
      <c r="AA613" s="119"/>
      <c r="AB613" s="119"/>
      <c r="AC613" s="119"/>
      <c r="AD613" s="119"/>
      <c r="AE613" s="119"/>
      <c r="AF613" s="119"/>
      <c r="AG613" s="119"/>
      <c r="AH613" s="119"/>
      <c r="AI613" s="119"/>
      <c r="AJ613" s="119"/>
      <c r="AK613" s="119"/>
      <c r="AL613" s="119"/>
      <c r="AM613" s="119"/>
      <c r="AN613" s="119"/>
    </row>
    <row r="614" spans="1:40" x14ac:dyDescent="0.2">
      <c r="A614" s="156"/>
      <c r="B614" s="41"/>
      <c r="C614" s="8"/>
      <c r="D614" s="129"/>
      <c r="E614" s="136" t="s">
        <v>19</v>
      </c>
      <c r="F614" s="23"/>
      <c r="G614" s="156"/>
      <c r="H614" s="151"/>
      <c r="I614" s="156"/>
      <c r="J614" s="156"/>
      <c r="K614" s="156"/>
      <c r="L614" s="156"/>
      <c r="M614" s="156"/>
      <c r="N614" s="156"/>
      <c r="O614" s="156"/>
      <c r="P614" s="156"/>
      <c r="Q614" s="156"/>
      <c r="R614" s="156"/>
      <c r="S614" s="156"/>
      <c r="T614" s="156"/>
      <c r="U614" s="156"/>
      <c r="V614" s="156"/>
      <c r="W614" s="156"/>
      <c r="X614" s="156"/>
      <c r="Y614" s="119"/>
      <c r="Z614" s="119"/>
      <c r="AA614" s="119"/>
      <c r="AB614" s="119"/>
      <c r="AC614" s="119"/>
      <c r="AD614" s="119"/>
      <c r="AE614" s="119"/>
      <c r="AF614" s="119"/>
      <c r="AG614" s="119"/>
      <c r="AH614" s="119"/>
      <c r="AI614" s="119"/>
      <c r="AJ614" s="119"/>
      <c r="AK614" s="119"/>
      <c r="AL614" s="119"/>
      <c r="AM614" s="119"/>
      <c r="AN614" s="119"/>
    </row>
    <row r="615" spans="1:40" s="16" customFormat="1" x14ac:dyDescent="0.2">
      <c r="A615" s="156"/>
      <c r="B615" s="162" t="s">
        <v>397</v>
      </c>
      <c r="C615" s="12"/>
      <c r="D615" s="144"/>
      <c r="E615" s="145"/>
      <c r="F615" s="25"/>
      <c r="G615" s="156"/>
      <c r="H615" s="14"/>
      <c r="I615" s="156"/>
      <c r="J615" s="156"/>
      <c r="K615" s="156"/>
      <c r="L615" s="156"/>
      <c r="M615" s="156"/>
      <c r="N615" s="156"/>
      <c r="O615" s="156"/>
      <c r="P615" s="156"/>
      <c r="Q615" s="156"/>
      <c r="R615" s="156"/>
      <c r="S615" s="156"/>
      <c r="T615" s="156"/>
      <c r="U615" s="156"/>
      <c r="V615" s="156"/>
      <c r="W615" s="156"/>
      <c r="X615" s="156"/>
      <c r="Y615" s="140"/>
      <c r="Z615" s="140"/>
      <c r="AA615" s="140"/>
      <c r="AB615" s="140"/>
      <c r="AC615" s="140"/>
      <c r="AD615" s="140"/>
      <c r="AE615" s="140"/>
      <c r="AF615" s="140"/>
      <c r="AG615" s="140"/>
      <c r="AH615" s="140"/>
      <c r="AI615" s="140"/>
      <c r="AJ615" s="140"/>
      <c r="AK615" s="140"/>
      <c r="AL615" s="140"/>
      <c r="AM615" s="140"/>
      <c r="AN615" s="140"/>
    </row>
    <row r="616" spans="1:40" x14ac:dyDescent="0.2">
      <c r="A616" s="156"/>
      <c r="B616" s="201" t="s">
        <v>418</v>
      </c>
      <c r="C616" s="202"/>
      <c r="D616" s="141"/>
      <c r="E616" s="136" t="s">
        <v>15</v>
      </c>
      <c r="F616" s="23"/>
      <c r="G616" s="156"/>
      <c r="H616" s="150" t="b">
        <f>IF(D617="x",H$2,H$1)</f>
        <v>0</v>
      </c>
      <c r="I616" s="156"/>
      <c r="J616" s="156"/>
      <c r="K616" s="156"/>
      <c r="L616" s="156"/>
      <c r="M616" s="156"/>
      <c r="N616" s="156"/>
      <c r="O616" s="156"/>
      <c r="P616" s="156"/>
      <c r="Q616" s="156"/>
      <c r="R616" s="156"/>
      <c r="S616" s="156"/>
      <c r="T616" s="156"/>
      <c r="U616" s="156"/>
      <c r="V616" s="156"/>
      <c r="W616" s="156"/>
      <c r="X616" s="156"/>
      <c r="Y616" s="119"/>
      <c r="Z616" s="119"/>
      <c r="AA616" s="119"/>
      <c r="AB616" s="119"/>
      <c r="AC616" s="119"/>
      <c r="AD616" s="119"/>
      <c r="AE616" s="119"/>
      <c r="AF616" s="119"/>
      <c r="AG616" s="119"/>
      <c r="AH616" s="119"/>
      <c r="AI616" s="119"/>
      <c r="AJ616" s="119"/>
      <c r="AK616" s="119"/>
      <c r="AL616" s="119"/>
      <c r="AM616" s="119"/>
      <c r="AN616" s="119"/>
    </row>
    <row r="617" spans="1:40" x14ac:dyDescent="0.2">
      <c r="A617" s="156"/>
      <c r="B617" s="201" t="s">
        <v>433</v>
      </c>
      <c r="C617" s="203"/>
      <c r="D617" s="126"/>
      <c r="E617" s="136" t="s">
        <v>16</v>
      </c>
      <c r="F617" s="127"/>
      <c r="G617" s="156"/>
      <c r="H617" s="150" t="str">
        <f>IF(E$652="comprobar",COUNTIF(D616:D619,"x"),"")</f>
        <v/>
      </c>
      <c r="I617" s="156"/>
      <c r="J617" s="156"/>
      <c r="K617" s="156"/>
      <c r="L617" s="156"/>
      <c r="M617" s="156"/>
      <c r="N617" s="156"/>
      <c r="O617" s="156"/>
      <c r="P617" s="156"/>
      <c r="Q617" s="156"/>
      <c r="R617" s="156"/>
      <c r="S617" s="156"/>
      <c r="T617" s="156"/>
      <c r="U617" s="156"/>
      <c r="V617" s="156"/>
      <c r="W617" s="156"/>
      <c r="X617" s="156"/>
      <c r="Y617" s="119"/>
      <c r="Z617" s="119"/>
      <c r="AA617" s="119"/>
      <c r="AB617" s="119"/>
      <c r="AC617" s="119"/>
      <c r="AD617" s="119"/>
      <c r="AE617" s="119"/>
      <c r="AF617" s="119"/>
      <c r="AG617" s="119"/>
      <c r="AH617" s="119"/>
      <c r="AI617" s="119"/>
      <c r="AJ617" s="119"/>
      <c r="AK617" s="119"/>
      <c r="AL617" s="119"/>
      <c r="AM617" s="119"/>
      <c r="AN617" s="119"/>
    </row>
    <row r="618" spans="1:40" x14ac:dyDescent="0.2">
      <c r="A618" s="156"/>
      <c r="B618" s="201" t="s">
        <v>419</v>
      </c>
      <c r="C618" s="203"/>
      <c r="D618" s="126"/>
      <c r="E618" s="136" t="s">
        <v>17</v>
      </c>
      <c r="F618" s="128"/>
      <c r="G618" s="156"/>
      <c r="H618" s="151">
        <f t="shared" ref="H618" si="76">IF(H617=1,IF(H616=H$2,1,-0.33),0)</f>
        <v>0</v>
      </c>
      <c r="I618" s="156"/>
      <c r="J618" s="156"/>
      <c r="K618" s="156"/>
      <c r="L618" s="156"/>
      <c r="M618" s="156"/>
      <c r="N618" s="156"/>
      <c r="O618" s="156"/>
      <c r="P618" s="156"/>
      <c r="Q618" s="156"/>
      <c r="R618" s="156"/>
      <c r="S618" s="156"/>
      <c r="T618" s="156"/>
      <c r="U618" s="156"/>
      <c r="V618" s="156"/>
      <c r="W618" s="156"/>
      <c r="X618" s="156"/>
      <c r="Y618" s="119"/>
      <c r="Z618" s="119"/>
      <c r="AA618" s="119"/>
      <c r="AB618" s="119"/>
      <c r="AC618" s="119"/>
      <c r="AD618" s="119"/>
      <c r="AE618" s="119"/>
      <c r="AF618" s="119"/>
      <c r="AG618" s="119"/>
      <c r="AH618" s="119"/>
      <c r="AI618" s="119"/>
      <c r="AJ618" s="119"/>
      <c r="AK618" s="119"/>
      <c r="AL618" s="119"/>
      <c r="AM618" s="119"/>
      <c r="AN618" s="119"/>
    </row>
    <row r="619" spans="1:40" x14ac:dyDescent="0.2">
      <c r="A619" s="156"/>
      <c r="B619" s="201" t="s">
        <v>411</v>
      </c>
      <c r="C619" s="203"/>
      <c r="D619" s="141"/>
      <c r="E619" s="136" t="s">
        <v>18</v>
      </c>
      <c r="F619" s="23"/>
      <c r="G619" s="156"/>
      <c r="H619" s="151"/>
      <c r="I619" s="156"/>
      <c r="J619" s="156"/>
      <c r="K619" s="156"/>
      <c r="L619" s="156"/>
      <c r="M619" s="156"/>
      <c r="N619" s="156"/>
      <c r="O619" s="156"/>
      <c r="P619" s="156"/>
      <c r="Q619" s="156"/>
      <c r="R619" s="156"/>
      <c r="S619" s="156"/>
      <c r="T619" s="156"/>
      <c r="U619" s="156"/>
      <c r="V619" s="156"/>
      <c r="W619" s="156"/>
      <c r="X619" s="156"/>
      <c r="Y619" s="119"/>
      <c r="Z619" s="119"/>
      <c r="AA619" s="119"/>
      <c r="AB619" s="119"/>
      <c r="AC619" s="119"/>
      <c r="AD619" s="119"/>
      <c r="AE619" s="119"/>
      <c r="AF619" s="119"/>
      <c r="AG619" s="119"/>
      <c r="AH619" s="119"/>
      <c r="AI619" s="119"/>
      <c r="AJ619" s="119"/>
      <c r="AK619" s="119"/>
      <c r="AL619" s="119"/>
      <c r="AM619" s="119"/>
      <c r="AN619" s="119"/>
    </row>
    <row r="620" spans="1:40" s="16" customFormat="1" x14ac:dyDescent="0.2">
      <c r="A620" s="156"/>
      <c r="B620" s="162" t="s">
        <v>398</v>
      </c>
      <c r="C620" s="31"/>
      <c r="D620" s="138"/>
      <c r="E620" s="139"/>
      <c r="F620" s="95"/>
      <c r="G620" s="156"/>
      <c r="H620" s="14"/>
      <c r="I620" s="156"/>
      <c r="J620" s="156"/>
      <c r="K620" s="156"/>
      <c r="L620" s="156"/>
      <c r="M620" s="156"/>
      <c r="N620" s="156"/>
      <c r="O620" s="156"/>
      <c r="P620" s="156"/>
      <c r="Q620" s="156"/>
      <c r="R620" s="156"/>
      <c r="S620" s="156"/>
      <c r="T620" s="156"/>
      <c r="U620" s="156"/>
      <c r="V620" s="156"/>
      <c r="W620" s="156"/>
      <c r="X620" s="156"/>
      <c r="Y620" s="137"/>
      <c r="Z620" s="137"/>
      <c r="AA620" s="137"/>
      <c r="AB620" s="137"/>
      <c r="AC620" s="137"/>
      <c r="AD620" s="137"/>
      <c r="AE620" s="137"/>
      <c r="AF620" s="137"/>
      <c r="AG620" s="137"/>
      <c r="AH620" s="137"/>
      <c r="AI620" s="137"/>
      <c r="AJ620" s="137"/>
      <c r="AK620" s="137"/>
      <c r="AL620" s="137"/>
      <c r="AM620" s="137"/>
      <c r="AN620" s="137"/>
    </row>
    <row r="621" spans="1:40" s="16" customFormat="1" x14ac:dyDescent="0.2">
      <c r="A621" s="156"/>
      <c r="B621" s="162" t="s">
        <v>399</v>
      </c>
      <c r="C621" s="12"/>
      <c r="D621" s="144"/>
      <c r="E621" s="145"/>
      <c r="F621" s="25"/>
      <c r="G621" s="156"/>
      <c r="H621" s="150" t="b">
        <f>IF(D624="x",H$2,H$1)</f>
        <v>0</v>
      </c>
      <c r="I621" s="156"/>
      <c r="J621" s="156"/>
      <c r="K621" s="156"/>
      <c r="L621" s="156"/>
      <c r="M621" s="156"/>
      <c r="N621" s="156"/>
      <c r="O621" s="156"/>
      <c r="P621" s="156"/>
      <c r="Q621" s="156"/>
      <c r="R621" s="156"/>
      <c r="S621" s="156"/>
      <c r="T621" s="156"/>
      <c r="U621" s="156"/>
      <c r="V621" s="156"/>
      <c r="W621" s="156"/>
      <c r="X621" s="156"/>
      <c r="Y621" s="140"/>
      <c r="Z621" s="140"/>
      <c r="AA621" s="140"/>
      <c r="AB621" s="140"/>
      <c r="AC621" s="140"/>
      <c r="AD621" s="140"/>
      <c r="AE621" s="140"/>
      <c r="AF621" s="140"/>
      <c r="AG621" s="140"/>
      <c r="AH621" s="140"/>
      <c r="AI621" s="140"/>
      <c r="AJ621" s="140"/>
      <c r="AK621" s="140"/>
      <c r="AL621" s="140"/>
      <c r="AM621" s="140"/>
      <c r="AN621" s="140"/>
    </row>
    <row r="622" spans="1:40" s="16" customFormat="1" x14ac:dyDescent="0.2">
      <c r="A622" s="156"/>
      <c r="B622" s="162" t="s">
        <v>400</v>
      </c>
      <c r="C622" s="166"/>
      <c r="D622" s="138"/>
      <c r="E622" s="139"/>
      <c r="F622" s="95"/>
      <c r="G622" s="156"/>
      <c r="H622" s="150" t="str">
        <f>IF(E$652="comprobar",COUNTIF(D623:D626,"x"),"")</f>
        <v/>
      </c>
      <c r="I622" s="156"/>
      <c r="J622" s="156"/>
      <c r="K622" s="156"/>
      <c r="L622" s="156"/>
      <c r="M622" s="156"/>
      <c r="N622" s="156"/>
      <c r="O622" s="156"/>
      <c r="P622" s="156"/>
      <c r="Q622" s="156"/>
      <c r="R622" s="156"/>
      <c r="S622" s="156"/>
      <c r="T622" s="156"/>
      <c r="U622" s="156"/>
      <c r="V622" s="156"/>
      <c r="W622" s="156"/>
      <c r="X622" s="156"/>
      <c r="Y622" s="137"/>
      <c r="Z622" s="137"/>
      <c r="AA622" s="137"/>
      <c r="AB622" s="137"/>
      <c r="AC622" s="137"/>
      <c r="AD622" s="137"/>
      <c r="AE622" s="137"/>
      <c r="AF622" s="137"/>
      <c r="AG622" s="137"/>
      <c r="AH622" s="137"/>
      <c r="AI622" s="137"/>
      <c r="AJ622" s="137"/>
      <c r="AK622" s="137"/>
      <c r="AL622" s="137"/>
      <c r="AM622" s="137"/>
      <c r="AN622" s="137"/>
    </row>
    <row r="623" spans="1:40" x14ac:dyDescent="0.2">
      <c r="A623" s="156"/>
      <c r="B623" s="163" t="s">
        <v>420</v>
      </c>
      <c r="C623" s="158"/>
      <c r="D623" s="141"/>
      <c r="E623" s="136" t="s">
        <v>15</v>
      </c>
      <c r="F623" s="127"/>
      <c r="G623" s="156"/>
      <c r="H623" s="151">
        <f t="shared" ref="H623" si="77">IF(H622=1,IF(H621=H$2,1,-0.33),0)</f>
        <v>0</v>
      </c>
      <c r="I623" s="156"/>
      <c r="J623" s="156"/>
      <c r="K623" s="156"/>
      <c r="L623" s="156"/>
      <c r="M623" s="156"/>
      <c r="N623" s="156"/>
      <c r="O623" s="156"/>
      <c r="P623" s="156"/>
      <c r="Q623" s="156"/>
      <c r="R623" s="156"/>
      <c r="S623" s="156"/>
      <c r="T623" s="156"/>
      <c r="U623" s="156"/>
      <c r="V623" s="156"/>
      <c r="W623" s="156"/>
      <c r="X623" s="156"/>
      <c r="Y623" s="119"/>
      <c r="Z623" s="119"/>
      <c r="AA623" s="119"/>
      <c r="AB623" s="119"/>
      <c r="AC623" s="119"/>
      <c r="AD623" s="119"/>
      <c r="AE623" s="119"/>
      <c r="AF623" s="119"/>
      <c r="AG623" s="119"/>
      <c r="AH623" s="119"/>
      <c r="AI623" s="119"/>
      <c r="AJ623" s="119"/>
      <c r="AK623" s="119"/>
      <c r="AL623" s="119"/>
      <c r="AM623" s="119"/>
      <c r="AN623" s="119"/>
    </row>
    <row r="624" spans="1:40" x14ac:dyDescent="0.2">
      <c r="A624" s="156"/>
      <c r="B624" s="163" t="s">
        <v>427</v>
      </c>
      <c r="C624" s="158"/>
      <c r="D624" s="126"/>
      <c r="E624" s="136" t="s">
        <v>16</v>
      </c>
      <c r="F624" s="128"/>
      <c r="G624" s="156"/>
      <c r="H624" s="151"/>
      <c r="I624" s="156"/>
      <c r="J624" s="156"/>
      <c r="K624" s="156"/>
      <c r="L624" s="156"/>
      <c r="M624" s="156"/>
      <c r="N624" s="156"/>
      <c r="O624" s="156"/>
      <c r="P624" s="156"/>
      <c r="Q624" s="156"/>
      <c r="R624" s="156"/>
      <c r="S624" s="156"/>
      <c r="T624" s="156"/>
      <c r="U624" s="156"/>
      <c r="V624" s="156"/>
      <c r="W624" s="156"/>
      <c r="X624" s="156"/>
      <c r="Y624" s="119"/>
      <c r="Z624" s="119"/>
      <c r="AA624" s="119"/>
      <c r="AB624" s="119"/>
      <c r="AC624" s="119"/>
      <c r="AD624" s="119"/>
      <c r="AE624" s="119"/>
      <c r="AF624" s="119"/>
      <c r="AG624" s="119"/>
      <c r="AH624" s="119"/>
      <c r="AI624" s="119"/>
      <c r="AJ624" s="119"/>
      <c r="AK624" s="119"/>
      <c r="AL624" s="119"/>
      <c r="AM624" s="119"/>
      <c r="AN624" s="119"/>
    </row>
    <row r="625" spans="1:40" x14ac:dyDescent="0.2">
      <c r="A625" s="156"/>
      <c r="B625" s="163" t="s">
        <v>421</v>
      </c>
      <c r="C625" s="158"/>
      <c r="D625" s="126"/>
      <c r="E625" s="136" t="s">
        <v>17</v>
      </c>
      <c r="F625" s="23"/>
      <c r="G625" s="156"/>
      <c r="H625" s="151"/>
      <c r="I625" s="156"/>
      <c r="J625" s="156"/>
      <c r="K625" s="156"/>
      <c r="L625" s="156"/>
      <c r="M625" s="156"/>
      <c r="N625" s="156"/>
      <c r="O625" s="156"/>
      <c r="P625" s="156"/>
      <c r="Q625" s="156"/>
      <c r="R625" s="156"/>
      <c r="S625" s="156"/>
      <c r="T625" s="156"/>
      <c r="U625" s="156"/>
      <c r="V625" s="156"/>
      <c r="W625" s="156"/>
      <c r="X625" s="156"/>
      <c r="Y625" s="119"/>
      <c r="Z625" s="119"/>
      <c r="AA625" s="119"/>
      <c r="AB625" s="119"/>
      <c r="AC625" s="119"/>
      <c r="AD625" s="119"/>
      <c r="AE625" s="119"/>
      <c r="AF625" s="119"/>
      <c r="AG625" s="119"/>
      <c r="AH625" s="119"/>
      <c r="AI625" s="119"/>
      <c r="AJ625" s="119"/>
      <c r="AK625" s="119"/>
      <c r="AL625" s="119"/>
      <c r="AM625" s="119"/>
      <c r="AN625" s="119"/>
    </row>
    <row r="626" spans="1:40" x14ac:dyDescent="0.2">
      <c r="A626" s="156"/>
      <c r="B626" s="163" t="s">
        <v>422</v>
      </c>
      <c r="C626" s="158"/>
      <c r="D626" s="129"/>
      <c r="E626" s="136" t="s">
        <v>18</v>
      </c>
      <c r="F626" s="23"/>
      <c r="G626" s="156"/>
      <c r="H626" s="157"/>
      <c r="I626" s="156"/>
      <c r="J626" s="156"/>
      <c r="K626" s="156"/>
      <c r="L626" s="156"/>
      <c r="M626" s="156"/>
      <c r="N626" s="156"/>
      <c r="O626" s="156"/>
      <c r="P626" s="156"/>
      <c r="Q626" s="156"/>
      <c r="R626" s="156"/>
      <c r="S626" s="156"/>
      <c r="T626" s="156"/>
      <c r="U626" s="156"/>
      <c r="V626" s="156"/>
      <c r="W626" s="156"/>
      <c r="X626" s="156"/>
      <c r="Y626" s="119"/>
      <c r="Z626" s="119"/>
      <c r="AA626" s="119"/>
      <c r="AB626" s="119"/>
      <c r="AC626" s="119"/>
      <c r="AD626" s="119"/>
      <c r="AE626" s="119"/>
      <c r="AF626" s="119"/>
      <c r="AG626" s="119"/>
      <c r="AH626" s="119"/>
      <c r="AI626" s="119"/>
      <c r="AJ626" s="119"/>
      <c r="AK626" s="119"/>
      <c r="AL626" s="119"/>
      <c r="AM626" s="119"/>
      <c r="AN626" s="119"/>
    </row>
    <row r="627" spans="1:40" s="16" customFormat="1" x14ac:dyDescent="0.2">
      <c r="A627" s="156"/>
      <c r="B627" s="162" t="s">
        <v>401</v>
      </c>
      <c r="C627" s="12"/>
      <c r="D627" s="144"/>
      <c r="E627" s="145"/>
      <c r="F627" s="25"/>
      <c r="G627" s="156"/>
      <c r="H627" s="14"/>
      <c r="I627" s="156"/>
      <c r="J627" s="156"/>
      <c r="K627" s="156"/>
      <c r="L627" s="156"/>
      <c r="M627" s="156"/>
      <c r="N627" s="156"/>
      <c r="O627" s="156"/>
      <c r="P627" s="156"/>
      <c r="Q627" s="156"/>
      <c r="R627" s="156"/>
      <c r="S627" s="156"/>
      <c r="T627" s="156"/>
      <c r="U627" s="156"/>
      <c r="V627" s="156"/>
      <c r="W627" s="156"/>
      <c r="X627" s="156"/>
      <c r="Y627" s="140"/>
      <c r="Z627" s="140"/>
      <c r="AA627" s="140"/>
      <c r="AB627" s="140"/>
      <c r="AC627" s="140"/>
      <c r="AD627" s="140"/>
      <c r="AE627" s="140"/>
      <c r="AF627" s="140"/>
      <c r="AG627" s="140"/>
      <c r="AH627" s="140"/>
      <c r="AI627" s="140"/>
      <c r="AJ627" s="140"/>
      <c r="AK627" s="140"/>
      <c r="AL627" s="140"/>
      <c r="AM627" s="140"/>
      <c r="AN627" s="140"/>
    </row>
    <row r="628" spans="1:40" x14ac:dyDescent="0.2">
      <c r="A628" s="156"/>
      <c r="B628" s="163" t="s">
        <v>411</v>
      </c>
      <c r="C628" s="158"/>
      <c r="D628" s="125"/>
      <c r="E628" s="136" t="s">
        <v>15</v>
      </c>
      <c r="F628" s="23"/>
      <c r="G628" s="156"/>
      <c r="H628" s="150" t="b">
        <f>IF(D629="x",H$2,H$1)</f>
        <v>0</v>
      </c>
      <c r="I628" s="156"/>
      <c r="J628" s="156"/>
      <c r="K628" s="156"/>
      <c r="L628" s="156"/>
      <c r="M628" s="156"/>
      <c r="N628" s="156"/>
      <c r="O628" s="156"/>
      <c r="P628" s="156"/>
      <c r="Q628" s="156"/>
      <c r="R628" s="156"/>
      <c r="S628" s="156"/>
      <c r="T628" s="156"/>
      <c r="U628" s="156"/>
      <c r="V628" s="156"/>
      <c r="W628" s="156"/>
      <c r="X628" s="156"/>
      <c r="Y628" s="119"/>
      <c r="Z628" s="119"/>
      <c r="AA628" s="119"/>
      <c r="AB628" s="119"/>
      <c r="AC628" s="119"/>
      <c r="AD628" s="119"/>
      <c r="AE628" s="119"/>
      <c r="AF628" s="119"/>
      <c r="AG628" s="119"/>
      <c r="AH628" s="119"/>
      <c r="AI628" s="119"/>
      <c r="AJ628" s="119"/>
      <c r="AK628" s="119"/>
      <c r="AL628" s="119"/>
      <c r="AM628" s="119"/>
      <c r="AN628" s="119"/>
    </row>
    <row r="629" spans="1:40" x14ac:dyDescent="0.2">
      <c r="A629" s="156"/>
      <c r="B629" s="163" t="s">
        <v>434</v>
      </c>
      <c r="C629" s="158"/>
      <c r="D629" s="126"/>
      <c r="E629" s="136" t="s">
        <v>16</v>
      </c>
      <c r="F629" s="127"/>
      <c r="G629" s="156"/>
      <c r="H629" s="150" t="str">
        <f>IF(E$652="comprobar",COUNTIF(D628:D632,"x"),"")</f>
        <v/>
      </c>
      <c r="I629" s="156"/>
      <c r="J629" s="156"/>
      <c r="K629" s="156"/>
      <c r="L629" s="156"/>
      <c r="M629" s="156"/>
      <c r="N629" s="156"/>
      <c r="O629" s="156"/>
      <c r="P629" s="156"/>
      <c r="Q629" s="156"/>
      <c r="R629" s="156"/>
      <c r="S629" s="156"/>
      <c r="T629" s="156"/>
      <c r="U629" s="156"/>
      <c r="V629" s="156"/>
      <c r="W629" s="156"/>
      <c r="X629" s="156"/>
      <c r="Y629" s="119"/>
      <c r="Z629" s="119"/>
      <c r="AA629" s="119"/>
      <c r="AB629" s="119"/>
      <c r="AC629" s="119"/>
      <c r="AD629" s="119"/>
      <c r="AE629" s="119"/>
      <c r="AF629" s="119"/>
      <c r="AG629" s="119"/>
      <c r="AH629" s="119"/>
      <c r="AI629" s="119"/>
      <c r="AJ629" s="119"/>
      <c r="AK629" s="119"/>
      <c r="AL629" s="119"/>
      <c r="AM629" s="119"/>
      <c r="AN629" s="119"/>
    </row>
    <row r="630" spans="1:40" x14ac:dyDescent="0.2">
      <c r="A630" s="156"/>
      <c r="B630" s="163" t="s">
        <v>423</v>
      </c>
      <c r="C630" s="158"/>
      <c r="D630" s="126"/>
      <c r="E630" s="136" t="s">
        <v>17</v>
      </c>
      <c r="F630" s="128"/>
      <c r="G630" s="156"/>
      <c r="H630" s="151">
        <f t="shared" ref="H630" si="78">IF(H629=1,IF(H628=H$2,1,-0.33),0)</f>
        <v>0</v>
      </c>
      <c r="I630" s="156"/>
      <c r="J630" s="156"/>
      <c r="K630" s="156"/>
      <c r="L630" s="156"/>
      <c r="M630" s="156"/>
      <c r="N630" s="156"/>
      <c r="O630" s="156"/>
      <c r="P630" s="156"/>
      <c r="Q630" s="156"/>
      <c r="R630" s="156"/>
      <c r="S630" s="156"/>
      <c r="T630" s="156"/>
      <c r="U630" s="156"/>
      <c r="V630" s="156"/>
      <c r="W630" s="156"/>
      <c r="X630" s="156"/>
      <c r="Y630" s="119"/>
      <c r="Z630" s="119"/>
      <c r="AA630" s="119"/>
      <c r="AB630" s="119"/>
      <c r="AC630" s="119"/>
      <c r="AD630" s="119"/>
      <c r="AE630" s="119"/>
      <c r="AF630" s="119"/>
      <c r="AG630" s="119"/>
      <c r="AH630" s="119"/>
      <c r="AI630" s="119"/>
      <c r="AJ630" s="119"/>
      <c r="AK630" s="119"/>
      <c r="AL630" s="119"/>
      <c r="AM630" s="119"/>
      <c r="AN630" s="119"/>
    </row>
    <row r="631" spans="1:40" x14ac:dyDescent="0.2">
      <c r="A631" s="156"/>
      <c r="B631" s="163" t="s">
        <v>424</v>
      </c>
      <c r="C631" s="158"/>
      <c r="D631" s="126"/>
      <c r="E631" s="136" t="s">
        <v>18</v>
      </c>
      <c r="F631" s="23"/>
      <c r="G631" s="156"/>
      <c r="H631" s="151"/>
      <c r="I631" s="156"/>
      <c r="J631" s="156"/>
      <c r="K631" s="156"/>
      <c r="L631" s="156"/>
      <c r="M631" s="156"/>
      <c r="N631" s="156"/>
      <c r="O631" s="156"/>
      <c r="P631" s="156"/>
      <c r="Q631" s="156"/>
      <c r="R631" s="156"/>
      <c r="S631" s="156"/>
      <c r="T631" s="156"/>
      <c r="U631" s="156"/>
      <c r="V631" s="156"/>
      <c r="W631" s="156"/>
      <c r="X631" s="156"/>
      <c r="Y631" s="119"/>
      <c r="Z631" s="119"/>
      <c r="AA631" s="119"/>
      <c r="AB631" s="119"/>
      <c r="AC631" s="119"/>
      <c r="AD631" s="119"/>
      <c r="AE631" s="119"/>
      <c r="AF631" s="119"/>
      <c r="AG631" s="119"/>
      <c r="AH631" s="119"/>
      <c r="AI631" s="119"/>
      <c r="AJ631" s="119"/>
      <c r="AK631" s="119"/>
      <c r="AL631" s="119"/>
      <c r="AM631" s="119"/>
      <c r="AN631" s="119"/>
    </row>
    <row r="632" spans="1:40" x14ac:dyDescent="0.2">
      <c r="A632" s="156"/>
      <c r="B632" s="41"/>
      <c r="C632" s="8"/>
      <c r="D632" s="129"/>
      <c r="E632" s="136" t="s">
        <v>19</v>
      </c>
      <c r="F632" s="23"/>
      <c r="G632" s="156"/>
      <c r="H632" s="151"/>
      <c r="I632" s="156"/>
      <c r="J632" s="156"/>
      <c r="K632" s="156"/>
      <c r="L632" s="156"/>
      <c r="M632" s="156"/>
      <c r="N632" s="156"/>
      <c r="O632" s="156"/>
      <c r="P632" s="156"/>
      <c r="Q632" s="156"/>
      <c r="R632" s="156"/>
      <c r="S632" s="156"/>
      <c r="T632" s="156"/>
      <c r="U632" s="156"/>
      <c r="V632" s="156"/>
      <c r="W632" s="156"/>
      <c r="X632" s="156"/>
      <c r="Y632" s="119"/>
      <c r="Z632" s="119"/>
      <c r="AA632" s="119"/>
      <c r="AB632" s="119"/>
      <c r="AC632" s="119"/>
      <c r="AD632" s="119"/>
      <c r="AE632" s="119"/>
      <c r="AF632" s="119"/>
      <c r="AG632" s="119"/>
      <c r="AH632" s="119"/>
      <c r="AI632" s="119"/>
      <c r="AJ632" s="119"/>
      <c r="AK632" s="119"/>
      <c r="AL632" s="119"/>
      <c r="AM632" s="119"/>
      <c r="AN632" s="119"/>
    </row>
    <row r="633" spans="1:40" x14ac:dyDescent="0.2">
      <c r="A633" s="156"/>
      <c r="B633" s="167" t="s">
        <v>408</v>
      </c>
      <c r="C633" s="168"/>
      <c r="D633" s="142"/>
      <c r="E633" s="143"/>
      <c r="F633" s="124"/>
      <c r="G633" s="156"/>
      <c r="H633" s="14"/>
      <c r="I633" s="156"/>
      <c r="J633" s="156"/>
      <c r="K633" s="156"/>
      <c r="L633" s="156"/>
      <c r="M633" s="156"/>
      <c r="N633" s="156"/>
      <c r="O633" s="156"/>
      <c r="P633" s="156"/>
      <c r="Q633" s="156"/>
      <c r="R633" s="156"/>
      <c r="S633" s="156"/>
      <c r="T633" s="156"/>
      <c r="U633" s="156"/>
      <c r="V633" s="156"/>
      <c r="W633" s="156"/>
      <c r="X633" s="156"/>
      <c r="Y633" s="123"/>
      <c r="Z633" s="123"/>
      <c r="AA633" s="123"/>
      <c r="AB633" s="123"/>
      <c r="AC633" s="123"/>
      <c r="AD633" s="123"/>
      <c r="AE633" s="123"/>
      <c r="AF633" s="123"/>
      <c r="AG633" s="123"/>
      <c r="AH633" s="123"/>
      <c r="AI633" s="123"/>
      <c r="AJ633" s="123"/>
      <c r="AK633" s="123"/>
      <c r="AL633" s="123"/>
      <c r="AM633" s="123"/>
      <c r="AN633" s="123"/>
    </row>
    <row r="634" spans="1:40" x14ac:dyDescent="0.2">
      <c r="A634" s="156"/>
      <c r="B634" s="163" t="s">
        <v>411</v>
      </c>
      <c r="C634" s="158"/>
      <c r="D634" s="141"/>
      <c r="E634" s="136" t="s">
        <v>15</v>
      </c>
      <c r="F634" s="23"/>
      <c r="G634" s="156"/>
      <c r="H634" s="150" t="b">
        <f>IF(D636="x",H$2,H$1)</f>
        <v>0</v>
      </c>
      <c r="I634" s="156"/>
      <c r="J634" s="156"/>
      <c r="K634" s="156"/>
      <c r="L634" s="156"/>
      <c r="M634" s="156"/>
      <c r="N634" s="156"/>
      <c r="O634" s="156"/>
      <c r="P634" s="156"/>
      <c r="Q634" s="156"/>
      <c r="R634" s="156"/>
      <c r="S634" s="156"/>
      <c r="T634" s="156"/>
      <c r="U634" s="156"/>
      <c r="V634" s="156"/>
      <c r="W634" s="156"/>
      <c r="X634" s="156"/>
      <c r="Y634" s="119"/>
      <c r="Z634" s="119"/>
      <c r="AA634" s="119"/>
      <c r="AB634" s="119"/>
      <c r="AC634" s="119"/>
      <c r="AD634" s="119"/>
      <c r="AE634" s="119"/>
      <c r="AF634" s="119"/>
      <c r="AG634" s="119"/>
      <c r="AH634" s="119"/>
      <c r="AI634" s="119"/>
      <c r="AJ634" s="119"/>
      <c r="AK634" s="119"/>
      <c r="AL634" s="119"/>
      <c r="AM634" s="119"/>
      <c r="AN634" s="119"/>
    </row>
    <row r="635" spans="1:40" x14ac:dyDescent="0.2">
      <c r="A635" s="156"/>
      <c r="B635" s="163" t="s">
        <v>425</v>
      </c>
      <c r="C635" s="158"/>
      <c r="D635" s="141"/>
      <c r="E635" s="136" t="s">
        <v>16</v>
      </c>
      <c r="F635" s="127"/>
      <c r="G635" s="156"/>
      <c r="H635" s="150" t="str">
        <f>IF(E$652="comprobar",COUNTIF(D634:D637,"x"),"")</f>
        <v/>
      </c>
      <c r="I635" s="156"/>
      <c r="J635" s="156"/>
      <c r="K635" s="156"/>
      <c r="L635" s="156"/>
      <c r="M635" s="156"/>
      <c r="N635" s="156"/>
      <c r="O635" s="156"/>
      <c r="P635" s="156"/>
      <c r="Q635" s="156"/>
      <c r="R635" s="156"/>
      <c r="S635" s="156"/>
      <c r="T635" s="156"/>
      <c r="U635" s="156"/>
      <c r="V635" s="156"/>
      <c r="W635" s="156"/>
      <c r="X635" s="156"/>
      <c r="Y635" s="119"/>
      <c r="Z635" s="119"/>
      <c r="AA635" s="119"/>
      <c r="AB635" s="119"/>
      <c r="AC635" s="119"/>
      <c r="AD635" s="119"/>
      <c r="AE635" s="119"/>
      <c r="AF635" s="119"/>
      <c r="AG635" s="119"/>
      <c r="AH635" s="119"/>
      <c r="AI635" s="119"/>
      <c r="AJ635" s="119"/>
      <c r="AK635" s="119"/>
      <c r="AL635" s="119"/>
      <c r="AM635" s="119"/>
      <c r="AN635" s="119"/>
    </row>
    <row r="636" spans="1:40" x14ac:dyDescent="0.2">
      <c r="A636" s="156"/>
      <c r="B636" s="163" t="s">
        <v>435</v>
      </c>
      <c r="C636" s="158"/>
      <c r="D636" s="141"/>
      <c r="E636" s="136" t="s">
        <v>17</v>
      </c>
      <c r="F636" s="128"/>
      <c r="G636" s="156"/>
      <c r="H636" s="151">
        <f t="shared" ref="H636" si="79">IF(H635=1,IF(H634=H$2,1,-0.33),0)</f>
        <v>0</v>
      </c>
      <c r="I636" s="156"/>
      <c r="J636" s="156"/>
      <c r="K636" s="156"/>
      <c r="L636" s="156"/>
      <c r="M636" s="156"/>
      <c r="N636" s="156"/>
      <c r="O636" s="156"/>
      <c r="P636" s="156"/>
      <c r="Q636" s="156"/>
      <c r="R636" s="156"/>
      <c r="S636" s="156"/>
      <c r="T636" s="156"/>
      <c r="U636" s="156"/>
      <c r="V636" s="156"/>
      <c r="W636" s="156"/>
      <c r="X636" s="156"/>
      <c r="Y636" s="119"/>
      <c r="Z636" s="119"/>
      <c r="AA636" s="119"/>
      <c r="AB636" s="119"/>
      <c r="AC636" s="119"/>
      <c r="AD636" s="119"/>
      <c r="AE636" s="119"/>
      <c r="AF636" s="119"/>
      <c r="AG636" s="119"/>
      <c r="AH636" s="119"/>
      <c r="AI636" s="119"/>
      <c r="AJ636" s="119"/>
      <c r="AK636" s="119"/>
      <c r="AL636" s="119"/>
      <c r="AM636" s="119"/>
      <c r="AN636" s="119"/>
    </row>
    <row r="637" spans="1:40" x14ac:dyDescent="0.2">
      <c r="A637" s="156"/>
      <c r="B637" s="163" t="s">
        <v>426</v>
      </c>
      <c r="C637" s="158"/>
      <c r="D637" s="141"/>
      <c r="E637" s="136" t="s">
        <v>18</v>
      </c>
      <c r="F637" s="23"/>
      <c r="G637" s="156"/>
      <c r="H637" s="151"/>
      <c r="I637" s="156"/>
      <c r="J637" s="156"/>
      <c r="K637" s="156"/>
      <c r="L637" s="156"/>
      <c r="M637" s="156"/>
      <c r="N637" s="156"/>
      <c r="O637" s="156"/>
      <c r="P637" s="156"/>
      <c r="Q637" s="156"/>
      <c r="R637" s="156"/>
      <c r="S637" s="156"/>
      <c r="T637" s="156"/>
      <c r="U637" s="156"/>
      <c r="V637" s="156"/>
      <c r="W637" s="156"/>
      <c r="X637" s="156"/>
      <c r="Y637" s="119"/>
      <c r="Z637" s="119"/>
      <c r="AA637" s="119"/>
      <c r="AB637" s="119"/>
      <c r="AC637" s="119"/>
      <c r="AD637" s="119"/>
      <c r="AE637" s="119"/>
      <c r="AF637" s="119"/>
      <c r="AG637" s="119"/>
      <c r="AH637" s="119"/>
      <c r="AI637" s="119"/>
      <c r="AJ637" s="119"/>
      <c r="AK637" s="119"/>
      <c r="AL637" s="119"/>
      <c r="AM637" s="119"/>
      <c r="AN637" s="119"/>
    </row>
    <row r="638" spans="1:40" x14ac:dyDescent="0.2">
      <c r="A638" s="156"/>
      <c r="B638" s="162" t="s">
        <v>402</v>
      </c>
      <c r="C638" s="12"/>
      <c r="D638" s="138"/>
      <c r="E638" s="139"/>
      <c r="F638" s="95"/>
      <c r="G638" s="156"/>
      <c r="H638" s="14"/>
      <c r="I638" s="156"/>
      <c r="J638" s="156"/>
      <c r="K638" s="156"/>
      <c r="L638" s="156"/>
      <c r="M638" s="156"/>
      <c r="N638" s="156"/>
      <c r="O638" s="156"/>
      <c r="P638" s="156"/>
      <c r="Q638" s="156"/>
      <c r="R638" s="156"/>
      <c r="S638" s="156"/>
      <c r="T638" s="156"/>
      <c r="U638" s="156"/>
      <c r="V638" s="156"/>
      <c r="W638" s="156"/>
      <c r="X638" s="156"/>
      <c r="Y638" s="119"/>
      <c r="Z638" s="119"/>
      <c r="AA638" s="119"/>
      <c r="AB638" s="119"/>
      <c r="AC638" s="119"/>
      <c r="AD638" s="119"/>
      <c r="AE638" s="119"/>
      <c r="AF638" s="119"/>
      <c r="AG638" s="119"/>
      <c r="AH638" s="119"/>
      <c r="AI638" s="119"/>
      <c r="AJ638" s="119"/>
      <c r="AK638" s="119"/>
      <c r="AL638" s="119"/>
      <c r="AM638" s="119"/>
      <c r="AN638" s="119"/>
    </row>
    <row r="639" spans="1:40" x14ac:dyDescent="0.2">
      <c r="A639" s="156"/>
      <c r="B639" s="162" t="s">
        <v>403</v>
      </c>
      <c r="C639" s="166"/>
      <c r="D639" s="138"/>
      <c r="E639" s="139"/>
      <c r="F639" s="95"/>
      <c r="G639" s="156"/>
      <c r="H639" s="150" t="b">
        <f>IF(D642="x",H$2,H$1)</f>
        <v>0</v>
      </c>
      <c r="I639" s="156"/>
      <c r="J639" s="156"/>
      <c r="K639" s="156"/>
      <c r="L639" s="156"/>
      <c r="M639" s="156"/>
      <c r="N639" s="156"/>
      <c r="O639" s="156"/>
      <c r="P639" s="156"/>
      <c r="Q639" s="156"/>
      <c r="R639" s="156"/>
      <c r="S639" s="156"/>
      <c r="T639" s="156"/>
      <c r="U639" s="156"/>
      <c r="V639" s="156"/>
      <c r="W639" s="156"/>
      <c r="X639" s="156"/>
      <c r="Y639" s="123"/>
      <c r="Z639" s="123"/>
      <c r="AA639" s="123"/>
      <c r="AB639" s="123"/>
      <c r="AC639" s="123"/>
      <c r="AD639" s="123"/>
      <c r="AE639" s="123"/>
      <c r="AF639" s="123"/>
      <c r="AG639" s="123"/>
      <c r="AH639" s="123"/>
      <c r="AI639" s="123"/>
      <c r="AJ639" s="123"/>
      <c r="AK639" s="123"/>
      <c r="AL639" s="123"/>
      <c r="AM639" s="123"/>
      <c r="AN639" s="123"/>
    </row>
    <row r="640" spans="1:40" x14ac:dyDescent="0.2">
      <c r="A640" s="156"/>
      <c r="B640" s="162" t="s">
        <v>404</v>
      </c>
      <c r="C640" s="160"/>
      <c r="D640" s="144"/>
      <c r="E640" s="145"/>
      <c r="F640" s="25"/>
      <c r="G640" s="156"/>
      <c r="H640" s="150" t="str">
        <f>IF(E$652="comprobar",COUNTIF(D641:D644,"x"),"")</f>
        <v/>
      </c>
      <c r="I640" s="156"/>
      <c r="J640" s="156"/>
      <c r="K640" s="156"/>
      <c r="L640" s="156"/>
      <c r="M640" s="156"/>
      <c r="N640" s="156"/>
      <c r="O640" s="156"/>
      <c r="P640" s="156"/>
      <c r="Q640" s="156"/>
      <c r="R640" s="156"/>
      <c r="S640" s="156"/>
      <c r="T640" s="156"/>
      <c r="U640" s="156"/>
      <c r="V640" s="156"/>
      <c r="W640" s="156"/>
      <c r="X640" s="156"/>
      <c r="Y640" s="119"/>
      <c r="Z640" s="119"/>
      <c r="AA640" s="119"/>
      <c r="AB640" s="119"/>
      <c r="AC640" s="119"/>
      <c r="AD640" s="119"/>
      <c r="AE640" s="119"/>
      <c r="AF640" s="119"/>
      <c r="AG640" s="119"/>
      <c r="AH640" s="119"/>
      <c r="AI640" s="119"/>
      <c r="AJ640" s="119"/>
      <c r="AK640" s="119"/>
      <c r="AL640" s="119"/>
      <c r="AM640" s="119"/>
      <c r="AN640" s="119"/>
    </row>
    <row r="641" spans="1:40" x14ac:dyDescent="0.2">
      <c r="A641" s="156"/>
      <c r="B641" s="163" t="s">
        <v>422</v>
      </c>
      <c r="C641" s="158"/>
      <c r="D641" s="141"/>
      <c r="E641" s="136" t="s">
        <v>15</v>
      </c>
      <c r="F641" s="23"/>
      <c r="G641" s="156"/>
      <c r="H641" s="151">
        <f t="shared" ref="H641" si="80">IF(H640=1,IF(H639=H$2,1,-0.33),0)</f>
        <v>0</v>
      </c>
      <c r="I641" s="156"/>
      <c r="J641" s="156"/>
      <c r="K641" s="156"/>
      <c r="L641" s="156"/>
      <c r="M641" s="156"/>
      <c r="N641" s="156"/>
      <c r="O641" s="156"/>
      <c r="P641" s="156"/>
      <c r="Q641" s="156"/>
      <c r="R641" s="156"/>
      <c r="S641" s="156"/>
      <c r="T641" s="156"/>
      <c r="U641" s="156"/>
      <c r="V641" s="156"/>
      <c r="W641" s="156"/>
      <c r="X641" s="156"/>
      <c r="Y641" s="119"/>
      <c r="Z641" s="119"/>
      <c r="AA641" s="119"/>
      <c r="AB641" s="119"/>
      <c r="AC641" s="119"/>
      <c r="AD641" s="119"/>
      <c r="AE641" s="119"/>
      <c r="AF641" s="119"/>
      <c r="AG641" s="119"/>
      <c r="AH641" s="119"/>
      <c r="AI641" s="119"/>
      <c r="AJ641" s="119"/>
      <c r="AK641" s="119"/>
      <c r="AL641" s="119"/>
      <c r="AM641" s="119"/>
      <c r="AN641" s="119"/>
    </row>
    <row r="642" spans="1:40" x14ac:dyDescent="0.2">
      <c r="A642" s="156"/>
      <c r="B642" s="163" t="s">
        <v>420</v>
      </c>
      <c r="C642" s="158"/>
      <c r="D642" s="141"/>
      <c r="E642" s="136" t="s">
        <v>16</v>
      </c>
      <c r="F642" s="127"/>
      <c r="G642" s="156"/>
      <c r="H642" s="151"/>
      <c r="I642" s="156"/>
      <c r="J642" s="156"/>
      <c r="K642" s="156"/>
      <c r="L642" s="156"/>
      <c r="M642" s="156"/>
      <c r="N642" s="156"/>
      <c r="O642" s="156"/>
      <c r="P642" s="156"/>
      <c r="Q642" s="156"/>
      <c r="R642" s="156"/>
      <c r="S642" s="156"/>
      <c r="T642" s="156"/>
      <c r="U642" s="156"/>
      <c r="V642" s="156"/>
      <c r="W642" s="156"/>
      <c r="X642" s="156"/>
      <c r="Y642" s="119"/>
      <c r="Z642" s="119"/>
      <c r="AA642" s="119"/>
      <c r="AB642" s="119"/>
      <c r="AC642" s="119"/>
      <c r="AD642" s="119"/>
      <c r="AE642" s="119"/>
      <c r="AF642" s="119"/>
      <c r="AG642" s="119"/>
      <c r="AH642" s="119"/>
      <c r="AI642" s="119"/>
      <c r="AJ642" s="119"/>
      <c r="AK642" s="119"/>
      <c r="AL642" s="119"/>
      <c r="AM642" s="119"/>
      <c r="AN642" s="119"/>
    </row>
    <row r="643" spans="1:40" x14ac:dyDescent="0.2">
      <c r="A643" s="156"/>
      <c r="B643" s="163" t="s">
        <v>421</v>
      </c>
      <c r="C643" s="158"/>
      <c r="D643" s="141"/>
      <c r="E643" s="136" t="s">
        <v>17</v>
      </c>
      <c r="F643" s="128"/>
      <c r="G643" s="156"/>
      <c r="H643" s="151"/>
      <c r="I643" s="156"/>
      <c r="J643" s="156"/>
      <c r="K643" s="156"/>
      <c r="L643" s="156"/>
      <c r="M643" s="156"/>
      <c r="N643" s="156"/>
      <c r="O643" s="156"/>
      <c r="P643" s="156"/>
      <c r="Q643" s="156"/>
      <c r="R643" s="156"/>
      <c r="S643" s="156"/>
      <c r="T643" s="156"/>
      <c r="U643" s="156"/>
      <c r="V643" s="156"/>
      <c r="W643" s="156"/>
      <c r="X643" s="156"/>
      <c r="Y643" s="119"/>
      <c r="Z643" s="119"/>
      <c r="AA643" s="119"/>
      <c r="AB643" s="119"/>
      <c r="AC643" s="119"/>
      <c r="AD643" s="119"/>
      <c r="AE643" s="119"/>
      <c r="AF643" s="119"/>
      <c r="AG643" s="119"/>
      <c r="AH643" s="119"/>
      <c r="AI643" s="119"/>
      <c r="AJ643" s="119"/>
      <c r="AK643" s="119"/>
      <c r="AL643" s="119"/>
      <c r="AM643" s="119"/>
      <c r="AN643" s="119"/>
    </row>
    <row r="644" spans="1:40" x14ac:dyDescent="0.2">
      <c r="A644" s="156"/>
      <c r="B644" s="163" t="s">
        <v>427</v>
      </c>
      <c r="C644" s="8"/>
      <c r="D644" s="141"/>
      <c r="E644" s="136" t="s">
        <v>18</v>
      </c>
      <c r="F644" s="23"/>
      <c r="G644" s="156"/>
      <c r="H644" s="157"/>
      <c r="I644" s="156"/>
      <c r="J644" s="156"/>
      <c r="K644" s="156"/>
      <c r="L644" s="156"/>
      <c r="M644" s="156"/>
      <c r="N644" s="156"/>
      <c r="O644" s="156"/>
      <c r="P644" s="156"/>
      <c r="Q644" s="156"/>
      <c r="R644" s="156"/>
      <c r="S644" s="156"/>
      <c r="T644" s="156"/>
      <c r="U644" s="156"/>
      <c r="V644" s="156"/>
      <c r="W644" s="156"/>
      <c r="X644" s="156"/>
      <c r="Y644" s="119"/>
      <c r="Z644" s="119"/>
      <c r="AA644" s="119"/>
      <c r="AB644" s="119"/>
      <c r="AC644" s="119"/>
      <c r="AD644" s="119"/>
      <c r="AE644" s="119"/>
      <c r="AF644" s="119"/>
      <c r="AG644" s="119"/>
      <c r="AH644" s="119"/>
      <c r="AI644" s="119"/>
      <c r="AJ644" s="119"/>
      <c r="AK644" s="119"/>
      <c r="AL644" s="119"/>
      <c r="AM644" s="119"/>
      <c r="AN644" s="119"/>
    </row>
    <row r="645" spans="1:40" x14ac:dyDescent="0.2">
      <c r="A645" s="156"/>
      <c r="B645" s="165" t="s">
        <v>405</v>
      </c>
      <c r="C645" s="169"/>
      <c r="D645" s="138"/>
      <c r="E645" s="139"/>
      <c r="F645" s="95"/>
      <c r="G645" s="156"/>
      <c r="H645" s="14"/>
      <c r="I645" s="156"/>
      <c r="J645" s="156"/>
      <c r="K645" s="156"/>
      <c r="L645" s="156"/>
      <c r="M645" s="156"/>
      <c r="N645" s="156"/>
      <c r="O645" s="156"/>
      <c r="P645" s="156"/>
      <c r="Q645" s="156"/>
      <c r="R645" s="156"/>
      <c r="S645" s="156"/>
      <c r="T645" s="156"/>
      <c r="U645" s="156"/>
      <c r="V645" s="156"/>
      <c r="W645" s="156"/>
      <c r="X645" s="156"/>
      <c r="Y645" s="123"/>
      <c r="Z645" s="123"/>
      <c r="AA645" s="123"/>
      <c r="AB645" s="123"/>
      <c r="AC645" s="123"/>
      <c r="AD645" s="123"/>
      <c r="AE645" s="123"/>
      <c r="AF645" s="123"/>
      <c r="AG645" s="123"/>
      <c r="AH645" s="123"/>
      <c r="AI645" s="123"/>
      <c r="AJ645" s="123"/>
      <c r="AK645" s="123"/>
      <c r="AL645" s="123"/>
      <c r="AM645" s="123"/>
      <c r="AN645" s="123"/>
    </row>
    <row r="646" spans="1:40" x14ac:dyDescent="0.2">
      <c r="A646" s="156"/>
      <c r="B646" s="162" t="s">
        <v>406</v>
      </c>
      <c r="C646" s="160"/>
      <c r="D646" s="138"/>
      <c r="E646" s="139"/>
      <c r="F646" s="95"/>
      <c r="G646" s="156"/>
      <c r="H646" s="150" t="b">
        <f>IF(D648="x",H$2,H$1)</f>
        <v>0</v>
      </c>
      <c r="I646" s="156"/>
      <c r="J646" s="156"/>
      <c r="K646" s="156"/>
      <c r="L646" s="156"/>
      <c r="M646" s="156"/>
      <c r="N646" s="156"/>
      <c r="O646" s="156"/>
      <c r="P646" s="156"/>
      <c r="Q646" s="156"/>
      <c r="R646" s="156"/>
      <c r="S646" s="156"/>
      <c r="T646" s="156"/>
      <c r="U646" s="156"/>
      <c r="V646" s="156"/>
      <c r="W646" s="156"/>
      <c r="X646" s="156"/>
      <c r="Y646" s="119"/>
      <c r="Z646" s="119"/>
      <c r="AA646" s="119"/>
      <c r="AB646" s="119"/>
      <c r="AC646" s="119"/>
      <c r="AD646" s="119"/>
      <c r="AE646" s="119"/>
      <c r="AF646" s="119"/>
      <c r="AG646" s="119"/>
      <c r="AH646" s="119"/>
      <c r="AI646" s="119"/>
      <c r="AJ646" s="119"/>
      <c r="AK646" s="119"/>
      <c r="AL646" s="119"/>
      <c r="AM646" s="119"/>
      <c r="AN646" s="119"/>
    </row>
    <row r="647" spans="1:40" x14ac:dyDescent="0.2">
      <c r="A647" s="156"/>
      <c r="B647" s="162" t="s">
        <v>407</v>
      </c>
      <c r="C647" s="160"/>
      <c r="D647" s="138"/>
      <c r="E647" s="139"/>
      <c r="F647" s="95"/>
      <c r="G647" s="156"/>
      <c r="H647" s="150" t="str">
        <f>IF(E$652="comprobar",COUNTIF(D648:D651,"x"),"")</f>
        <v/>
      </c>
      <c r="I647" s="156"/>
      <c r="J647" s="156"/>
      <c r="K647" s="156"/>
      <c r="L647" s="156"/>
      <c r="M647" s="156"/>
      <c r="N647" s="156"/>
      <c r="O647" s="156"/>
      <c r="P647" s="156"/>
      <c r="Q647" s="156"/>
      <c r="R647" s="156"/>
      <c r="S647" s="156"/>
      <c r="T647" s="156"/>
      <c r="U647" s="156"/>
      <c r="V647" s="156"/>
      <c r="W647" s="156"/>
      <c r="X647" s="156"/>
      <c r="Y647" s="119"/>
      <c r="Z647" s="119"/>
      <c r="AA647" s="119"/>
      <c r="AB647" s="119"/>
      <c r="AC647" s="119"/>
      <c r="AD647" s="119"/>
      <c r="AE647" s="119"/>
      <c r="AF647" s="119"/>
      <c r="AG647" s="119"/>
      <c r="AH647" s="119"/>
      <c r="AI647" s="119"/>
      <c r="AJ647" s="119"/>
      <c r="AK647" s="119"/>
      <c r="AL647" s="119"/>
      <c r="AM647" s="119"/>
      <c r="AN647" s="119"/>
    </row>
    <row r="648" spans="1:40" x14ac:dyDescent="0.2">
      <c r="A648" s="156"/>
      <c r="B648" s="163" t="s">
        <v>427</v>
      </c>
      <c r="C648" s="159"/>
      <c r="D648" s="148"/>
      <c r="E648" s="147" t="s">
        <v>15</v>
      </c>
      <c r="F648" s="24"/>
      <c r="G648" s="156"/>
      <c r="H648" s="151">
        <f t="shared" ref="H648" si="81">IF(H647=1,IF(H646=H$2,1,-0.33),0)</f>
        <v>0</v>
      </c>
      <c r="I648" s="156"/>
      <c r="J648" s="156"/>
      <c r="K648" s="156"/>
      <c r="L648" s="156"/>
      <c r="M648" s="156"/>
      <c r="N648" s="156"/>
      <c r="O648" s="156"/>
      <c r="P648" s="156"/>
      <c r="Q648" s="156"/>
      <c r="R648" s="156"/>
      <c r="S648" s="156"/>
      <c r="T648" s="156"/>
      <c r="U648" s="156"/>
      <c r="V648" s="156"/>
      <c r="W648" s="156"/>
      <c r="X648" s="156"/>
      <c r="Y648" s="119"/>
      <c r="Z648" s="119"/>
      <c r="AA648" s="119"/>
      <c r="AB648" s="119"/>
      <c r="AC648" s="119"/>
      <c r="AD648" s="119"/>
      <c r="AE648" s="119"/>
      <c r="AF648" s="119"/>
      <c r="AG648" s="119"/>
      <c r="AH648" s="119"/>
      <c r="AI648" s="119"/>
      <c r="AJ648" s="119"/>
      <c r="AK648" s="119"/>
      <c r="AL648" s="119"/>
      <c r="AM648" s="119"/>
      <c r="AN648" s="119"/>
    </row>
    <row r="649" spans="1:40" x14ac:dyDescent="0.2">
      <c r="A649" s="156"/>
      <c r="B649" s="163" t="s">
        <v>421</v>
      </c>
      <c r="C649" s="159"/>
      <c r="D649" s="141"/>
      <c r="E649" s="136" t="s">
        <v>16</v>
      </c>
      <c r="F649" s="23"/>
      <c r="G649" s="156"/>
      <c r="H649" s="151"/>
      <c r="I649" s="156"/>
      <c r="J649" s="156"/>
      <c r="K649" s="156"/>
      <c r="L649" s="156"/>
      <c r="M649" s="156"/>
      <c r="N649" s="156"/>
      <c r="O649" s="156"/>
      <c r="P649" s="156"/>
      <c r="Q649" s="156"/>
      <c r="R649" s="156"/>
      <c r="S649" s="156"/>
      <c r="T649" s="156"/>
      <c r="U649" s="156"/>
      <c r="V649" s="156"/>
      <c r="W649" s="156"/>
      <c r="X649" s="156"/>
      <c r="Y649" s="119"/>
      <c r="Z649" s="119"/>
      <c r="AA649" s="119"/>
      <c r="AB649" s="119"/>
      <c r="AC649" s="119"/>
      <c r="AD649" s="119"/>
      <c r="AE649" s="119"/>
      <c r="AF649" s="119"/>
      <c r="AG649" s="119"/>
      <c r="AH649" s="119"/>
      <c r="AI649" s="119"/>
      <c r="AJ649" s="119"/>
      <c r="AK649" s="119"/>
      <c r="AL649" s="119"/>
      <c r="AM649" s="119"/>
      <c r="AN649" s="119"/>
    </row>
    <row r="650" spans="1:40" x14ac:dyDescent="0.2">
      <c r="A650" s="156"/>
      <c r="B650" s="163" t="s">
        <v>422</v>
      </c>
      <c r="C650" s="8"/>
      <c r="D650" s="141"/>
      <c r="E650" s="136" t="s">
        <v>17</v>
      </c>
      <c r="F650" s="127"/>
      <c r="G650" s="156"/>
      <c r="H650" s="151"/>
      <c r="I650" s="156"/>
      <c r="J650" s="156"/>
      <c r="K650" s="156"/>
      <c r="L650" s="156"/>
      <c r="M650" s="156"/>
      <c r="N650" s="156"/>
      <c r="O650" s="156"/>
      <c r="P650" s="156"/>
      <c r="Q650" s="156"/>
      <c r="R650" s="156"/>
      <c r="S650" s="156"/>
      <c r="T650" s="156"/>
      <c r="U650" s="156"/>
      <c r="V650" s="156"/>
      <c r="W650" s="156"/>
      <c r="X650" s="156"/>
      <c r="Y650" s="119"/>
      <c r="Z650" s="119"/>
      <c r="AA650" s="119"/>
      <c r="AB650" s="119"/>
      <c r="AC650" s="119"/>
      <c r="AD650" s="119"/>
      <c r="AE650" s="119"/>
      <c r="AF650" s="119"/>
      <c r="AG650" s="119"/>
      <c r="AH650" s="119"/>
      <c r="AI650" s="119"/>
      <c r="AJ650" s="119"/>
      <c r="AK650" s="119"/>
      <c r="AL650" s="119"/>
      <c r="AM650" s="119"/>
      <c r="AN650" s="119"/>
    </row>
    <row r="651" spans="1:40" x14ac:dyDescent="0.2">
      <c r="A651" s="156"/>
      <c r="B651" s="163" t="s">
        <v>428</v>
      </c>
      <c r="C651" s="164"/>
      <c r="D651" s="141"/>
      <c r="E651" s="136" t="s">
        <v>18</v>
      </c>
      <c r="F651" s="128"/>
      <c r="G651" s="156"/>
      <c r="H651" s="157"/>
      <c r="I651" s="156"/>
      <c r="J651" s="156"/>
      <c r="K651" s="156"/>
      <c r="L651" s="156"/>
      <c r="M651" s="156"/>
      <c r="N651" s="156"/>
      <c r="O651" s="156"/>
      <c r="P651" s="156"/>
      <c r="Q651" s="156"/>
      <c r="R651" s="156"/>
      <c r="S651" s="156"/>
      <c r="T651" s="156"/>
      <c r="U651" s="156"/>
      <c r="V651" s="156"/>
      <c r="W651" s="156"/>
      <c r="X651" s="156"/>
      <c r="Y651" s="119"/>
      <c r="Z651" s="119"/>
      <c r="AA651" s="119"/>
      <c r="AB651" s="119"/>
      <c r="AC651" s="119"/>
      <c r="AD651" s="119"/>
      <c r="AE651" s="119"/>
      <c r="AF651" s="119"/>
      <c r="AG651" s="119"/>
      <c r="AH651" s="119"/>
      <c r="AI651" s="119"/>
      <c r="AJ651" s="119"/>
      <c r="AK651" s="119"/>
      <c r="AL651" s="119"/>
      <c r="AM651" s="119"/>
      <c r="AN651" s="119"/>
    </row>
    <row r="652" spans="1:40" x14ac:dyDescent="0.2">
      <c r="A652" s="156"/>
      <c r="B652" s="170"/>
      <c r="C652" s="171"/>
      <c r="D652" s="146"/>
      <c r="E652" s="175"/>
      <c r="F652" s="24"/>
      <c r="G652" s="156"/>
      <c r="H652" s="157"/>
      <c r="I652" s="156"/>
      <c r="J652" s="156"/>
      <c r="K652" s="156"/>
      <c r="L652" s="156"/>
      <c r="M652" s="156"/>
      <c r="N652" s="156"/>
      <c r="O652" s="156"/>
      <c r="P652" s="156"/>
      <c r="Q652" s="156"/>
      <c r="R652" s="156"/>
      <c r="S652" s="156"/>
      <c r="T652" s="156"/>
      <c r="U652" s="156"/>
      <c r="V652" s="156"/>
      <c r="W652" s="156"/>
      <c r="X652" s="156"/>
      <c r="Y652" s="119"/>
      <c r="Z652" s="119"/>
      <c r="AA652" s="119"/>
      <c r="AB652" s="119"/>
      <c r="AC652" s="119"/>
      <c r="AD652" s="119"/>
      <c r="AE652" s="119"/>
      <c r="AF652" s="119"/>
      <c r="AG652" s="119"/>
      <c r="AH652" s="119"/>
      <c r="AI652" s="119"/>
      <c r="AJ652" s="119"/>
      <c r="AK652" s="119"/>
      <c r="AL652" s="119"/>
      <c r="AM652" s="119"/>
      <c r="AN652" s="119"/>
    </row>
    <row r="653" spans="1:40" x14ac:dyDescent="0.2">
      <c r="A653" s="156"/>
      <c r="B653" s="170"/>
      <c r="C653" s="171"/>
      <c r="D653" s="146"/>
      <c r="E653" s="146"/>
      <c r="F653" s="24"/>
      <c r="G653" s="156"/>
      <c r="H653" s="157"/>
      <c r="I653" s="156"/>
      <c r="J653" s="156"/>
      <c r="K653" s="156"/>
      <c r="L653" s="156"/>
      <c r="M653" s="156"/>
      <c r="N653" s="156"/>
      <c r="O653" s="156"/>
      <c r="P653" s="156"/>
      <c r="Q653" s="156"/>
      <c r="R653" s="156"/>
      <c r="S653" s="156"/>
      <c r="T653" s="156"/>
      <c r="U653" s="156"/>
      <c r="V653" s="156"/>
      <c r="W653" s="156"/>
      <c r="X653" s="156"/>
      <c r="Y653" s="119"/>
      <c r="Z653" s="119"/>
      <c r="AA653" s="119"/>
      <c r="AB653" s="119"/>
      <c r="AC653" s="119"/>
      <c r="AD653" s="119"/>
      <c r="AE653" s="119"/>
      <c r="AF653" s="119"/>
      <c r="AG653" s="119"/>
      <c r="AH653" s="119"/>
      <c r="AI653" s="119"/>
      <c r="AJ653" s="119"/>
      <c r="AK653" s="119"/>
      <c r="AL653" s="119"/>
      <c r="AM653" s="119"/>
      <c r="AN653" s="119"/>
    </row>
    <row r="654" spans="1:40" x14ac:dyDescent="0.2">
      <c r="A654" s="156"/>
      <c r="B654" s="130"/>
      <c r="C654" s="22"/>
      <c r="D654" s="135"/>
      <c r="E654" s="172" t="s">
        <v>20</v>
      </c>
      <c r="F654" s="23"/>
      <c r="G654" s="156"/>
      <c r="H654" s="157"/>
      <c r="I654" s="156"/>
      <c r="J654" s="156"/>
      <c r="K654" s="156"/>
      <c r="L654" s="156"/>
      <c r="M654" s="156"/>
      <c r="N654" s="156"/>
      <c r="O654" s="156"/>
      <c r="P654" s="156"/>
      <c r="Q654" s="156"/>
      <c r="R654" s="156"/>
      <c r="S654" s="156"/>
      <c r="T654" s="156"/>
      <c r="U654" s="156"/>
      <c r="V654" s="156"/>
      <c r="W654" s="156"/>
      <c r="X654" s="156"/>
      <c r="Y654" s="119"/>
      <c r="Z654" s="119"/>
      <c r="AA654" s="119"/>
      <c r="AB654" s="119"/>
      <c r="AC654" s="119"/>
      <c r="AD654" s="119"/>
      <c r="AE654" s="119"/>
      <c r="AF654" s="119"/>
      <c r="AG654" s="119"/>
      <c r="AH654" s="119"/>
      <c r="AI654" s="119"/>
      <c r="AJ654" s="119"/>
      <c r="AK654" s="119"/>
      <c r="AL654" s="119"/>
      <c r="AM654" s="119"/>
      <c r="AN654" s="119"/>
    </row>
    <row r="655" spans="1:40" x14ac:dyDescent="0.2">
      <c r="A655" s="156"/>
      <c r="B655" s="130"/>
      <c r="C655" s="22"/>
      <c r="D655" s="135"/>
      <c r="E655" s="172"/>
      <c r="F655" s="131" t="s">
        <v>8</v>
      </c>
      <c r="G655" s="156" t="s">
        <v>6</v>
      </c>
      <c r="H655" s="156" t="s">
        <v>7</v>
      </c>
      <c r="I655" s="156"/>
      <c r="J655" s="156"/>
      <c r="K655" s="156"/>
      <c r="L655" s="156"/>
      <c r="M655" s="156"/>
      <c r="N655" s="156"/>
      <c r="O655" s="156"/>
      <c r="P655" s="156"/>
      <c r="Q655" s="156"/>
      <c r="R655" s="156"/>
      <c r="S655" s="156"/>
      <c r="T655" s="156"/>
      <c r="U655" s="156"/>
      <c r="V655" s="156"/>
      <c r="W655" s="156"/>
      <c r="X655" s="156"/>
      <c r="Y655" s="119"/>
      <c r="Z655" s="119"/>
      <c r="AA655" s="119"/>
      <c r="AB655" s="119"/>
      <c r="AC655" s="119"/>
      <c r="AD655" s="119"/>
      <c r="AE655" s="119"/>
      <c r="AF655" s="119"/>
      <c r="AG655" s="119"/>
      <c r="AH655" s="119"/>
      <c r="AI655" s="119"/>
      <c r="AJ655" s="119"/>
      <c r="AK655" s="119"/>
      <c r="AL655" s="119"/>
      <c r="AM655" s="119"/>
      <c r="AN655" s="119"/>
    </row>
    <row r="656" spans="1:40" ht="20" x14ac:dyDescent="0.2">
      <c r="B656" s="41"/>
      <c r="C656" s="8"/>
      <c r="D656" s="200"/>
      <c r="E656" s="200"/>
      <c r="F656" s="132" t="str">
        <f>IF(E652="comprobar",H648+H641+H636+H630+H623+H618+H612+H606+H600+H594,"")</f>
        <v/>
      </c>
      <c r="G656" s="173">
        <f>10/2</f>
        <v>5</v>
      </c>
      <c r="H656" s="156"/>
    </row>
    <row r="657" spans="2:8" ht="17" thickBot="1" x14ac:dyDescent="0.25">
      <c r="B657" s="72"/>
      <c r="C657" s="73"/>
      <c r="D657" s="133"/>
      <c r="E657" s="133"/>
      <c r="F657" s="134" t="str">
        <f>IF(F656&gt;G656,G655,H655)</f>
        <v>APROBADO</v>
      </c>
      <c r="G657" s="156"/>
      <c r="H657" s="156"/>
    </row>
  </sheetData>
  <sheetProtection password="CC41" sheet="1" objects="1" scenarios="1" selectLockedCells="1"/>
  <mergeCells count="45">
    <mergeCell ref="D69:E69"/>
    <mergeCell ref="C6:F6"/>
    <mergeCell ref="C71:F71"/>
    <mergeCell ref="D656:E656"/>
    <mergeCell ref="B616:C616"/>
    <mergeCell ref="B617:C617"/>
    <mergeCell ref="B618:C618"/>
    <mergeCell ref="B619:C619"/>
    <mergeCell ref="B592:C592"/>
    <mergeCell ref="B593:C593"/>
    <mergeCell ref="B594:C594"/>
    <mergeCell ref="B595:C595"/>
    <mergeCell ref="B137:C137"/>
    <mergeCell ref="B202:C202"/>
    <mergeCell ref="B268:C268"/>
    <mergeCell ref="B269:C269"/>
    <mergeCell ref="B270:C270"/>
    <mergeCell ref="B336:C336"/>
    <mergeCell ref="B342:C342"/>
    <mergeCell ref="B348:C348"/>
    <mergeCell ref="B354:C354"/>
    <mergeCell ref="D512:E512"/>
    <mergeCell ref="B360:C360"/>
    <mergeCell ref="B366:C366"/>
    <mergeCell ref="B372:C372"/>
    <mergeCell ref="B378:C378"/>
    <mergeCell ref="B384:C384"/>
    <mergeCell ref="B390:C390"/>
    <mergeCell ref="B401:C401"/>
    <mergeCell ref="B407:C407"/>
    <mergeCell ref="B413:C413"/>
    <mergeCell ref="B419:C419"/>
    <mergeCell ref="B533:C533"/>
    <mergeCell ref="B581:C581"/>
    <mergeCell ref="B582:C582"/>
    <mergeCell ref="B583:C583"/>
    <mergeCell ref="B584:C584"/>
    <mergeCell ref="B551:C551"/>
    <mergeCell ref="B557:C557"/>
    <mergeCell ref="B552:C552"/>
    <mergeCell ref="B553:C553"/>
    <mergeCell ref="B554:C554"/>
    <mergeCell ref="B558:C558"/>
    <mergeCell ref="B559:C559"/>
    <mergeCell ref="B560:C560"/>
  </mergeCells>
  <phoneticPr fontId="8" type="noConversion"/>
  <printOptions horizontalCentered="1" verticalCentered="1"/>
  <pageMargins left="0" right="0" top="0" bottom="0" header="0" footer="0"/>
  <pageSetup paperSize="9" scale="72" fitToHeight="2" orientation="portrait" horizontalDpi="4294967293" verticalDpi="1200" r:id="rId1"/>
  <headerFooter>
    <oddHeader>&amp;C&amp;"Calibri,Normal"&amp;K000000=A1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autoFill="0" autoPict="0" macro="[0]!tema1" altText="Borrar">
                <anchor moveWithCells="1" sizeWithCells="1">
                  <from>
                    <xdr:col>2</xdr:col>
                    <xdr:colOff>9309100</xdr:colOff>
                    <xdr:row>67</xdr:row>
                    <xdr:rowOff>152400</xdr:rowOff>
                  </from>
                  <to>
                    <xdr:col>2</xdr:col>
                    <xdr:colOff>9918700</xdr:colOff>
                    <xdr:row>68</xdr:row>
                    <xdr:rowOff>228600</xdr:rowOff>
                  </to>
                </anchor>
              </controlPr>
            </control>
          </mc:Choice>
          <mc:Fallback/>
        </mc:AlternateContent>
        <mc:AlternateContent xmlns:mc="http://schemas.openxmlformats.org/markup-compatibility/2006">
          <mc:Choice Requires="x14">
            <control shapeId="1031" r:id="rId5" name="Button 7">
              <controlPr defaultSize="0" autoFill="0" autoPict="0" macro="[0]!tema2" altText="Borrar">
                <anchor moveWithCells="1" sizeWithCells="1">
                  <from>
                    <xdr:col>2</xdr:col>
                    <xdr:colOff>9271000</xdr:colOff>
                    <xdr:row>133</xdr:row>
                    <xdr:rowOff>25400</xdr:rowOff>
                  </from>
                  <to>
                    <xdr:col>2</xdr:col>
                    <xdr:colOff>9855200</xdr:colOff>
                    <xdr:row>134</xdr:row>
                    <xdr:rowOff>101600</xdr:rowOff>
                  </to>
                </anchor>
              </controlPr>
            </control>
          </mc:Choice>
          <mc:Fallback/>
        </mc:AlternateContent>
        <mc:AlternateContent xmlns:mc="http://schemas.openxmlformats.org/markup-compatibility/2006">
          <mc:Choice Requires="x14">
            <control shapeId="1032" r:id="rId6" name="Button 8">
              <controlPr defaultSize="0" autoFill="0" autoPict="0" macro="[0]!tema3" altText="Borrar">
                <anchor moveWithCells="1" sizeWithCells="1">
                  <from>
                    <xdr:col>2</xdr:col>
                    <xdr:colOff>9194800</xdr:colOff>
                    <xdr:row>198</xdr:row>
                    <xdr:rowOff>12700</xdr:rowOff>
                  </from>
                  <to>
                    <xdr:col>2</xdr:col>
                    <xdr:colOff>9766300</xdr:colOff>
                    <xdr:row>199</xdr:row>
                    <xdr:rowOff>38100</xdr:rowOff>
                  </to>
                </anchor>
              </controlPr>
            </control>
          </mc:Choice>
          <mc:Fallback/>
        </mc:AlternateContent>
        <mc:AlternateContent xmlns:mc="http://schemas.openxmlformats.org/markup-compatibility/2006">
          <mc:Choice Requires="x14">
            <control shapeId="1034" r:id="rId7" name="Button 10">
              <controlPr defaultSize="0" autoFill="0" autoPict="0" macro="[0]!tema4" altText="Borrar">
                <anchor moveWithCells="1" sizeWithCells="1">
                  <from>
                    <xdr:col>2</xdr:col>
                    <xdr:colOff>9232900</xdr:colOff>
                    <xdr:row>262</xdr:row>
                    <xdr:rowOff>190500</xdr:rowOff>
                  </from>
                  <to>
                    <xdr:col>2</xdr:col>
                    <xdr:colOff>9804400</xdr:colOff>
                    <xdr:row>264</xdr:row>
                    <xdr:rowOff>76200</xdr:rowOff>
                  </to>
                </anchor>
              </controlPr>
            </control>
          </mc:Choice>
          <mc:Fallback/>
        </mc:AlternateContent>
        <mc:AlternateContent xmlns:mc="http://schemas.openxmlformats.org/markup-compatibility/2006">
          <mc:Choice Requires="x14">
            <control shapeId="1035" r:id="rId8" name="Button 11">
              <controlPr defaultSize="0" autoFill="0" autoPict="0" macro="[0]!tema5" altText="Borrar">
                <anchor moveWithCells="1" sizeWithCells="1">
                  <from>
                    <xdr:col>2</xdr:col>
                    <xdr:colOff>9410700</xdr:colOff>
                    <xdr:row>329</xdr:row>
                    <xdr:rowOff>50800</xdr:rowOff>
                  </from>
                  <to>
                    <xdr:col>2</xdr:col>
                    <xdr:colOff>9994900</xdr:colOff>
                    <xdr:row>330</xdr:row>
                    <xdr:rowOff>228600</xdr:rowOff>
                  </to>
                </anchor>
              </controlPr>
            </control>
          </mc:Choice>
          <mc:Fallback/>
        </mc:AlternateContent>
        <mc:AlternateContent xmlns:mc="http://schemas.openxmlformats.org/markup-compatibility/2006">
          <mc:Choice Requires="x14">
            <control shapeId="1036" r:id="rId9" name="Button 12">
              <controlPr defaultSize="0" autoFill="0" autoPict="0" macro="[0]!tema6" altText="Borrar">
                <anchor moveWithCells="1" sizeWithCells="1">
                  <from>
                    <xdr:col>2</xdr:col>
                    <xdr:colOff>9232900</xdr:colOff>
                    <xdr:row>397</xdr:row>
                    <xdr:rowOff>0</xdr:rowOff>
                  </from>
                  <to>
                    <xdr:col>2</xdr:col>
                    <xdr:colOff>9817100</xdr:colOff>
                    <xdr:row>398</xdr:row>
                    <xdr:rowOff>0</xdr:rowOff>
                  </to>
                </anchor>
              </controlPr>
            </control>
          </mc:Choice>
          <mc:Fallback/>
        </mc:AlternateContent>
        <mc:AlternateContent xmlns:mc="http://schemas.openxmlformats.org/markup-compatibility/2006">
          <mc:Choice Requires="x14">
            <control shapeId="1037" r:id="rId10" name="Button 13">
              <controlPr defaultSize="0" autoFill="0" autoPict="0" macro="[0]!tema7" altText="Borrar">
                <anchor moveWithCells="1" sizeWithCells="1">
                  <from>
                    <xdr:col>2</xdr:col>
                    <xdr:colOff>9169400</xdr:colOff>
                    <xdr:row>433</xdr:row>
                    <xdr:rowOff>190500</xdr:rowOff>
                  </from>
                  <to>
                    <xdr:col>2</xdr:col>
                    <xdr:colOff>9791700</xdr:colOff>
                    <xdr:row>434</xdr:row>
                    <xdr:rowOff>241300</xdr:rowOff>
                  </to>
                </anchor>
              </controlPr>
            </control>
          </mc:Choice>
          <mc:Fallback/>
        </mc:AlternateContent>
        <mc:AlternateContent xmlns:mc="http://schemas.openxmlformats.org/markup-compatibility/2006">
          <mc:Choice Requires="x14">
            <control shapeId="1038" r:id="rId11" name="Button 14">
              <controlPr defaultSize="0" autoFill="0" autoPict="0" macro="[0]!compro7">
                <anchor moveWithCells="1" sizeWithCells="1">
                  <from>
                    <xdr:col>2</xdr:col>
                    <xdr:colOff>7785100</xdr:colOff>
                    <xdr:row>433</xdr:row>
                    <xdr:rowOff>203200</xdr:rowOff>
                  </from>
                  <to>
                    <xdr:col>2</xdr:col>
                    <xdr:colOff>9093200</xdr:colOff>
                    <xdr:row>434</xdr:row>
                    <xdr:rowOff>241300</xdr:rowOff>
                  </to>
                </anchor>
              </controlPr>
            </control>
          </mc:Choice>
          <mc:Fallback/>
        </mc:AlternateContent>
        <mc:AlternateContent xmlns:mc="http://schemas.openxmlformats.org/markup-compatibility/2006">
          <mc:Choice Requires="x14">
            <control shapeId="1039" r:id="rId12" name="Button 15">
              <controlPr defaultSize="0" autoFill="0" autoPict="0" macro="[0]!Compro6">
                <anchor moveWithCells="1" sizeWithCells="1">
                  <from>
                    <xdr:col>2</xdr:col>
                    <xdr:colOff>7785100</xdr:colOff>
                    <xdr:row>397</xdr:row>
                    <xdr:rowOff>12700</xdr:rowOff>
                  </from>
                  <to>
                    <xdr:col>2</xdr:col>
                    <xdr:colOff>9093200</xdr:colOff>
                    <xdr:row>398</xdr:row>
                    <xdr:rowOff>0</xdr:rowOff>
                  </to>
                </anchor>
              </controlPr>
            </control>
          </mc:Choice>
          <mc:Fallback/>
        </mc:AlternateContent>
        <mc:AlternateContent xmlns:mc="http://schemas.openxmlformats.org/markup-compatibility/2006">
          <mc:Choice Requires="x14">
            <control shapeId="1040" r:id="rId13" name="Button 16">
              <controlPr defaultSize="0" autoFill="0" autoPict="0" macro="[0]!Compro5">
                <anchor moveWithCells="1" sizeWithCells="1">
                  <from>
                    <xdr:col>2</xdr:col>
                    <xdr:colOff>7988300</xdr:colOff>
                    <xdr:row>329</xdr:row>
                    <xdr:rowOff>63500</xdr:rowOff>
                  </from>
                  <to>
                    <xdr:col>2</xdr:col>
                    <xdr:colOff>9296400</xdr:colOff>
                    <xdr:row>330</xdr:row>
                    <xdr:rowOff>215900</xdr:rowOff>
                  </to>
                </anchor>
              </controlPr>
            </control>
          </mc:Choice>
          <mc:Fallback/>
        </mc:AlternateContent>
        <mc:AlternateContent xmlns:mc="http://schemas.openxmlformats.org/markup-compatibility/2006">
          <mc:Choice Requires="x14">
            <control shapeId="1041" r:id="rId14" name="Button 17">
              <controlPr defaultSize="0" autoFill="0" autoPict="0" macro="[0]!Compro4">
                <anchor moveWithCells="1" sizeWithCells="1">
                  <from>
                    <xdr:col>2</xdr:col>
                    <xdr:colOff>7785100</xdr:colOff>
                    <xdr:row>262</xdr:row>
                    <xdr:rowOff>190500</xdr:rowOff>
                  </from>
                  <to>
                    <xdr:col>2</xdr:col>
                    <xdr:colOff>9093200</xdr:colOff>
                    <xdr:row>264</xdr:row>
                    <xdr:rowOff>38100</xdr:rowOff>
                  </to>
                </anchor>
              </controlPr>
            </control>
          </mc:Choice>
          <mc:Fallback/>
        </mc:AlternateContent>
        <mc:AlternateContent xmlns:mc="http://schemas.openxmlformats.org/markup-compatibility/2006">
          <mc:Choice Requires="x14">
            <control shapeId="1042" r:id="rId15" name="Button 18">
              <controlPr defaultSize="0" autoFill="0" autoPict="0" macro="[0]!Compro3">
                <anchor moveWithCells="1" sizeWithCells="1">
                  <from>
                    <xdr:col>2</xdr:col>
                    <xdr:colOff>7785100</xdr:colOff>
                    <xdr:row>198</xdr:row>
                    <xdr:rowOff>25400</xdr:rowOff>
                  </from>
                  <to>
                    <xdr:col>2</xdr:col>
                    <xdr:colOff>9093200</xdr:colOff>
                    <xdr:row>198</xdr:row>
                    <xdr:rowOff>254000</xdr:rowOff>
                  </to>
                </anchor>
              </controlPr>
            </control>
          </mc:Choice>
          <mc:Fallback/>
        </mc:AlternateContent>
        <mc:AlternateContent xmlns:mc="http://schemas.openxmlformats.org/markup-compatibility/2006">
          <mc:Choice Requires="x14">
            <control shapeId="1043" r:id="rId16" name="Button 19">
              <controlPr defaultSize="0" autoFill="0" autoPict="0" macro="[0]!Compro2">
                <anchor moveWithCells="1" sizeWithCells="1">
                  <from>
                    <xdr:col>2</xdr:col>
                    <xdr:colOff>7785100</xdr:colOff>
                    <xdr:row>133</xdr:row>
                    <xdr:rowOff>38100</xdr:rowOff>
                  </from>
                  <to>
                    <xdr:col>2</xdr:col>
                    <xdr:colOff>9093200</xdr:colOff>
                    <xdr:row>134</xdr:row>
                    <xdr:rowOff>63500</xdr:rowOff>
                  </to>
                </anchor>
              </controlPr>
            </control>
          </mc:Choice>
          <mc:Fallback/>
        </mc:AlternateContent>
        <mc:AlternateContent xmlns:mc="http://schemas.openxmlformats.org/markup-compatibility/2006">
          <mc:Choice Requires="x14">
            <control shapeId="1044" r:id="rId17" name="Button 20">
              <controlPr defaultSize="0" autoFill="0" autoPict="0" macro="[0]!Compro1">
                <anchor moveWithCells="1" sizeWithCells="1">
                  <from>
                    <xdr:col>2</xdr:col>
                    <xdr:colOff>7785100</xdr:colOff>
                    <xdr:row>67</xdr:row>
                    <xdr:rowOff>177800</xdr:rowOff>
                  </from>
                  <to>
                    <xdr:col>2</xdr:col>
                    <xdr:colOff>9093200</xdr:colOff>
                    <xdr:row>68</xdr:row>
                    <xdr:rowOff>190500</xdr:rowOff>
                  </to>
                </anchor>
              </controlPr>
            </control>
          </mc:Choice>
          <mc:Fallback/>
        </mc:AlternateContent>
        <mc:AlternateContent xmlns:mc="http://schemas.openxmlformats.org/markup-compatibility/2006">
          <mc:Choice Requires="x14">
            <control shapeId="1158" r:id="rId18" name="Button 134">
              <controlPr defaultSize="0" autoFill="0" autoPict="0" macro="[0]!PEC2_BORRAR" altText="Borrar">
                <anchor moveWithCells="1" sizeWithCells="1">
                  <from>
                    <xdr:col>2</xdr:col>
                    <xdr:colOff>9309100</xdr:colOff>
                    <xdr:row>587</xdr:row>
                    <xdr:rowOff>0</xdr:rowOff>
                  </from>
                  <to>
                    <xdr:col>2</xdr:col>
                    <xdr:colOff>9893300</xdr:colOff>
                    <xdr:row>587</xdr:row>
                    <xdr:rowOff>203200</xdr:rowOff>
                  </to>
                </anchor>
              </controlPr>
            </control>
          </mc:Choice>
          <mc:Fallback/>
        </mc:AlternateContent>
        <mc:AlternateContent xmlns:mc="http://schemas.openxmlformats.org/markup-compatibility/2006">
          <mc:Choice Requires="x14">
            <control shapeId="1159" r:id="rId19" name="Button 135">
              <controlPr defaultSize="0" autoFill="0" autoPict="0" macro="[0]!PEC2_COMPRO">
                <anchor moveWithCells="1" sizeWithCells="1">
                  <from>
                    <xdr:col>2</xdr:col>
                    <xdr:colOff>7899400</xdr:colOff>
                    <xdr:row>587</xdr:row>
                    <xdr:rowOff>0</xdr:rowOff>
                  </from>
                  <to>
                    <xdr:col>2</xdr:col>
                    <xdr:colOff>9207500</xdr:colOff>
                    <xdr:row>587</xdr:row>
                    <xdr:rowOff>190500</xdr:rowOff>
                  </to>
                </anchor>
              </controlPr>
            </control>
          </mc:Choice>
          <mc:Fallback/>
        </mc:AlternateContent>
        <mc:AlternateContent xmlns:mc="http://schemas.openxmlformats.org/markup-compatibility/2006">
          <mc:Choice Requires="x14">
            <control shapeId="1155" r:id="rId20" name="Button 131">
              <controlPr defaultSize="0" autoFill="0" autoPict="0" macro="[0]!PEC1_BORRAR" altText="Borrar">
                <anchor moveWithCells="1" sizeWithCells="1">
                  <from>
                    <xdr:col>2</xdr:col>
                    <xdr:colOff>9956800</xdr:colOff>
                    <xdr:row>510</xdr:row>
                    <xdr:rowOff>76200</xdr:rowOff>
                  </from>
                  <to>
                    <xdr:col>2</xdr:col>
                    <xdr:colOff>10566400</xdr:colOff>
                    <xdr:row>511</xdr:row>
                    <xdr:rowOff>63500</xdr:rowOff>
                  </to>
                </anchor>
              </controlPr>
            </control>
          </mc:Choice>
          <mc:Fallback/>
        </mc:AlternateContent>
        <mc:AlternateContent xmlns:mc="http://schemas.openxmlformats.org/markup-compatibility/2006">
          <mc:Choice Requires="x14">
            <control shapeId="1165" r:id="rId21" name="Button 141">
              <controlPr defaultSize="0" autoFill="0" autoPict="0" macro="[0]!PEC1_COMPRO">
                <anchor moveWithCells="1" sizeWithCells="1">
                  <from>
                    <xdr:col>2</xdr:col>
                    <xdr:colOff>8890000</xdr:colOff>
                    <xdr:row>510</xdr:row>
                    <xdr:rowOff>76200</xdr:rowOff>
                  </from>
                  <to>
                    <xdr:col>2</xdr:col>
                    <xdr:colOff>9804400</xdr:colOff>
                    <xdr:row>511</xdr:row>
                    <xdr:rowOff>139700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FH</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Usuario de Microsoft Office</cp:lastModifiedBy>
  <cp:revision/>
  <dcterms:created xsi:type="dcterms:W3CDTF">2016-11-17T08:46:58Z</dcterms:created>
  <dcterms:modified xsi:type="dcterms:W3CDTF">2017-05-31T09:21:15Z</dcterms:modified>
  <cp:category/>
  <cp:contentStatus/>
</cp:coreProperties>
</file>