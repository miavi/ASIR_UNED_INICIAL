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Datos/diegofdez/OneDrive - UNED/ASIR/Modulos/Fundamentos del Hardware/PEC/"/>
    </mc:Choice>
  </mc:AlternateContent>
  <bookViews>
    <workbookView xWindow="0" yWindow="0" windowWidth="25600" windowHeight="16000" tabRatio="500"/>
  </bookViews>
  <sheets>
    <sheet name="FH" sheetId="6" r:id="rId1"/>
  </sheets>
  <definedNames>
    <definedName name="_xlnm.Print_Area" localSheetId="0">FH!$B$1:$H$70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85" i="6" l="1"/>
  <c r="H1667" i="6"/>
  <c r="H1631" i="6"/>
  <c r="H1625" i="6"/>
  <c r="H1619" i="6"/>
  <c r="H1601" i="6"/>
  <c r="H1595" i="6"/>
  <c r="H1589" i="6"/>
  <c r="H1577" i="6"/>
  <c r="H1571" i="6"/>
  <c r="H1565" i="6"/>
  <c r="H1559" i="6"/>
  <c r="H1553" i="6"/>
  <c r="H1535" i="6"/>
  <c r="H1529" i="6"/>
  <c r="H1523" i="6"/>
  <c r="H1351" i="6"/>
  <c r="H1352" i="6"/>
  <c r="F1393" i="6"/>
  <c r="H1350" i="6"/>
  <c r="H1032" i="6"/>
  <c r="H872" i="6"/>
  <c r="H719" i="6"/>
  <c r="H737" i="6"/>
  <c r="H738" i="6"/>
  <c r="H736" i="6"/>
  <c r="H1692" i="6"/>
  <c r="H1691" i="6"/>
  <c r="H1693" i="6"/>
  <c r="H1686" i="6"/>
  <c r="H1687" i="6"/>
  <c r="H1680" i="6"/>
  <c r="H1679" i="6"/>
  <c r="H1681" i="6"/>
  <c r="H1674" i="6"/>
  <c r="H1673" i="6"/>
  <c r="H1675" i="6"/>
  <c r="H1668" i="6"/>
  <c r="H1669" i="6"/>
  <c r="H1662" i="6"/>
  <c r="H1661" i="6"/>
  <c r="H1663" i="6"/>
  <c r="H1656" i="6"/>
  <c r="H1655" i="6"/>
  <c r="H1657" i="6"/>
  <c r="H1650" i="6"/>
  <c r="H1649" i="6"/>
  <c r="H1651" i="6"/>
  <c r="H1644" i="6"/>
  <c r="H1643" i="6"/>
  <c r="H1645" i="6"/>
  <c r="H1638" i="6"/>
  <c r="H1637" i="6"/>
  <c r="H1639" i="6"/>
  <c r="H1632" i="6"/>
  <c r="H1633" i="6"/>
  <c r="H1626" i="6"/>
  <c r="H1627" i="6"/>
  <c r="H1620" i="6"/>
  <c r="H1621" i="6"/>
  <c r="H1614" i="6"/>
  <c r="H1613" i="6"/>
  <c r="H1615" i="6"/>
  <c r="H1608" i="6"/>
  <c r="H1607" i="6"/>
  <c r="H1609" i="6"/>
  <c r="H1602" i="6"/>
  <c r="H1603" i="6"/>
  <c r="H1596" i="6"/>
  <c r="H1597" i="6"/>
  <c r="H1590" i="6"/>
  <c r="H1591" i="6"/>
  <c r="H1584" i="6"/>
  <c r="H1583" i="6"/>
  <c r="H1585" i="6"/>
  <c r="H1578" i="6"/>
  <c r="H1579" i="6"/>
  <c r="H1572" i="6"/>
  <c r="H1573" i="6"/>
  <c r="H1566" i="6"/>
  <c r="H1567" i="6"/>
  <c r="H1560" i="6"/>
  <c r="H1561" i="6"/>
  <c r="H1554" i="6"/>
  <c r="H1555" i="6"/>
  <c r="H1548" i="6"/>
  <c r="H1547" i="6"/>
  <c r="H1549" i="6"/>
  <c r="H1542" i="6"/>
  <c r="H1541" i="6"/>
  <c r="H1543" i="6"/>
  <c r="H1536" i="6"/>
  <c r="H1537" i="6"/>
  <c r="H1530" i="6"/>
  <c r="H1531" i="6"/>
  <c r="H1524" i="6"/>
  <c r="H1525" i="6"/>
  <c r="H1518" i="6"/>
  <c r="H1517" i="6"/>
  <c r="H1519" i="6"/>
  <c r="H1512" i="6"/>
  <c r="H1513" i="6"/>
  <c r="H1506" i="6"/>
  <c r="H1507" i="6"/>
  <c r="H1500" i="6"/>
  <c r="H1501" i="6"/>
  <c r="H1494" i="6"/>
  <c r="H1495" i="6"/>
  <c r="H1488" i="6"/>
  <c r="H1489" i="6"/>
  <c r="H1482" i="6"/>
  <c r="H1483" i="6"/>
  <c r="H1476" i="6"/>
  <c r="H1477" i="6"/>
  <c r="H1470" i="6"/>
  <c r="H1471" i="6"/>
  <c r="H1464" i="6"/>
  <c r="H1465" i="6"/>
  <c r="H1458" i="6"/>
  <c r="H1459" i="6"/>
  <c r="H1452" i="6"/>
  <c r="H1453" i="6"/>
  <c r="H1446" i="6"/>
  <c r="H1447" i="6"/>
  <c r="H1440" i="6"/>
  <c r="H1441" i="6"/>
  <c r="H1434" i="6"/>
  <c r="H1435" i="6"/>
  <c r="H1428" i="6"/>
  <c r="H1429" i="6"/>
  <c r="H1422" i="6"/>
  <c r="H1423" i="6"/>
  <c r="H1416" i="6"/>
  <c r="H1417" i="6"/>
  <c r="H1410" i="6"/>
  <c r="H1411" i="6"/>
  <c r="H1404" i="6"/>
  <c r="H1405" i="6"/>
  <c r="H1398" i="6"/>
  <c r="H1399" i="6"/>
  <c r="F1698" i="6"/>
  <c r="H1511" i="6"/>
  <c r="H1505" i="6"/>
  <c r="H1499" i="6"/>
  <c r="H1481" i="6"/>
  <c r="H1475" i="6"/>
  <c r="H1463" i="6"/>
  <c r="H1457" i="6"/>
  <c r="H1451" i="6"/>
  <c r="H1439" i="6"/>
  <c r="H1433" i="6"/>
  <c r="H1427" i="6"/>
  <c r="H1421" i="6"/>
  <c r="H1415" i="6"/>
  <c r="H1403" i="6"/>
  <c r="H659" i="6"/>
  <c r="F194" i="6"/>
  <c r="H109" i="6"/>
  <c r="H1493" i="6"/>
  <c r="H1487" i="6"/>
  <c r="H1469" i="6"/>
  <c r="H1445" i="6"/>
  <c r="H1409" i="6"/>
  <c r="H1397" i="6"/>
  <c r="H968" i="6"/>
  <c r="H969" i="6"/>
  <c r="F969" i="6"/>
  <c r="F968" i="6"/>
  <c r="H962" i="6"/>
  <c r="H963" i="6"/>
  <c r="F963" i="6"/>
  <c r="F962" i="6"/>
  <c r="H956" i="6"/>
  <c r="H957" i="6"/>
  <c r="F957" i="6"/>
  <c r="F956" i="6"/>
  <c r="H950" i="6"/>
  <c r="H951" i="6"/>
  <c r="F951" i="6"/>
  <c r="F950" i="6"/>
  <c r="H944" i="6"/>
  <c r="H945" i="6"/>
  <c r="F945" i="6"/>
  <c r="F944" i="6"/>
  <c r="H938" i="6"/>
  <c r="H939" i="6"/>
  <c r="F939" i="6"/>
  <c r="F938" i="6"/>
  <c r="H932" i="6"/>
  <c r="H933" i="6"/>
  <c r="F933" i="6"/>
  <c r="F932" i="6"/>
  <c r="H926" i="6"/>
  <c r="H927" i="6"/>
  <c r="F927" i="6"/>
  <c r="F926" i="6"/>
  <c r="H920" i="6"/>
  <c r="H921" i="6"/>
  <c r="F921" i="6"/>
  <c r="F920" i="6"/>
  <c r="H914" i="6"/>
  <c r="H915" i="6"/>
  <c r="F915" i="6"/>
  <c r="F914" i="6"/>
  <c r="H559" i="6"/>
  <c r="H541" i="6"/>
  <c r="H352" i="6"/>
  <c r="G1698" i="6"/>
  <c r="H1381" i="6"/>
  <c r="H1382" i="6"/>
  <c r="H1387" i="6"/>
  <c r="H1388" i="6"/>
  <c r="H1375" i="6"/>
  <c r="H1376" i="6"/>
  <c r="H1369" i="6"/>
  <c r="H1370" i="6"/>
  <c r="H1363" i="6"/>
  <c r="H1364" i="6"/>
  <c r="H1357" i="6"/>
  <c r="H1358" i="6"/>
  <c r="H1345" i="6"/>
  <c r="H1346" i="6"/>
  <c r="H1339" i="6"/>
  <c r="H1340" i="6"/>
  <c r="H1333" i="6"/>
  <c r="H1334" i="6"/>
  <c r="H1327" i="6"/>
  <c r="H1328" i="6"/>
  <c r="H1321" i="6"/>
  <c r="H1322" i="6"/>
  <c r="H1309" i="6"/>
  <c r="H1310" i="6"/>
  <c r="H1303" i="6"/>
  <c r="H1304" i="6"/>
  <c r="H1297" i="6"/>
  <c r="H1298" i="6"/>
  <c r="H1291" i="6"/>
  <c r="H1292" i="6"/>
  <c r="H1285" i="6"/>
  <c r="H1286" i="6"/>
  <c r="F1699" i="6"/>
  <c r="F1693" i="6"/>
  <c r="F1692" i="6"/>
  <c r="F1687" i="6"/>
  <c r="F1686" i="6"/>
  <c r="F1681" i="6"/>
  <c r="F1680" i="6"/>
  <c r="F1675" i="6"/>
  <c r="F1674" i="6"/>
  <c r="F1669" i="6"/>
  <c r="F1668" i="6"/>
  <c r="F1663" i="6"/>
  <c r="F1662" i="6"/>
  <c r="F1657" i="6"/>
  <c r="F1656" i="6"/>
  <c r="F1651" i="6"/>
  <c r="F1650" i="6"/>
  <c r="F1645" i="6"/>
  <c r="F1644" i="6"/>
  <c r="F1639" i="6"/>
  <c r="F1638" i="6"/>
  <c r="F1633" i="6"/>
  <c r="F1632" i="6"/>
  <c r="F1627" i="6"/>
  <c r="F1626" i="6"/>
  <c r="F1621" i="6"/>
  <c r="F1620" i="6"/>
  <c r="F1615" i="6"/>
  <c r="F1614" i="6"/>
  <c r="F1609" i="6"/>
  <c r="F1608" i="6"/>
  <c r="F1603" i="6"/>
  <c r="F1602" i="6"/>
  <c r="F1597" i="6"/>
  <c r="F1596" i="6"/>
  <c r="F1591" i="6"/>
  <c r="F1590" i="6"/>
  <c r="F1585" i="6"/>
  <c r="F1584" i="6"/>
  <c r="F1579" i="6"/>
  <c r="F1578" i="6"/>
  <c r="F1573" i="6"/>
  <c r="F1572" i="6"/>
  <c r="F1567" i="6"/>
  <c r="F1566" i="6"/>
  <c r="F1561" i="6"/>
  <c r="F1560" i="6"/>
  <c r="F1555" i="6"/>
  <c r="F1554" i="6"/>
  <c r="F1549" i="6"/>
  <c r="F1548" i="6"/>
  <c r="F1543" i="6"/>
  <c r="F1542" i="6"/>
  <c r="F1537" i="6"/>
  <c r="F1536" i="6"/>
  <c r="F1531" i="6"/>
  <c r="F1530" i="6"/>
  <c r="F1525" i="6"/>
  <c r="F1524" i="6"/>
  <c r="F1519" i="6"/>
  <c r="F1518" i="6"/>
  <c r="F1513" i="6"/>
  <c r="F1512" i="6"/>
  <c r="F1507" i="6"/>
  <c r="F1506" i="6"/>
  <c r="F1501" i="6"/>
  <c r="F1500" i="6"/>
  <c r="F1495" i="6"/>
  <c r="F1494" i="6"/>
  <c r="F1489" i="6"/>
  <c r="F1488" i="6"/>
  <c r="F1483" i="6"/>
  <c r="F1482" i="6"/>
  <c r="F1477" i="6"/>
  <c r="F1476" i="6"/>
  <c r="F1471" i="6"/>
  <c r="F1470" i="6"/>
  <c r="F1465" i="6"/>
  <c r="F1464" i="6"/>
  <c r="F1459" i="6"/>
  <c r="F1458" i="6"/>
  <c r="F1453" i="6"/>
  <c r="F1452" i="6"/>
  <c r="F1447" i="6"/>
  <c r="F1446" i="6"/>
  <c r="F1441" i="6"/>
  <c r="F1440" i="6"/>
  <c r="F1435" i="6"/>
  <c r="F1434" i="6"/>
  <c r="F1429" i="6"/>
  <c r="F1428" i="6"/>
  <c r="F1423" i="6"/>
  <c r="F1422" i="6"/>
  <c r="F1417" i="6"/>
  <c r="F1416" i="6"/>
  <c r="F1411" i="6"/>
  <c r="F1410" i="6"/>
  <c r="F1405" i="6"/>
  <c r="F1404" i="6"/>
  <c r="F1399" i="6"/>
  <c r="F1398" i="6"/>
  <c r="H470" i="6"/>
  <c r="H754" i="6"/>
  <c r="H949" i="6"/>
  <c r="H807" i="6"/>
  <c r="H961" i="6"/>
  <c r="H884" i="6"/>
  <c r="H730" i="6"/>
  <c r="H724" i="6"/>
  <c r="H151" i="6"/>
  <c r="H121" i="6"/>
  <c r="H14" i="6"/>
  <c r="H578" i="6"/>
  <c r="H579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7" i="6"/>
  <c r="H530" i="6"/>
  <c r="H531" i="6"/>
  <c r="H524" i="6"/>
  <c r="H525" i="6"/>
  <c r="F584" i="6"/>
  <c r="G779" i="6"/>
  <c r="H773" i="6"/>
  <c r="H774" i="6"/>
  <c r="H767" i="6"/>
  <c r="H768" i="6"/>
  <c r="H761" i="6"/>
  <c r="H762" i="6"/>
  <c r="H755" i="6"/>
  <c r="H756" i="6"/>
  <c r="H749" i="6"/>
  <c r="H750" i="6"/>
  <c r="H743" i="6"/>
  <c r="H744" i="6"/>
  <c r="H731" i="6"/>
  <c r="H732" i="6"/>
  <c r="H725" i="6"/>
  <c r="H726" i="6"/>
  <c r="H720" i="6"/>
  <c r="F779" i="6"/>
  <c r="H1165" i="6"/>
  <c r="H1166" i="6"/>
  <c r="H1159" i="6"/>
  <c r="H1160" i="6"/>
  <c r="H1153" i="6"/>
  <c r="H1154" i="6"/>
  <c r="H1147" i="6"/>
  <c r="H1148" i="6"/>
  <c r="H1141" i="6"/>
  <c r="H1142" i="6"/>
  <c r="H1135" i="6"/>
  <c r="H1136" i="6"/>
  <c r="H1129" i="6"/>
  <c r="H1130" i="6"/>
  <c r="H1123" i="6"/>
  <c r="H1124" i="6"/>
  <c r="H1117" i="6"/>
  <c r="H1118" i="6"/>
  <c r="H1111" i="6"/>
  <c r="H1112" i="6"/>
  <c r="H1171" i="6"/>
  <c r="H1172" i="6"/>
  <c r="H1177" i="6"/>
  <c r="H1178" i="6"/>
  <c r="H1183" i="6"/>
  <c r="H1184" i="6"/>
  <c r="H1189" i="6"/>
  <c r="H1190" i="6"/>
  <c r="H1195" i="6"/>
  <c r="H1196" i="6"/>
  <c r="H1201" i="6"/>
  <c r="H1202" i="6"/>
  <c r="H1207" i="6"/>
  <c r="H1208" i="6"/>
  <c r="H1213" i="6"/>
  <c r="H1214" i="6"/>
  <c r="H1105" i="6"/>
  <c r="H1106" i="6"/>
  <c r="H1099" i="6"/>
  <c r="H1100" i="6"/>
  <c r="H1093" i="6"/>
  <c r="H1094" i="6"/>
  <c r="H1087" i="6"/>
  <c r="H1088" i="6"/>
  <c r="H1075" i="6"/>
  <c r="H1076" i="6"/>
  <c r="H1081" i="6"/>
  <c r="H1082" i="6"/>
  <c r="H1069" i="6"/>
  <c r="H1070" i="6"/>
  <c r="H1063" i="6"/>
  <c r="H1064" i="6"/>
  <c r="H1057" i="6"/>
  <c r="H1058" i="6"/>
  <c r="H1051" i="6"/>
  <c r="H1052" i="6"/>
  <c r="H1039" i="6"/>
  <c r="H1040" i="6"/>
  <c r="H1033" i="6"/>
  <c r="H1034" i="6"/>
  <c r="H1027" i="6"/>
  <c r="H1028" i="6"/>
  <c r="H1021" i="6"/>
  <c r="H1022" i="6"/>
  <c r="H1015" i="6"/>
  <c r="H1016" i="6"/>
  <c r="H1003" i="6"/>
  <c r="H1004" i="6"/>
  <c r="H997" i="6"/>
  <c r="H998" i="6"/>
  <c r="H991" i="6"/>
  <c r="H992" i="6"/>
  <c r="H985" i="6"/>
  <c r="H986" i="6"/>
  <c r="H979" i="6"/>
  <c r="H980" i="6"/>
  <c r="H1219" i="6"/>
  <c r="H1220" i="6"/>
  <c r="H1225" i="6"/>
  <c r="H1226" i="6"/>
  <c r="H1231" i="6"/>
  <c r="H1232" i="6"/>
  <c r="H1237" i="6"/>
  <c r="H1238" i="6"/>
  <c r="H1243" i="6"/>
  <c r="H1244" i="6"/>
  <c r="H1255" i="6"/>
  <c r="H1256" i="6"/>
  <c r="H1261" i="6"/>
  <c r="H1262" i="6"/>
  <c r="H1267" i="6"/>
  <c r="H1268" i="6"/>
  <c r="H1273" i="6"/>
  <c r="H1274" i="6"/>
  <c r="H1279" i="6"/>
  <c r="H1280" i="6"/>
  <c r="H1315" i="6"/>
  <c r="H1316" i="6"/>
  <c r="H1386" i="6"/>
  <c r="H1380" i="6"/>
  <c r="H1374" i="6"/>
  <c r="H1368" i="6"/>
  <c r="H1362" i="6"/>
  <c r="H1356" i="6"/>
  <c r="H1344" i="6"/>
  <c r="H1338" i="6"/>
  <c r="H1320" i="6"/>
  <c r="H1326" i="6"/>
  <c r="H1332" i="6"/>
  <c r="H1314" i="6"/>
  <c r="H1308" i="6"/>
  <c r="H1302" i="6"/>
  <c r="H1296" i="6"/>
  <c r="H1290" i="6"/>
  <c r="H1284" i="6"/>
  <c r="H1278" i="6"/>
  <c r="H1272" i="6"/>
  <c r="H1266" i="6"/>
  <c r="H1260" i="6"/>
  <c r="H1254" i="6"/>
  <c r="H1248" i="6"/>
  <c r="H1242" i="6"/>
  <c r="H1236" i="6"/>
  <c r="H1230" i="6"/>
  <c r="H1224" i="6"/>
  <c r="H1218" i="6"/>
  <c r="H1212" i="6"/>
  <c r="H1206" i="6"/>
  <c r="H1200" i="6"/>
  <c r="H1194" i="6"/>
  <c r="H1188" i="6"/>
  <c r="H1182" i="6"/>
  <c r="H1176" i="6"/>
  <c r="H1170" i="6"/>
  <c r="H1164" i="6"/>
  <c r="H1158" i="6"/>
  <c r="H1152" i="6"/>
  <c r="H1146" i="6"/>
  <c r="H1140" i="6"/>
  <c r="H1134" i="6"/>
  <c r="H1128" i="6"/>
  <c r="H1122" i="6"/>
  <c r="H1116" i="6"/>
  <c r="H1110" i="6"/>
  <c r="H1104" i="6"/>
  <c r="H1098" i="6"/>
  <c r="H1092" i="6"/>
  <c r="H1086" i="6"/>
  <c r="H1080" i="6"/>
  <c r="H1074" i="6"/>
  <c r="H1068" i="6"/>
  <c r="H1062" i="6"/>
  <c r="H1056" i="6"/>
  <c r="H1050" i="6"/>
  <c r="H1044" i="6"/>
  <c r="H1038" i="6"/>
  <c r="H1026" i="6"/>
  <c r="H1020" i="6"/>
  <c r="H1014" i="6"/>
  <c r="H1008" i="6"/>
  <c r="H1002" i="6"/>
  <c r="H996" i="6"/>
  <c r="H990" i="6"/>
  <c r="H984" i="6"/>
  <c r="H978" i="6"/>
  <c r="G1393" i="6"/>
  <c r="H1009" i="6"/>
  <c r="H1010" i="6"/>
  <c r="H1045" i="6"/>
  <c r="H1046" i="6"/>
  <c r="H1249" i="6"/>
  <c r="H1250" i="6"/>
  <c r="F1388" i="6"/>
  <c r="F1387" i="6"/>
  <c r="F1376" i="6"/>
  <c r="F1375" i="6"/>
  <c r="F1382" i="6"/>
  <c r="F1381" i="6"/>
  <c r="F1370" i="6"/>
  <c r="F1369" i="6"/>
  <c r="F1364" i="6"/>
  <c r="F1363" i="6"/>
  <c r="F1357" i="6"/>
  <c r="F1358" i="6"/>
  <c r="F1345" i="6"/>
  <c r="F1346" i="6"/>
  <c r="F1351" i="6"/>
  <c r="F1352" i="6"/>
  <c r="F1213" i="6"/>
  <c r="F1214" i="6"/>
  <c r="F1219" i="6"/>
  <c r="F1220" i="6"/>
  <c r="F1225" i="6"/>
  <c r="F1226" i="6"/>
  <c r="F1231" i="6"/>
  <c r="F1232" i="6"/>
  <c r="F1237" i="6"/>
  <c r="F1238" i="6"/>
  <c r="F1243" i="6"/>
  <c r="F1244" i="6"/>
  <c r="F1249" i="6"/>
  <c r="F1250" i="6"/>
  <c r="F1255" i="6"/>
  <c r="F1256" i="6"/>
  <c r="F1261" i="6"/>
  <c r="F1262" i="6"/>
  <c r="F1267" i="6"/>
  <c r="F1268" i="6"/>
  <c r="F1273" i="6"/>
  <c r="F1274" i="6"/>
  <c r="F1279" i="6"/>
  <c r="F1280" i="6"/>
  <c r="F1285" i="6"/>
  <c r="F1286" i="6"/>
  <c r="F1291" i="6"/>
  <c r="F1292" i="6"/>
  <c r="F1297" i="6"/>
  <c r="F1298" i="6"/>
  <c r="F1303" i="6"/>
  <c r="F1304" i="6"/>
  <c r="F1309" i="6"/>
  <c r="F1310" i="6"/>
  <c r="F1315" i="6"/>
  <c r="F1316" i="6"/>
  <c r="F1321" i="6"/>
  <c r="F1322" i="6"/>
  <c r="F1327" i="6"/>
  <c r="F1328" i="6"/>
  <c r="F1333" i="6"/>
  <c r="F1334" i="6"/>
  <c r="F1339" i="6"/>
  <c r="F1340" i="6"/>
  <c r="G974" i="6"/>
  <c r="F974" i="6"/>
  <c r="H967" i="6"/>
  <c r="H955" i="6"/>
  <c r="H943" i="6"/>
  <c r="H937" i="6"/>
  <c r="H931" i="6"/>
  <c r="H925" i="6"/>
  <c r="H919" i="6"/>
  <c r="H913" i="6"/>
  <c r="G909" i="6"/>
  <c r="H903" i="6"/>
  <c r="H904" i="6"/>
  <c r="H897" i="6"/>
  <c r="H898" i="6"/>
  <c r="H891" i="6"/>
  <c r="H892" i="6"/>
  <c r="H885" i="6"/>
  <c r="H886" i="6"/>
  <c r="H879" i="6"/>
  <c r="H880" i="6"/>
  <c r="H873" i="6"/>
  <c r="H874" i="6"/>
  <c r="H867" i="6"/>
  <c r="H868" i="6"/>
  <c r="H861" i="6"/>
  <c r="H862" i="6"/>
  <c r="H855" i="6"/>
  <c r="H856" i="6"/>
  <c r="H849" i="6"/>
  <c r="H850" i="6"/>
  <c r="F909" i="6"/>
  <c r="H902" i="6"/>
  <c r="H896" i="6"/>
  <c r="H890" i="6"/>
  <c r="H878" i="6"/>
  <c r="H866" i="6"/>
  <c r="H860" i="6"/>
  <c r="H854" i="6"/>
  <c r="H848" i="6"/>
  <c r="H837" i="6"/>
  <c r="H831" i="6"/>
  <c r="H825" i="6"/>
  <c r="H819" i="6"/>
  <c r="H813" i="6"/>
  <c r="H801" i="6"/>
  <c r="H795" i="6"/>
  <c r="H789" i="6"/>
  <c r="H783" i="6"/>
  <c r="G844" i="6"/>
  <c r="H838" i="6"/>
  <c r="H839" i="6"/>
  <c r="H832" i="6"/>
  <c r="H833" i="6"/>
  <c r="H826" i="6"/>
  <c r="H827" i="6"/>
  <c r="H820" i="6"/>
  <c r="H821" i="6"/>
  <c r="H814" i="6"/>
  <c r="H815" i="6"/>
  <c r="H808" i="6"/>
  <c r="H809" i="6"/>
  <c r="H802" i="6"/>
  <c r="H803" i="6"/>
  <c r="H796" i="6"/>
  <c r="H797" i="6"/>
  <c r="H790" i="6"/>
  <c r="H791" i="6"/>
  <c r="H784" i="6"/>
  <c r="H785" i="6"/>
  <c r="F844" i="6"/>
  <c r="H772" i="6"/>
  <c r="H766" i="6"/>
  <c r="H760" i="6"/>
  <c r="H748" i="6"/>
  <c r="H742" i="6"/>
  <c r="H718" i="6"/>
  <c r="G714" i="6"/>
  <c r="H708" i="6"/>
  <c r="H709" i="6"/>
  <c r="H702" i="6"/>
  <c r="H703" i="6"/>
  <c r="H696" i="6"/>
  <c r="H697" i="6"/>
  <c r="H690" i="6"/>
  <c r="H691" i="6"/>
  <c r="H684" i="6"/>
  <c r="H685" i="6"/>
  <c r="H678" i="6"/>
  <c r="H679" i="6"/>
  <c r="H672" i="6"/>
  <c r="H673" i="6"/>
  <c r="H666" i="6"/>
  <c r="H667" i="6"/>
  <c r="H660" i="6"/>
  <c r="H661" i="6"/>
  <c r="H654" i="6"/>
  <c r="H655" i="6"/>
  <c r="F714" i="6"/>
  <c r="H707" i="6"/>
  <c r="H701" i="6"/>
  <c r="H695" i="6"/>
  <c r="H689" i="6"/>
  <c r="H683" i="6"/>
  <c r="H677" i="6"/>
  <c r="H671" i="6"/>
  <c r="H665" i="6"/>
  <c r="H653" i="6"/>
  <c r="G649" i="6"/>
  <c r="H643" i="6"/>
  <c r="H644" i="6"/>
  <c r="H637" i="6"/>
  <c r="H638" i="6"/>
  <c r="H631" i="6"/>
  <c r="H632" i="6"/>
  <c r="H625" i="6"/>
  <c r="H626" i="6"/>
  <c r="H619" i="6"/>
  <c r="H620" i="6"/>
  <c r="H613" i="6"/>
  <c r="H614" i="6"/>
  <c r="H607" i="6"/>
  <c r="H608" i="6"/>
  <c r="H601" i="6"/>
  <c r="H602" i="6"/>
  <c r="H595" i="6"/>
  <c r="H596" i="6"/>
  <c r="H589" i="6"/>
  <c r="H590" i="6"/>
  <c r="F649" i="6"/>
  <c r="H642" i="6"/>
  <c r="H636" i="6"/>
  <c r="H630" i="6"/>
  <c r="H624" i="6"/>
  <c r="H618" i="6"/>
  <c r="H612" i="6"/>
  <c r="H606" i="6"/>
  <c r="H600" i="6"/>
  <c r="H594" i="6"/>
  <c r="H588" i="6"/>
  <c r="G584" i="6"/>
  <c r="H577" i="6"/>
  <c r="H571" i="6"/>
  <c r="H565" i="6"/>
  <c r="H553" i="6"/>
  <c r="H547" i="6"/>
  <c r="H535" i="6"/>
  <c r="H529" i="6"/>
  <c r="H523" i="6"/>
  <c r="H512" i="6"/>
  <c r="H506" i="6"/>
  <c r="H500" i="6"/>
  <c r="H494" i="6"/>
  <c r="H488" i="6"/>
  <c r="H482" i="6"/>
  <c r="H476" i="6"/>
  <c r="H464" i="6"/>
  <c r="H458" i="6"/>
  <c r="H513" i="6"/>
  <c r="H514" i="6"/>
  <c r="H507" i="6"/>
  <c r="H508" i="6"/>
  <c r="H501" i="6"/>
  <c r="H502" i="6"/>
  <c r="H495" i="6"/>
  <c r="H496" i="6"/>
  <c r="H489" i="6"/>
  <c r="H490" i="6"/>
  <c r="H483" i="6"/>
  <c r="H484" i="6"/>
  <c r="H477" i="6"/>
  <c r="H478" i="6"/>
  <c r="H471" i="6"/>
  <c r="H472" i="6"/>
  <c r="H465" i="6"/>
  <c r="H466" i="6"/>
  <c r="H459" i="6"/>
  <c r="H460" i="6"/>
  <c r="F519" i="6"/>
  <c r="G519" i="6"/>
  <c r="H447" i="6"/>
  <c r="H441" i="6"/>
  <c r="H435" i="6"/>
  <c r="H429" i="6"/>
  <c r="H423" i="6"/>
  <c r="H417" i="6"/>
  <c r="H411" i="6"/>
  <c r="H405" i="6"/>
  <c r="H399" i="6"/>
  <c r="H393" i="6"/>
  <c r="G454" i="6"/>
  <c r="H448" i="6"/>
  <c r="H449" i="6"/>
  <c r="H442" i="6"/>
  <c r="H443" i="6"/>
  <c r="H436" i="6"/>
  <c r="H437" i="6"/>
  <c r="H430" i="6"/>
  <c r="H431" i="6"/>
  <c r="H424" i="6"/>
  <c r="H425" i="6"/>
  <c r="H418" i="6"/>
  <c r="H419" i="6"/>
  <c r="H412" i="6"/>
  <c r="H413" i="6"/>
  <c r="H406" i="6"/>
  <c r="H407" i="6"/>
  <c r="H400" i="6"/>
  <c r="H401" i="6"/>
  <c r="H394" i="6"/>
  <c r="H395" i="6"/>
  <c r="F454" i="6"/>
  <c r="H382" i="6"/>
  <c r="H376" i="6"/>
  <c r="H370" i="6"/>
  <c r="H364" i="6"/>
  <c r="H358" i="6"/>
  <c r="H346" i="6"/>
  <c r="H340" i="6"/>
  <c r="H334" i="6"/>
  <c r="H328" i="6"/>
  <c r="G389" i="6"/>
  <c r="H383" i="6"/>
  <c r="H384" i="6"/>
  <c r="H377" i="6"/>
  <c r="H378" i="6"/>
  <c r="H371" i="6"/>
  <c r="H372" i="6"/>
  <c r="H365" i="6"/>
  <c r="H366" i="6"/>
  <c r="H359" i="6"/>
  <c r="H360" i="6"/>
  <c r="H353" i="6"/>
  <c r="H354" i="6"/>
  <c r="H347" i="6"/>
  <c r="H348" i="6"/>
  <c r="H341" i="6"/>
  <c r="H342" i="6"/>
  <c r="H335" i="6"/>
  <c r="H336" i="6"/>
  <c r="H329" i="6"/>
  <c r="H330" i="6"/>
  <c r="F389" i="6"/>
  <c r="G324" i="6"/>
  <c r="H318" i="6"/>
  <c r="H319" i="6"/>
  <c r="H312" i="6"/>
  <c r="H313" i="6"/>
  <c r="H306" i="6"/>
  <c r="H307" i="6"/>
  <c r="H300" i="6"/>
  <c r="H301" i="6"/>
  <c r="H294" i="6"/>
  <c r="H295" i="6"/>
  <c r="H288" i="6"/>
  <c r="H289" i="6"/>
  <c r="H282" i="6"/>
  <c r="H283" i="6"/>
  <c r="H276" i="6"/>
  <c r="H277" i="6"/>
  <c r="H270" i="6"/>
  <c r="H271" i="6"/>
  <c r="H264" i="6"/>
  <c r="H265" i="6"/>
  <c r="F324" i="6"/>
  <c r="H317" i="6"/>
  <c r="H311" i="6"/>
  <c r="H305" i="6"/>
  <c r="H299" i="6"/>
  <c r="H293" i="6"/>
  <c r="H287" i="6"/>
  <c r="H281" i="6"/>
  <c r="H275" i="6"/>
  <c r="H269" i="6"/>
  <c r="H263" i="6"/>
  <c r="G259" i="6"/>
  <c r="H253" i="6"/>
  <c r="H254" i="6"/>
  <c r="H247" i="6"/>
  <c r="H248" i="6"/>
  <c r="H241" i="6"/>
  <c r="H242" i="6"/>
  <c r="H235" i="6"/>
  <c r="H236" i="6"/>
  <c r="H229" i="6"/>
  <c r="H230" i="6"/>
  <c r="H223" i="6"/>
  <c r="H224" i="6"/>
  <c r="H217" i="6"/>
  <c r="H218" i="6"/>
  <c r="H211" i="6"/>
  <c r="H212" i="6"/>
  <c r="H205" i="6"/>
  <c r="H206" i="6"/>
  <c r="H199" i="6"/>
  <c r="H200" i="6"/>
  <c r="F259" i="6"/>
  <c r="H252" i="6"/>
  <c r="H246" i="6"/>
  <c r="H240" i="6"/>
  <c r="H234" i="6"/>
  <c r="H228" i="6"/>
  <c r="H222" i="6"/>
  <c r="H216" i="6"/>
  <c r="H210" i="6"/>
  <c r="H204" i="6"/>
  <c r="H198" i="6"/>
  <c r="G194" i="6"/>
  <c r="H187" i="6"/>
  <c r="H181" i="6"/>
  <c r="H175" i="6"/>
  <c r="H169" i="6"/>
  <c r="H163" i="6"/>
  <c r="H157" i="6"/>
  <c r="H145" i="6"/>
  <c r="H139" i="6"/>
  <c r="H133" i="6"/>
  <c r="H127" i="6"/>
  <c r="H115" i="6"/>
  <c r="H103" i="6"/>
  <c r="H97" i="6"/>
  <c r="H91" i="6"/>
  <c r="H85" i="6"/>
  <c r="H79" i="6"/>
  <c r="H73" i="6"/>
  <c r="H63" i="6"/>
  <c r="H64" i="6"/>
  <c r="H57" i="6"/>
  <c r="H58" i="6"/>
  <c r="H51" i="6"/>
  <c r="H52" i="6"/>
  <c r="H45" i="6"/>
  <c r="H46" i="6"/>
  <c r="H39" i="6"/>
  <c r="H40" i="6"/>
  <c r="H33" i="6"/>
  <c r="H34" i="6"/>
  <c r="H27" i="6"/>
  <c r="H28" i="6"/>
  <c r="H21" i="6"/>
  <c r="H22" i="6"/>
  <c r="H15" i="6"/>
  <c r="H16" i="6"/>
  <c r="H9" i="6"/>
  <c r="H10" i="6"/>
  <c r="F69" i="6"/>
  <c r="H62" i="6"/>
  <c r="H56" i="6"/>
  <c r="H50" i="6"/>
  <c r="H44" i="6"/>
  <c r="H38" i="6"/>
  <c r="H32" i="6"/>
  <c r="H26" i="6"/>
  <c r="H20" i="6"/>
  <c r="H8" i="6"/>
  <c r="G69" i="6"/>
  <c r="F715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F655" i="6"/>
  <c r="F654" i="6"/>
  <c r="F910" i="6"/>
  <c r="F904" i="6"/>
  <c r="F903" i="6"/>
  <c r="F898" i="6"/>
  <c r="F897" i="6"/>
  <c r="F892" i="6"/>
  <c r="F891" i="6"/>
  <c r="F886" i="6"/>
  <c r="F885" i="6"/>
  <c r="F880" i="6"/>
  <c r="F879" i="6"/>
  <c r="F874" i="6"/>
  <c r="F873" i="6"/>
  <c r="F868" i="6"/>
  <c r="F867" i="6"/>
  <c r="F862" i="6"/>
  <c r="F861" i="6"/>
  <c r="F856" i="6"/>
  <c r="F855" i="6"/>
  <c r="F850" i="6"/>
  <c r="F849" i="6"/>
  <c r="F845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F785" i="6"/>
  <c r="F784" i="6"/>
  <c r="F780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F720" i="6"/>
  <c r="F719" i="6"/>
  <c r="F650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590" i="6"/>
  <c r="F589" i="6"/>
  <c r="F585" i="6"/>
  <c r="F579" i="6"/>
  <c r="F578" i="6"/>
  <c r="F573" i="6"/>
  <c r="F572" i="6"/>
  <c r="F567" i="6"/>
  <c r="F566" i="6"/>
  <c r="F561" i="6"/>
  <c r="F560" i="6"/>
  <c r="F555" i="6"/>
  <c r="F554" i="6"/>
  <c r="F549" i="6"/>
  <c r="F548" i="6"/>
  <c r="F543" i="6"/>
  <c r="F542" i="6"/>
  <c r="F537" i="6"/>
  <c r="F536" i="6"/>
  <c r="F531" i="6"/>
  <c r="F530" i="6"/>
  <c r="F525" i="6"/>
  <c r="F524" i="6"/>
  <c r="F520" i="6"/>
  <c r="F514" i="6"/>
  <c r="F513" i="6"/>
  <c r="F508" i="6"/>
  <c r="F507" i="6"/>
  <c r="F502" i="6"/>
  <c r="F501" i="6"/>
  <c r="F496" i="6"/>
  <c r="F495" i="6"/>
  <c r="F490" i="6"/>
  <c r="F489" i="6"/>
  <c r="F484" i="6"/>
  <c r="F483" i="6"/>
  <c r="F478" i="6"/>
  <c r="F477" i="6"/>
  <c r="F472" i="6"/>
  <c r="F471" i="6"/>
  <c r="F466" i="6"/>
  <c r="F465" i="6"/>
  <c r="F460" i="6"/>
  <c r="F459" i="6"/>
  <c r="F455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5" i="6"/>
  <c r="F394" i="6"/>
  <c r="F390" i="6"/>
  <c r="F384" i="6"/>
  <c r="F383" i="6"/>
  <c r="F378" i="6"/>
  <c r="F377" i="6"/>
  <c r="F372" i="6"/>
  <c r="F371" i="6"/>
  <c r="F366" i="6"/>
  <c r="F365" i="6"/>
  <c r="F360" i="6"/>
  <c r="F359" i="6"/>
  <c r="F354" i="6"/>
  <c r="F353" i="6"/>
  <c r="F348" i="6"/>
  <c r="F347" i="6"/>
  <c r="F342" i="6"/>
  <c r="F341" i="6"/>
  <c r="F336" i="6"/>
  <c r="F335" i="6"/>
  <c r="F330" i="6"/>
  <c r="F329" i="6"/>
  <c r="F325" i="6"/>
  <c r="F319" i="6"/>
  <c r="F318" i="6"/>
  <c r="F313" i="6"/>
  <c r="F312" i="6"/>
  <c r="F307" i="6"/>
  <c r="F306" i="6"/>
  <c r="F301" i="6"/>
  <c r="F300" i="6"/>
  <c r="F295" i="6"/>
  <c r="F294" i="6"/>
  <c r="F289" i="6"/>
  <c r="F288" i="6"/>
  <c r="F283" i="6"/>
  <c r="F282" i="6"/>
  <c r="F277" i="6"/>
  <c r="F276" i="6"/>
  <c r="F271" i="6"/>
  <c r="F270" i="6"/>
  <c r="F265" i="6"/>
  <c r="F264" i="6"/>
  <c r="F260" i="6"/>
  <c r="F254" i="6"/>
  <c r="F253" i="6"/>
  <c r="F248" i="6"/>
  <c r="F247" i="6"/>
  <c r="F242" i="6"/>
  <c r="F241" i="6"/>
  <c r="F236" i="6"/>
  <c r="F235" i="6"/>
  <c r="F230" i="6"/>
  <c r="F229" i="6"/>
  <c r="F224" i="6"/>
  <c r="F223" i="6"/>
  <c r="F218" i="6"/>
  <c r="F217" i="6"/>
  <c r="F212" i="6"/>
  <c r="F211" i="6"/>
  <c r="F206" i="6"/>
  <c r="F205" i="6"/>
  <c r="F200" i="6"/>
  <c r="F199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H134" i="6"/>
  <c r="H135" i="6"/>
  <c r="H140" i="6"/>
  <c r="H141" i="6"/>
  <c r="H146" i="6"/>
  <c r="H147" i="6"/>
  <c r="H152" i="6"/>
  <c r="H153" i="6"/>
  <c r="H158" i="6"/>
  <c r="H159" i="6"/>
  <c r="H164" i="6"/>
  <c r="H165" i="6"/>
  <c r="H170" i="6"/>
  <c r="H171" i="6"/>
  <c r="H176" i="6"/>
  <c r="H177" i="6"/>
  <c r="H182" i="6"/>
  <c r="H183" i="6"/>
  <c r="H188" i="6"/>
  <c r="H189" i="6"/>
  <c r="F195" i="6"/>
  <c r="F189" i="6"/>
  <c r="F188" i="6"/>
  <c r="F183" i="6"/>
  <c r="F182" i="6"/>
  <c r="F177" i="6"/>
  <c r="F176" i="6"/>
  <c r="F171" i="6"/>
  <c r="F170" i="6"/>
  <c r="F165" i="6"/>
  <c r="F164" i="6"/>
  <c r="F159" i="6"/>
  <c r="F158" i="6"/>
  <c r="F153" i="6"/>
  <c r="F152" i="6"/>
  <c r="F147" i="6"/>
  <c r="F146" i="6"/>
  <c r="F141" i="6"/>
  <c r="F140" i="6"/>
  <c r="F135" i="6"/>
  <c r="F134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70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9" i="6"/>
  <c r="F1010" i="6"/>
  <c r="F1009" i="6"/>
  <c r="F1046" i="6"/>
  <c r="F1045" i="6"/>
  <c r="F1394" i="6"/>
  <c r="F1208" i="6"/>
  <c r="F1207" i="6"/>
  <c r="F1202" i="6"/>
  <c r="F1201" i="6"/>
  <c r="F1196" i="6"/>
  <c r="F1195" i="6"/>
  <c r="F1190" i="6"/>
  <c r="F1189" i="6"/>
  <c r="F1184" i="6"/>
  <c r="F1183" i="6"/>
  <c r="F1178" i="6"/>
  <c r="F1177" i="6"/>
  <c r="F1172" i="6"/>
  <c r="F1171" i="6"/>
  <c r="F1166" i="6"/>
  <c r="F1165" i="6"/>
  <c r="F1160" i="6"/>
  <c r="F1159" i="6"/>
  <c r="F1154" i="6"/>
  <c r="F1153" i="6"/>
  <c r="F1148" i="6"/>
  <c r="F1147" i="6"/>
  <c r="F1142" i="6"/>
  <c r="F1141" i="6"/>
  <c r="F1136" i="6"/>
  <c r="F1135" i="6"/>
  <c r="F1130" i="6"/>
  <c r="F1129" i="6"/>
  <c r="F1124" i="6"/>
  <c r="F1123" i="6"/>
  <c r="F1118" i="6"/>
  <c r="F1117" i="6"/>
  <c r="F1112" i="6"/>
  <c r="F1111" i="6"/>
  <c r="F1106" i="6"/>
  <c r="F1105" i="6"/>
  <c r="F1100" i="6"/>
  <c r="F1099" i="6"/>
  <c r="F1094" i="6"/>
  <c r="F1093" i="6"/>
  <c r="F1088" i="6"/>
  <c r="F1087" i="6"/>
  <c r="F1082" i="6"/>
  <c r="F1081" i="6"/>
  <c r="F1076" i="6"/>
  <c r="F1075" i="6"/>
  <c r="F1070" i="6"/>
  <c r="F1069" i="6"/>
  <c r="F1064" i="6"/>
  <c r="F1063" i="6"/>
  <c r="F1058" i="6"/>
  <c r="F1057" i="6"/>
  <c r="F1052" i="6"/>
  <c r="F1051" i="6"/>
  <c r="F1040" i="6"/>
  <c r="F1039" i="6"/>
  <c r="F1034" i="6"/>
  <c r="F1033" i="6"/>
  <c r="F1028" i="6"/>
  <c r="F1027" i="6"/>
  <c r="F1022" i="6"/>
  <c r="F1021" i="6"/>
  <c r="F1016" i="6"/>
  <c r="F1015" i="6"/>
  <c r="F1004" i="6"/>
  <c r="F1003" i="6"/>
  <c r="F998" i="6"/>
  <c r="F997" i="6"/>
  <c r="F992" i="6"/>
  <c r="F991" i="6"/>
  <c r="F986" i="6"/>
  <c r="F985" i="6"/>
  <c r="F980" i="6"/>
  <c r="F979" i="6"/>
  <c r="F975" i="6"/>
</calcChain>
</file>

<file path=xl/sharedStrings.xml><?xml version="1.0" encoding="utf-8"?>
<sst xmlns="http://schemas.openxmlformats.org/spreadsheetml/2006/main" count="3042" uniqueCount="1086">
  <si>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</si>
  <si>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</si>
  <si>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</si>
  <si>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</si>
  <si>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</si>
  <si>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</si>
  <si>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</si>
  <si>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</si>
  <si>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</si>
  <si>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TEMA 2</t>
  </si>
  <si>
    <t>TEMA 3</t>
  </si>
  <si>
    <t>TEMA 4</t>
  </si>
  <si>
    <t>TEMA 5</t>
  </si>
  <si>
    <t>TEMA 6</t>
  </si>
  <si>
    <t>Todas las anteriores son ciertas.</t>
  </si>
  <si>
    <t>TEMA  7</t>
  </si>
  <si>
    <t>Ninguna de las anteriores es correcta.</t>
  </si>
  <si>
    <t>TEMA 8</t>
  </si>
  <si>
    <t>Ninguna de las anteriores es correcta</t>
  </si>
  <si>
    <t>TEMA 9</t>
  </si>
  <si>
    <t>TEMA 10</t>
  </si>
  <si>
    <t>TEMA 11</t>
  </si>
  <si>
    <t>a</t>
  </si>
  <si>
    <t>b</t>
  </si>
  <si>
    <t>c</t>
  </si>
  <si>
    <t>d</t>
  </si>
  <si>
    <t>e</t>
  </si>
  <si>
    <t>TEMA 12</t>
  </si>
  <si>
    <t>TEMA 13</t>
  </si>
  <si>
    <t>TEMA 14</t>
  </si>
  <si>
    <t>La parte del periférico que gestiona el intercambio de información se denomina:</t>
  </si>
  <si>
    <t>Driver</t>
  </si>
  <si>
    <t>Bus</t>
  </si>
  <si>
    <t>Interfaz</t>
  </si>
  <si>
    <t>Controlador</t>
  </si>
  <si>
    <t>¿Cuál de las siguientes afirmaciones es cierta?</t>
  </si>
  <si>
    <t>El software de base es específico de las aplicaciones</t>
  </si>
  <si>
    <t>Las aplicaciones son específicas del hardware</t>
  </si>
  <si>
    <t>Las aplicaciones son específicas del software de base</t>
  </si>
  <si>
    <t>El software de base es específico del hardware</t>
  </si>
  <si>
    <t>¿Cuándo termina un programa?</t>
  </si>
  <si>
    <t>Después de la fase de ejecución</t>
  </si>
  <si>
    <t>Después de la fase de interrupción</t>
  </si>
  <si>
    <t>Después de la fase de búsqueda</t>
  </si>
  <si>
    <t>Después de la fase de finalización</t>
  </si>
  <si>
    <t>¿Qué nivel de la organización estructural del ordenador se encuentra en la zona de hardware y en la de software?</t>
  </si>
  <si>
    <t>El cuarto nivel</t>
  </si>
  <si>
    <t>El del circuito digital</t>
  </si>
  <si>
    <t>El quinto nivel</t>
  </si>
  <si>
    <t>El del sistema operativo</t>
  </si>
  <si>
    <t>Ninguna de las otras opciones</t>
  </si>
  <si>
    <t>La CPU es la unión de la UAL y la UM</t>
  </si>
  <si>
    <t>La CPU es la unión de la UAL, la UM y la UC</t>
  </si>
  <si>
    <t>La UC es la unión de la CPU y la UAL</t>
  </si>
  <si>
    <t>El elemento encargado de sincronizar las acciones del equipo es el:</t>
  </si>
  <si>
    <t>No existe tal elemento</t>
  </si>
  <si>
    <t>Reloj</t>
  </si>
  <si>
    <t>Sincronizador</t>
  </si>
  <si>
    <t>Secuenciador</t>
  </si>
  <si>
    <t>Las aplicaciones interactúan directamente con el hardware</t>
  </si>
  <si>
    <t>La llamada al sistema comunica al usuario con la CPU</t>
  </si>
  <si>
    <t>La aplicación se comunica con el hardware a través del SO</t>
  </si>
  <si>
    <t>El usuario no puede programar las llamadas al sistema</t>
  </si>
  <si>
    <t>¿Cuántos registros de entrada tiene un operador diádico?</t>
  </si>
  <si>
    <t>Tres</t>
  </si>
  <si>
    <t>Dos</t>
  </si>
  <si>
    <t>Cuatro</t>
  </si>
  <si>
    <t>Uno</t>
  </si>
  <si>
    <t>¿Cuál de los siguientes niveles de cache está más próximo a la CPU?</t>
  </si>
  <si>
    <t>L4</t>
  </si>
  <si>
    <t>L3</t>
  </si>
  <si>
    <t>L2</t>
  </si>
  <si>
    <t>L1</t>
  </si>
  <si>
    <t>¿Cuál de las siguientes memorias es más rápida?</t>
  </si>
  <si>
    <t>Cache</t>
  </si>
  <si>
    <t>Secundaria</t>
  </si>
  <si>
    <t>Principal</t>
  </si>
  <si>
    <t>Registro</t>
  </si>
  <si>
    <t>FH</t>
  </si>
  <si>
    <t>¿Cuántos puertos USB frontales tengo con dos cabeceras USB?</t>
  </si>
  <si>
    <t>Ninguno</t>
  </si>
  <si>
    <t>¿Qué parte del chipset tiene comunicación directa con el microprocesador?</t>
  </si>
  <si>
    <t>El puente este</t>
  </si>
  <si>
    <t>El puente norte</t>
  </si>
  <si>
    <t>El puente sur</t>
  </si>
  <si>
    <t>El chipset no se comunica con el micro</t>
  </si>
  <si>
    <t>De los zócalos de memoria siguientes ¿Cuál tiene un ancho de bus máximo de 32 bits?</t>
  </si>
  <si>
    <t>SO-DIMM de 144 contactos</t>
  </si>
  <si>
    <t>SIMM</t>
  </si>
  <si>
    <t>Ninguno de los anteriores</t>
  </si>
  <si>
    <t>DIMM</t>
  </si>
  <si>
    <t>¿Cuál de las siguientes gamas de slots está en desuso?</t>
  </si>
  <si>
    <t>Ninguna de las respuestas es correcta</t>
  </si>
  <si>
    <t>PCI-Express</t>
  </si>
  <si>
    <t>PCI</t>
  </si>
  <si>
    <t>ISA</t>
  </si>
  <si>
    <t>Un dispositivo periférico que necesite +5V para funcionar puede tener el siguiente conector de alimentación:</t>
  </si>
  <si>
    <t>Conector PEG 8p</t>
  </si>
  <si>
    <t>Conector Molex 4p</t>
  </si>
  <si>
    <t>Conector PEG 6p</t>
  </si>
  <si>
    <t>Conector EATX12V</t>
  </si>
  <si>
    <t>¿Qué slot PCI-Express se utiliza para la tarjeta gráfica?</t>
  </si>
  <si>
    <t>PCI-E x1</t>
  </si>
  <si>
    <t>PCI-E x16</t>
  </si>
  <si>
    <t>PCI-E x4</t>
  </si>
  <si>
    <t>PCI-E x8</t>
  </si>
  <si>
    <t>¿Cuántas líneas de 12 V proporciona el conector ATX12V 24p?</t>
  </si>
  <si>
    <t>Ninguna</t>
  </si>
  <si>
    <t>¿Cuál de los siguientes factores de forma es más grande?</t>
  </si>
  <si>
    <t>Micro-BTX</t>
  </si>
  <si>
    <t>Micro-ATX</t>
  </si>
  <si>
    <t>WTX</t>
  </si>
  <si>
    <t>Mini-ITX</t>
  </si>
  <si>
    <t>El zócalo SO-DIMM…</t>
  </si>
  <si>
    <t>Es más grande que DIMM</t>
  </si>
  <si>
    <t>Es más grande que SIMM</t>
  </si>
  <si>
    <t>Es más grande que Micro-DIMM</t>
  </si>
  <si>
    <t>Enunciado de la pregunta</t>
  </si>
  <si>
    <t>Gestionar y controlar el bus LPC</t>
  </si>
  <si>
    <t>Gestionar los buses ISA y PCI</t>
  </si>
  <si>
    <t>Gestionar la memoria RAM</t>
  </si>
  <si>
    <t>Controlar el chip especializado de audio</t>
  </si>
  <si>
    <t>El slot de la gama PCI orientado a gráficos es el…</t>
  </si>
  <si>
    <t>PCIe</t>
  </si>
  <si>
    <t>PCIg</t>
  </si>
  <si>
    <t>PCIv</t>
  </si>
  <si>
    <t>El tamaño de la placa (305x244 mm) corresponde a un factor de forma</t>
  </si>
  <si>
    <t>Nano-ATX</t>
  </si>
  <si>
    <t>ATX</t>
  </si>
  <si>
    <t>Si un ordenador tuviera en su placa base toda la gama de slots ISA y si tuvieras que comprar una tarjeta gráfica para ese ordenador, ¿Para qué slot la comprarías?</t>
  </si>
  <si>
    <t>AT</t>
  </si>
  <si>
    <t>XT</t>
  </si>
  <si>
    <t>EISA</t>
  </si>
  <si>
    <t>VESA</t>
  </si>
  <si>
    <t>¿Cuál de las siguientes opciones realiza el Puente Norte?</t>
  </si>
  <si>
    <t>En el chipset de nueva generación…</t>
  </si>
  <si>
    <t>PCH sustituye al puente sur</t>
  </si>
  <si>
    <t>Se utiliza un canal FSB</t>
  </si>
  <si>
    <t>El puente sur desaparece</t>
  </si>
  <si>
    <t>El tipo de conexión del socket más común en los modelos modernos es:</t>
  </si>
  <si>
    <t>LGA</t>
  </si>
  <si>
    <t>ZIF</t>
  </si>
  <si>
    <t>LDA</t>
  </si>
  <si>
    <t>ZIP</t>
  </si>
  <si>
    <t xml:space="preserve">¿Qué modelo de caja se utiliza para albergar servidores? </t>
  </si>
  <si>
    <t>Semitorre.</t>
  </si>
  <si>
    <t>Sobremesa.</t>
  </si>
  <si>
    <t xml:space="preserve">Slim. </t>
  </si>
  <si>
    <t>Gran Torre.</t>
  </si>
  <si>
    <t>¿En qué componente puede encontrarse un conector Molex 4p?</t>
  </si>
  <si>
    <t>En la fuente de alimentación.</t>
  </si>
  <si>
    <t>En la memoria RAM.</t>
  </si>
  <si>
    <t>En la tarjeta de red.</t>
  </si>
  <si>
    <t>En el ventilador.</t>
  </si>
  <si>
    <t>¿Qué pareja está formada por sistemas de refrigeración de tipo pasivo?</t>
  </si>
  <si>
    <t>La pasta térmica y el ventilador.</t>
  </si>
  <si>
    <t>El ventilador y la refrigeración líquida.</t>
  </si>
  <si>
    <t>La pasta térmica y el disipador.</t>
  </si>
  <si>
    <t xml:space="preserve">El disipador y el ventilador. </t>
  </si>
  <si>
    <t xml:space="preserve">¿Cuál de los siguientes módulos de memoria tiene dos muescas? </t>
  </si>
  <si>
    <t xml:space="preserve">DDR2. </t>
  </si>
  <si>
    <t>DDR.</t>
  </si>
  <si>
    <t>SDR.</t>
  </si>
  <si>
    <t>DDR3.</t>
  </si>
  <si>
    <t xml:space="preserve">¿Qué tipo de memoria es una PC2-6400? </t>
  </si>
  <si>
    <t>DDR2.</t>
  </si>
  <si>
    <t xml:space="preserve"> ¿Qué arquitectura de microprocesador alberga un mayor número de instrucciones?</t>
  </si>
  <si>
    <t>Todas por igual.</t>
  </si>
  <si>
    <t>RISC.</t>
  </si>
  <si>
    <t>Híbrida CISC/RISC.</t>
  </si>
  <si>
    <t>CISC.</t>
  </si>
  <si>
    <t xml:space="preserve">¿Cuál de los siguientes módulos de memoria es más rápido? </t>
  </si>
  <si>
    <t>So-DIMM DDR2.</t>
  </si>
  <si>
    <t>¿Cuál de los siguientes casos no encontrarías en un soporte óptico?</t>
  </si>
  <si>
    <t>Un CD de 4,7 Gb.</t>
  </si>
  <si>
    <t>Una memoria flash disk de 8 Gb.</t>
  </si>
  <si>
    <t>Un DVD de 9,4 Gb.</t>
  </si>
  <si>
    <t xml:space="preserve">Un CD de 800 Mb. </t>
  </si>
  <si>
    <t>¿En qué tipo de memoria están basadas en flash disk?</t>
  </si>
  <si>
    <t>Memoria EPROM.</t>
  </si>
  <si>
    <t>Memoria ROM.</t>
  </si>
  <si>
    <t xml:space="preserve">Memoria EEPROM. </t>
  </si>
  <si>
    <t>Memoria RAM.</t>
  </si>
  <si>
    <t xml:space="preserve"> ¿Qué tarjetas de expansión puede disponer de memoria RAM propia? </t>
  </si>
  <si>
    <t>La tarjeta gráfica.</t>
  </si>
  <si>
    <t>La tarjeta de expansión de puerto USB.</t>
  </si>
  <si>
    <t>Tarjeta de sonido.</t>
  </si>
  <si>
    <t>La tarjeta de expansión de puerto Firewire.</t>
  </si>
  <si>
    <t xml:space="preserve">¿Qué tipo de conector no dispone de carcasa para recubrir los pines? </t>
  </si>
  <si>
    <t>DIN.</t>
  </si>
  <si>
    <t>D-Sub.</t>
  </si>
  <si>
    <t>HDMI.</t>
  </si>
  <si>
    <t>Jack.</t>
  </si>
  <si>
    <t xml:space="preserve"> ¿Cuál de las siguientes parejas puerto-conector no es correcta? </t>
  </si>
  <si>
    <t>COM y DE-9M.</t>
  </si>
  <si>
    <t>LPT y DB-25F.</t>
  </si>
  <si>
    <t>DVI y DA-23M.</t>
  </si>
  <si>
    <t>VGA y DE-15F</t>
  </si>
  <si>
    <t>¿Qué puerto no ofrece conexión plug-and-play?</t>
  </si>
  <si>
    <t xml:space="preserve">Firewire. </t>
  </si>
  <si>
    <t>LPT.</t>
  </si>
  <si>
    <t>USB 1.0.</t>
  </si>
  <si>
    <t>USB 2.0.</t>
  </si>
  <si>
    <t xml:space="preserve">El conector Firewire permite: </t>
  </si>
  <si>
    <t>Conectar hasta 127 dispositivos en serie.</t>
  </si>
  <si>
    <t>Conectar hasta 63 dispositivos en paralelo.</t>
  </si>
  <si>
    <t xml:space="preserve">Conectar hasta 63 dispositivos en serie. </t>
  </si>
  <si>
    <t>Conectar hasta 127 dispositivos en paralelo.</t>
  </si>
  <si>
    <t xml:space="preserve">¿Dónde suele encontrarse el puerto DVI? </t>
  </si>
  <si>
    <t>En reproductores de música.</t>
  </si>
  <si>
    <t>En cámaras digitales.</t>
  </si>
  <si>
    <t>En monitores LCD.</t>
  </si>
  <si>
    <t>En monitores CRT.</t>
  </si>
  <si>
    <t>¿Qué puerto es el sustituto del euroconector?</t>
  </si>
  <si>
    <t>RCA.</t>
  </si>
  <si>
    <t>DVI.</t>
  </si>
  <si>
    <t xml:space="preserve"> ¿Cuál es la combinación estándar de colores en los puertos para audio? </t>
  </si>
  <si>
    <t xml:space="preserve">Rosa, azul, verde y amarillo. </t>
  </si>
  <si>
    <t>Rosa, azul y verde.</t>
  </si>
  <si>
    <t>Rosa, azul y amarillo.</t>
  </si>
  <si>
    <t>Verde, azul y amarillo.</t>
  </si>
  <si>
    <t xml:space="preserve">¿Cuál de los siguientes conectores se corresponde con un puerto 8P? </t>
  </si>
  <si>
    <t>RJ-11.</t>
  </si>
  <si>
    <t>RJ-45.</t>
  </si>
  <si>
    <t>RJ-25.</t>
  </si>
  <si>
    <t>RJ-12.</t>
  </si>
  <si>
    <t>¿Cuál de las siguientes especificaciones se asocia al estándar ZigBee?</t>
  </si>
  <si>
    <t xml:space="preserve">IEEE 1394. </t>
  </si>
  <si>
    <t>IEEE 802.15.4.</t>
  </si>
  <si>
    <t>IEEE 802.11.</t>
  </si>
  <si>
    <t>IrDA.</t>
  </si>
  <si>
    <t xml:space="preserve"> De los siguientes conectores IDE, ¿cuál está destinado a la conexión de una disquetera?</t>
  </si>
  <si>
    <t>39p.</t>
  </si>
  <si>
    <t>34p.</t>
  </si>
  <si>
    <t>44p.</t>
  </si>
  <si>
    <t>40p.</t>
  </si>
  <si>
    <t xml:space="preserve"> ¿Cuál no se considera un dispositivo apuntador? </t>
  </si>
  <si>
    <t>El ratón electromecánico.</t>
  </si>
  <si>
    <t>El joystick.</t>
  </si>
  <si>
    <t xml:space="preserve">El lector OMR. </t>
  </si>
  <si>
    <t>El trackball.</t>
  </si>
  <si>
    <t xml:space="preserve">¿Cuáles de las siguientes no son variantes de tabletas digitalizadoras? </t>
  </si>
  <si>
    <t xml:space="preserve">Una tablet PC. </t>
  </si>
  <si>
    <t>Una pizarra digital.</t>
  </si>
  <si>
    <t>Una videoconsola Nintendo DS.</t>
  </si>
  <si>
    <t>Un ordenador con pantalla CRT.</t>
  </si>
  <si>
    <t xml:space="preserve">  ¿Qué variante de ratón de portátil puede ser desplazado respecto al equipo? </t>
  </si>
  <si>
    <t xml:space="preserve">Ninguna de las respuestas es correcta. </t>
  </si>
  <si>
    <t>El trackpoint.</t>
  </si>
  <si>
    <t>El scroll.</t>
  </si>
  <si>
    <t>El touchpad.</t>
  </si>
  <si>
    <t xml:space="preserve">¿Cuál no es un grupo de teclas como tal? </t>
  </si>
  <si>
    <t xml:space="preserve"> Las teclas numéricas.</t>
  </si>
  <si>
    <t xml:space="preserve">Las teclas multimedia. </t>
  </si>
  <si>
    <t>Las teclas alfanuméricas.</t>
  </si>
  <si>
    <t>Las teclas alfabéticas.</t>
  </si>
  <si>
    <t xml:space="preserve">¿Cuál de las siguientes características diferencia una netcam de una webcam? </t>
  </si>
  <si>
    <t>Puede colocarse sobre la pantalla del equipo mediante una pinza.</t>
  </si>
  <si>
    <t xml:space="preserve">La resolución puede ser variable. </t>
  </si>
  <si>
    <t>Tiene un sensor CMOS.</t>
  </si>
  <si>
    <t>Integra un dispositivo de comunicaciones.</t>
  </si>
  <si>
    <t xml:space="preserve"> ¿Cuál no es un periférico de entrada? </t>
  </si>
  <si>
    <t xml:space="preserve">El trackball. </t>
  </si>
  <si>
    <t>El lápiz óptico</t>
  </si>
  <si>
    <t>El plotter.</t>
  </si>
  <si>
    <t>El escáner.</t>
  </si>
  <si>
    <t xml:space="preserve"> ¿Qué tipo de conexión es propia para el ratón?</t>
  </si>
  <si>
    <t>PS/2.</t>
  </si>
  <si>
    <t xml:space="preserve"> ¿Cuál de los siguientes no se considera un tipo de escáner? </t>
  </si>
  <si>
    <t>De sobremesa.</t>
  </si>
  <si>
    <t>De marcas.</t>
  </si>
  <si>
    <t xml:space="preserve">De alimentación. </t>
  </si>
  <si>
    <t>De mano.</t>
  </si>
  <si>
    <t xml:space="preserve">  ¿Cuál de las siguientes afirmaciones no es correcta? </t>
  </si>
  <si>
    <t>Para leer un documento escrito a mano se utilizan los ICR.</t>
  </si>
  <si>
    <t>Para comprobar exámenes de tipo test se utilizan los OMR.</t>
  </si>
  <si>
    <t>Para validar quinielas se utilizan los OMR.</t>
  </si>
  <si>
    <t xml:space="preserve">Para reconocer un documento manuscrito se utilizan los OCR. </t>
  </si>
  <si>
    <t xml:space="preserve">¿A través de qué conexión no se conecta un micrófono? </t>
  </si>
  <si>
    <t xml:space="preserve">Jack de 6,3 mm. </t>
  </si>
  <si>
    <t>USB en micrófonos inalámbricos.</t>
  </si>
  <si>
    <t>Jack de 3,5 mm.</t>
  </si>
  <si>
    <t>D-Sub en micrófonos inalámbricos.</t>
  </si>
  <si>
    <t>De las siguientes conexiones, ¿cuál no es propia de un monitor?</t>
  </si>
  <si>
    <t xml:space="preserve"> VGA.</t>
  </si>
  <si>
    <t xml:space="preserve">  RJ-45. </t>
  </si>
  <si>
    <t xml:space="preserve">¿Cuáles son los colores que componen el sistema RGB? </t>
  </si>
  <si>
    <t>Rojo, azul y amarillo.</t>
  </si>
  <si>
    <t>Rojo, verde y azul.</t>
  </si>
  <si>
    <t>Cian, magenta y amarillo.</t>
  </si>
  <si>
    <t xml:space="preserve">Azul, magenta y verde. </t>
  </si>
  <si>
    <t xml:space="preserve">¿Cuál es el principal componente de un monitor LCD? </t>
  </si>
  <si>
    <t>El fósforo</t>
  </si>
  <si>
    <t>El plasma.</t>
  </si>
  <si>
    <t>El cristal líquido.</t>
  </si>
  <si>
    <t xml:space="preserve"> Los transistores. </t>
  </si>
  <si>
    <t xml:space="preserve"> ¿En qué se mide la velocidad de impresión? </t>
  </si>
  <si>
    <t>En píxeles por pulgada.</t>
  </si>
  <si>
    <t>En páginas por minuto.</t>
  </si>
  <si>
    <t xml:space="preserve">  En caracteres por minuto.</t>
  </si>
  <si>
    <t xml:space="preserve"> En píxeles por centímetro. </t>
  </si>
  <si>
    <t xml:space="preserve">¿De qué está compuesto un cartucho de una impresora láser? </t>
  </si>
  <si>
    <t>De tinta sólida.</t>
  </si>
  <si>
    <t xml:space="preserve"> De polvo de tinta.</t>
  </si>
  <si>
    <t>De tóner</t>
  </si>
  <si>
    <t xml:space="preserve"> De cera de colores. </t>
  </si>
  <si>
    <t xml:space="preserve"> ¿Cuál de las siguientes impresoras no utiliza un papel especial?</t>
  </si>
  <si>
    <t>La impresora térmica.</t>
  </si>
  <si>
    <t xml:space="preserve">  La impresora matricial.</t>
  </si>
  <si>
    <t xml:space="preserve"> La impresora fotográfica.</t>
  </si>
  <si>
    <t xml:space="preserve"> La impresora de inyección de tinta. </t>
  </si>
  <si>
    <t xml:space="preserve"> ¿En qué sistema de color no puede imprimir un plóter? </t>
  </si>
  <si>
    <t>RGB.</t>
  </si>
  <si>
    <t>CMYK.</t>
  </si>
  <si>
    <t>Monocromo.</t>
  </si>
  <si>
    <t xml:space="preserve"> Ocho colores. </t>
  </si>
  <si>
    <t xml:space="preserve">¿Cómo se llama el cabezal que utiliza un plóter para dibujar? </t>
  </si>
  <si>
    <t xml:space="preserve"> Aguja.</t>
  </si>
  <si>
    <t xml:space="preserve"> Inyector.</t>
  </si>
  <si>
    <t>Cabeza de diseño.</t>
  </si>
  <si>
    <t xml:space="preserve"> Plumilla. </t>
  </si>
  <si>
    <t xml:space="preserve">¿Cuál de los siguientes puertos es propio de un sistema de sonido? </t>
  </si>
  <si>
    <t xml:space="preserve"> DVI.</t>
  </si>
  <si>
    <t xml:space="preserve">  VGA.</t>
  </si>
  <si>
    <t>USB.</t>
  </si>
  <si>
    <t xml:space="preserve">¿De cuántos altavoces consta un sistema de sonido 5.1? </t>
  </si>
  <si>
    <t>De dos.</t>
  </si>
  <si>
    <t xml:space="preserve"> De tres.</t>
  </si>
  <si>
    <t>De cuatro.</t>
  </si>
  <si>
    <t xml:space="preserve">De cinco. </t>
  </si>
  <si>
    <t xml:space="preserve"> ¿Cuál de los siguientes elementos no está relacionado con la disposición de la información de un disco duro?</t>
  </si>
  <si>
    <t>Plato.</t>
  </si>
  <si>
    <t>Pista.</t>
  </si>
  <si>
    <t>Valle.</t>
  </si>
  <si>
    <t xml:space="preserve"> Sector. </t>
  </si>
  <si>
    <t xml:space="preserve">¿Cuál es el formato habitual de un disco duro de sobremesa? </t>
  </si>
  <si>
    <t>2 pulgadas</t>
  </si>
  <si>
    <t>2,5 pulgadas.</t>
  </si>
  <si>
    <t xml:space="preserve"> 3 pulgadas.</t>
  </si>
  <si>
    <t xml:space="preserve">3,5 pulgadas. </t>
  </si>
  <si>
    <t xml:space="preserve">¿Cómo se configuran dos discos duros en un ordenador de sobremesa? </t>
  </si>
  <si>
    <t xml:space="preserve"> Uno como master y otro como enabled.</t>
  </si>
  <si>
    <t>Uno como master y otro como slave.</t>
  </si>
  <si>
    <t>Uno como enabled y otro como slave.</t>
  </si>
  <si>
    <t xml:space="preserve"> Ambos como master. </t>
  </si>
  <si>
    <t>¿Cuál es el tamaño de una disquetera?</t>
  </si>
  <si>
    <t>2 pulgadas.</t>
  </si>
  <si>
    <t>3 pulgadas.</t>
  </si>
  <si>
    <t>La lámina magnetizable del disquete está compuesta de un material llamado…</t>
  </si>
  <si>
    <t xml:space="preserve"> Kevlar.</t>
  </si>
  <si>
    <t>Cylar.</t>
  </si>
  <si>
    <t xml:space="preserve"> Policarbonato.</t>
  </si>
  <si>
    <t xml:space="preserve">Mylar. </t>
  </si>
  <si>
    <t>¿Cuál de las siguientes abreviaturas es la correcta para referirse al BluRay?</t>
  </si>
  <si>
    <t>BR.</t>
  </si>
  <si>
    <t>BD.</t>
  </si>
  <si>
    <t>BRD.</t>
  </si>
  <si>
    <t>BDR.</t>
  </si>
  <si>
    <t>¿Qué velocidad es conocida como «flexo»?</t>
  </si>
  <si>
    <t>La velocidad de la luz</t>
  </si>
  <si>
    <t xml:space="preserve"> La velocidad del sonido.</t>
  </si>
  <si>
    <t xml:space="preserve"> 7.200 rpm.</t>
  </si>
  <si>
    <t xml:space="preserve">150 KB/s. </t>
  </si>
  <si>
    <t>¿A qué velocidad escribe una unidad lectora/grabadora x16/ x8/ x32?</t>
  </si>
  <si>
    <t>A x16.</t>
  </si>
  <si>
    <t>A x8.</t>
  </si>
  <si>
    <t>A x32.</t>
  </si>
  <si>
    <t xml:space="preserve">A x56. </t>
  </si>
  <si>
    <t xml:space="preserve">  ¿Cuál de las siguientes no es un tipo de tarjeta de memoria?</t>
  </si>
  <si>
    <t>MS.</t>
  </si>
  <si>
    <t>SD.</t>
  </si>
  <si>
    <t>RD.</t>
  </si>
  <si>
    <t xml:space="preserve">XD. </t>
  </si>
  <si>
    <t xml:space="preserve"> ¿Qué tipo de memoria utiliza un dispositivo de estado sólido? </t>
  </si>
  <si>
    <t>Memoria NAN.</t>
  </si>
  <si>
    <t>Memoria Flash.</t>
  </si>
  <si>
    <t xml:space="preserve">Memoria ROM. </t>
  </si>
  <si>
    <t xml:space="preserve">La colocación de los jumpers del panel frontal se realiza: </t>
  </si>
  <si>
    <t>Comenzando por el más grande.</t>
  </si>
  <si>
    <t>De acuerdo con el esquema del manual</t>
  </si>
  <si>
    <t>Comenzando por el más pequeño.</t>
  </si>
  <si>
    <t xml:space="preserve">Todos a la vez. </t>
  </si>
  <si>
    <t xml:space="preserve">Si instalamos un disco duro SATA y la fuente no tiene ese tipo de conexión, entonces: </t>
  </si>
  <si>
    <t>Puenteamos la conexión manualmente.</t>
  </si>
  <si>
    <t>Utilizamos un conversor de disco duro.</t>
  </si>
  <si>
    <t>Le acoplamos un adaptador IDE-SATA.</t>
  </si>
  <si>
    <t>Conectamos el disco directamente a la placa.</t>
  </si>
  <si>
    <t xml:space="preserve">¿Cómo se abre el socket? </t>
  </si>
  <si>
    <t>Se introduce un código en la BIOS.</t>
  </si>
  <si>
    <t>Levantando una palanca.</t>
  </si>
  <si>
    <t xml:space="preserve"> Pulsando un botón.</t>
  </si>
  <si>
    <t xml:space="preserve">Presionando con el microprocesador. </t>
  </si>
  <si>
    <t xml:space="preserve">Las pestañas de los zócalos de memoria se utilizan para: </t>
  </si>
  <si>
    <t>Introducir la memoria en el zócalo.</t>
  </si>
  <si>
    <t>Extraer la memoria del zócalo.</t>
  </si>
  <si>
    <t xml:space="preserve"> Suministrar corriente a la memoria.</t>
  </si>
  <si>
    <t xml:space="preserve">Evitar que las memorias toquen la placa. </t>
  </si>
  <si>
    <t xml:space="preserve">¿Qué se coloca entre el microprocesador y el disipador? </t>
  </si>
  <si>
    <t>Un ventilador.</t>
  </si>
  <si>
    <t>Un protector de corriente.</t>
  </si>
  <si>
    <t>Masilla térmica.</t>
  </si>
  <si>
    <t xml:space="preserve">Gel antiestático. </t>
  </si>
  <si>
    <t xml:space="preserve"> ¿Cómo se colocan las unidades ópticas en su alojamiento?</t>
  </si>
  <si>
    <t>Desde el exterior hacia el interior.</t>
  </si>
  <si>
    <t>Desde el interior hacia el exterior.</t>
  </si>
  <si>
    <t>Indistintamente, desde dentro o desde fuera.</t>
  </si>
  <si>
    <t xml:space="preserve">Ninguna de las otras respuestas. </t>
  </si>
  <si>
    <t>Por regla general, en la instalación de un monitor hay que utilizar…</t>
  </si>
  <si>
    <t>Un único cable.</t>
  </si>
  <si>
    <t>Dos cables.</t>
  </si>
  <si>
    <t>Tres cables.</t>
  </si>
  <si>
    <t xml:space="preserve"> Más de tres cables. </t>
  </si>
  <si>
    <t>La principal comprobación en la instalación del escáner es:</t>
  </si>
  <si>
    <t>Asegurarse de que hay un papel de prueba.</t>
  </si>
  <si>
    <t>Pulsar el botón de encendido.</t>
  </si>
  <si>
    <t>Quitar la pestaña de bloqueo del carro.</t>
  </si>
  <si>
    <t xml:space="preserve">Que contenga drivers actualizados. </t>
  </si>
  <si>
    <t>¿Podemos instalar un ratón en un puerto PS/2 y un teclado en un puerto USB?</t>
  </si>
  <si>
    <t>No, los dos tienen que ser USB o PS/2.</t>
  </si>
  <si>
    <t>Sí, si lo configuramos así en Windows.</t>
  </si>
  <si>
    <t>No, solo pueden conectarse en USB.</t>
  </si>
  <si>
    <t>Sí, no hay ningún inconveniente.</t>
  </si>
  <si>
    <t>La ventaja de un periférico con conexión plug-and-play es que se puede…</t>
  </si>
  <si>
    <t xml:space="preserve">Conectar con el equipo encendido. </t>
  </si>
  <si>
    <t>Instalar con el equipo apagado.</t>
  </si>
  <si>
    <t>Instalar sin drivers.</t>
  </si>
  <si>
    <t xml:space="preserve"> ¿Qué es el POST? </t>
  </si>
  <si>
    <t xml:space="preserve"> Un circuito alojado en el BIOS.</t>
  </si>
  <si>
    <t>Un programa que arranca Windows.</t>
  </si>
  <si>
    <t>Una parte de la memoria CMOS.</t>
  </si>
  <si>
    <t>Ninguna de las otras respuestas.</t>
  </si>
  <si>
    <t xml:space="preserve">¿Cuál de las siguientes verificaciones NO puede llevarse a cabo desde el BIOS? </t>
  </si>
  <si>
    <t xml:space="preserve"> Voltajes y temperaturas.</t>
  </si>
  <si>
    <t xml:space="preserve"> Microprocesador.</t>
  </si>
  <si>
    <t>Monitor.</t>
  </si>
  <si>
    <t xml:space="preserve">Memoria RAM. </t>
  </si>
  <si>
    <t xml:space="preserve"> Un equipo que lanza dos pitidos cortos y un pitido largo…</t>
  </si>
  <si>
    <t>Tiene fallo en la tarjeta gráfica.</t>
  </si>
  <si>
    <t>Tiene fallo en el monitor.</t>
  </si>
  <si>
    <t>Tiene fallo en la memoria RAM.</t>
  </si>
  <si>
    <t xml:space="preserve">No se sabe el fallo sin ver antes su BIOS. </t>
  </si>
  <si>
    <t xml:space="preserve">  El testeo de una fuente de alimentación debe realizarse utilizando…</t>
  </si>
  <si>
    <t>Un voltímetro.</t>
  </si>
  <si>
    <t>Un multímetro.</t>
  </si>
  <si>
    <t>Un amperímetro.</t>
  </si>
  <si>
    <t xml:space="preserve">Para verificar continuidad de corriente en placa, ¿qué pin del conector ATX se usa? </t>
  </si>
  <si>
    <t>Cualquiera de ellos.</t>
  </si>
  <si>
    <t>Todos ellos.</t>
  </si>
  <si>
    <t>El pin 4.</t>
  </si>
  <si>
    <t xml:space="preserve">El pin 14. </t>
  </si>
  <si>
    <t>La temperatura óptima de un procesador cuya temperatura máxima es de 74 ºC, estará…</t>
  </si>
  <si>
    <t>Entre 50 ºC y 60 ºC.</t>
  </si>
  <si>
    <t>Entre 15 ºC y 37 ºC.</t>
  </si>
  <si>
    <t>Entre 37 ºC y 45 ºC.</t>
  </si>
  <si>
    <t xml:space="preserve"> Entre 64 ºC y 74 ºC. </t>
  </si>
  <si>
    <t>¿Cuál de los siguientes colores es el cable de tierra en una fuente de alimentación?</t>
  </si>
  <si>
    <t>Amarillo.</t>
  </si>
  <si>
    <t>Rojo.</t>
  </si>
  <si>
    <t xml:space="preserve"> Naranja.</t>
  </si>
  <si>
    <t xml:space="preserve"> Negro. </t>
  </si>
  <si>
    <t>¿Para qué tipo de diagnóstico se pueden utilizar AIDA64 y SANDRA?</t>
  </si>
  <si>
    <t>Diagnóstico software.</t>
  </si>
  <si>
    <t>Diagnóstico hardware.</t>
  </si>
  <si>
    <t>Diagnóstico hardware y software.</t>
  </si>
  <si>
    <t xml:space="preserve">Diagnóstico de componentes lógicos. </t>
  </si>
  <si>
    <t xml:space="preserve">¿Qué herramienta específica usaremos para verificar la integridad de los datos? </t>
  </si>
  <si>
    <t>TuneUp.</t>
  </si>
  <si>
    <t>CleanUp.</t>
  </si>
  <si>
    <t>Cualquiera los dos programas.</t>
  </si>
  <si>
    <t xml:space="preserve">¿Cuál es el principal síntoma de que un equipo necesita desfragmentarse? </t>
  </si>
  <si>
    <t>Emite un pitido especial al arrancar.</t>
  </si>
  <si>
    <t>Va más rápido de lo normal.</t>
  </si>
  <si>
    <t>Empieza a parpadear la pantalla.</t>
  </si>
  <si>
    <t xml:space="preserve">¿Qué significado tienen las siglas SIA cuando hablamos de sistemas? </t>
  </si>
  <si>
    <t>Sistemas Independientes Automáticos.</t>
  </si>
  <si>
    <t>Servicios de Información Autónomos.</t>
  </si>
  <si>
    <t>Sistemas de Información Automáticos.</t>
  </si>
  <si>
    <t xml:space="preserve">Servicios Independientes Autónomos. </t>
  </si>
  <si>
    <t xml:space="preserve"> ¿Qué finalidad persigue el mantenimiento de un sistema informático? </t>
  </si>
  <si>
    <t xml:space="preserve"> Alargar la vida del sistema.</t>
  </si>
  <si>
    <t xml:space="preserve"> Evitar pérdidas de información.</t>
  </si>
  <si>
    <t>Cualquiera de las anteriores.</t>
  </si>
  <si>
    <t xml:space="preserve"> En España, para mantener un sistema de información se utiliza la metodología…</t>
  </si>
  <si>
    <t>Merise.</t>
  </si>
  <si>
    <t>SisInf.</t>
  </si>
  <si>
    <t>SSADM.</t>
  </si>
  <si>
    <t>METRICA.</t>
  </si>
  <si>
    <t xml:space="preserve">¿Cuál de los siguientes NO es un nivel de mantenimiento de un sistema informático? </t>
  </si>
  <si>
    <t>Nivel de personal.</t>
  </si>
  <si>
    <t>Nivel hardware.</t>
  </si>
  <si>
    <t>Nivel software.</t>
  </si>
  <si>
    <t>Nivel de documentación.</t>
  </si>
  <si>
    <t xml:space="preserve"> El indicador de temperatura correspondería al mantenimiento…</t>
  </si>
  <si>
    <t xml:space="preserve"> Preventivo.</t>
  </si>
  <si>
    <t>Correctivo.</t>
  </si>
  <si>
    <t>Predictivo.</t>
  </si>
  <si>
    <t xml:space="preserve"> Ambiental. </t>
  </si>
  <si>
    <t>Evitar que un equipo se coloque cerca de un radiador sería una medida de mantenimiento…</t>
  </si>
  <si>
    <t>Predictivo activo.</t>
  </si>
  <si>
    <t>Preventivo activo.</t>
  </si>
  <si>
    <t xml:space="preserve"> Correctivo pasivo.</t>
  </si>
  <si>
    <t xml:space="preserve"> Preventivo pasivo. </t>
  </si>
  <si>
    <t>Si no suplimos un componente hasta que se avería, es una medida de mantenimiento…</t>
  </si>
  <si>
    <t>Predictivo a plazo fijo.</t>
  </si>
  <si>
    <t>Preventivo a plazo fijo.</t>
  </si>
  <si>
    <t>Correctivo a plazo fijo.</t>
  </si>
  <si>
    <t xml:space="preserve">Correctivo a plazo variable. </t>
  </si>
  <si>
    <t xml:space="preserve">¿De qué depende la frecuencia con la que se realiza el mantenimiento de un sistema? </t>
  </si>
  <si>
    <t>De lo importante que sea la empresa.</t>
  </si>
  <si>
    <t>De lo cerca que estén de nosotros.</t>
  </si>
  <si>
    <t>De la cantidad de virus que existan.</t>
  </si>
  <si>
    <t xml:space="preserve">  Las aplicaciones que aparecen en la parte derecha de la barra de tareas son…</t>
  </si>
  <si>
    <t xml:space="preserve"> Virus.</t>
  </si>
  <si>
    <t>Herramientas de tareas.</t>
  </si>
  <si>
    <t>Residentes.</t>
  </si>
  <si>
    <t xml:space="preserve">Programas indispensables. </t>
  </si>
  <si>
    <t>Si el sistema detecta actualizaciones y el usuario las instala, la gestión es…</t>
  </si>
  <si>
    <t>Automática.</t>
  </si>
  <si>
    <t>Semiautomática.</t>
  </si>
  <si>
    <t xml:space="preserve"> Manual.</t>
  </si>
  <si>
    <t xml:space="preserve"> Dependiente del técnico informático. </t>
  </si>
  <si>
    <t>1 .-¿Cuál es el posible error si la temperatura del sistema no es correcta, pero sí lo es la frecuencia del procesador?</t>
  </si>
  <si>
    <t>2 .-¿Dónde se encuentra el error si oímos seis pitidos cortos?</t>
  </si>
  <si>
    <t>3 .-¿Qué falla si al instalar un SO, cada vez falla en un punto diferente de la instalación?</t>
  </si>
  <si>
    <t xml:space="preserve">4 .-¿Dónde se encuentra el error si se muestra el siguiente mensaje: CMOS battery failed? </t>
  </si>
  <si>
    <t>5 .-¿Qué afirmación es correcta a la hora de instalar módulos en zócalos de memoria?</t>
  </si>
  <si>
    <t>6 .-¿A partir de qué temperatura se puede sospechar un posible problema en la refrigeración?</t>
  </si>
  <si>
    <t>7 .-¿Qué elemento de la placa base no puede sustituirse por una tarjeta de expansión?</t>
  </si>
  <si>
    <t>8 .-Si la BIOS no salva las modificaciones en la configuración, el problema se encuentra en…</t>
  </si>
  <si>
    <t xml:space="preserve">9 .-¿Qué herramienta utilizamos para detectar un posible fallo en la fuente de alimentación? </t>
  </si>
  <si>
    <t xml:space="preserve">10 .-¿En qué varían las fuentes de alimentación diseñadas para cajas inferiores a la ATX? </t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</si>
  <si>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En la memoria RAM.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</si>
  <si>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En la fuente de alimentación.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</si>
  <si>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En el microprocesador.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</si>
  <si>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el ratón.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</si>
  <si>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la tarjeta gráfica.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</si>
  <si>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Ninguna de las otras respuestas.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</si>
  <si>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El microprocesador.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</si>
  <si>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El propio sistema operativo.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</si>
  <si>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El disco duro donde estamos instalando el sistema operativo.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</si>
  <si>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el chipset.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</si>
  <si>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En la BIOS.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</si>
  <si>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la CMOS.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</si>
  <si>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Primero hay que insertar los módulos en zócalos numéricamente más altos.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</si>
  <si>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Primero hay que insertar los módulos numéricamente más bajos en los zócalos correspondientes.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</si>
  <si>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Primero hay que insertar los módulos numéricamente más altos en los zócalos correspondientes.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</si>
  <si>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35 ºC.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</si>
  <si>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60 ºC.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</si>
  <si>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45 ºC.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</si>
  <si>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La tarjeta de red.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</si>
  <si>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La tarjeta de sonido.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</si>
  <si>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Los puertos USB.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</si>
  <si>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El jumper maestro-esclavo.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</si>
  <si>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ninguno de las otras respuestas.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</si>
  <si>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Un testómetro.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</si>
  <si>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Un termómetro.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</si>
  <si>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la forma.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</si>
  <si>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la cantidad y tipo de conectores.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</si>
  <si>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Todas las respuestas son falsas.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</si>
  <si>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la refrigeración del sistema.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</si>
  <si>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En el teclado.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</si>
  <si>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La memoria RAM.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</si>
  <si>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En la pila.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</si>
  <si>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Primero hay que insertar los módulos en zócalos numéricamente más bajos.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</si>
  <si>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50 ºC.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</si>
  <si>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El socket del microprocesador.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</si>
  <si>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el jumper jav.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</si>
  <si>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Un polímetro.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</si>
  <si>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la forma, la cantidad y tipo de conectores. </t>
    </r>
  </si>
  <si>
    <t>1 .-¿Qué precaución es fundamental para realizar el mantenimiento de un periférico?</t>
  </si>
  <si>
    <t>2 .- ¿Qué elemento no deben utilizarse en el interior de la caja de un ordenador?</t>
  </si>
  <si>
    <t xml:space="preserve">3 .- ¿Cuál de los siguientes elementos no se utiliza para limpiar la pantalla de un monitor? </t>
  </si>
  <si>
    <t>4 .-¿Para qué sirve una bombilla de Jebe?</t>
  </si>
  <si>
    <t>5 .-¿Cuál de las afirmaciones siguientes no es una medida preventiva para evitar el deterioro de un disco óptico?</t>
  </si>
  <si>
    <t>6 .-¿En qué escáner hay que realizar la limpieza de la bandeja y el paso de los rodillos?</t>
  </si>
  <si>
    <t>7 .-¿Qué se puede utilizar para limpiar la lente de una webcam?</t>
  </si>
  <si>
    <t>8 .-¿Qué frecuencias de limpieza no se corresponde con el tipo de ambiente indicado?</t>
  </si>
  <si>
    <t xml:space="preserve">Ambiente muy sucio – de 6 a 12 veces al año. </t>
  </si>
  <si>
    <t xml:space="preserve">Ambiente limpio – 2 veces al año. </t>
  </si>
  <si>
    <t xml:space="preserve">Ambiente muy limpio – nunca. </t>
  </si>
  <si>
    <t xml:space="preserve">Ambiente variable – 3 veces al año. </t>
  </si>
  <si>
    <t>9 .-¿Qué medida preventiva evita que se manche la lente del lector/reproductor óptico?</t>
  </si>
  <si>
    <t xml:space="preserve">10 .- ¿En qué elemento se usan las hojas especiales de limpieza? </t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</si>
  <si>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Ninguna de las otras respuestas.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</si>
  <si>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Que se encuentre en un lugar fresco y seco.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</si>
  <si>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Que el componente esté desconectado de la corriente eléctrica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</si>
  <si>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Que el componente esté conectado al equipo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</si>
  <si>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Utilizar un guante de kevlar.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</si>
  <si>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Aceite lubricante.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</si>
  <si>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Líquido limpiador.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</si>
  <si>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Un bote de aire comprimido.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</si>
  <si>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Brochas y pinceles.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</si>
  <si>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Paño antiestático.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</si>
  <si>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Toallitas especiales.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</si>
  <si>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Paño humedecido.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</si>
  <si>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Alcohol isopropílico.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</si>
  <si>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Para iluminar la superficie de trabajo.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</si>
  <si>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Para limpiar el teclado.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</si>
  <si>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Para el carro del escáner con el que se captan las imágenes.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</si>
  <si>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Para limpiar la impresora.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</si>
  <si>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Evitar dejar el soporte sobre superficies lisas.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</si>
  <si>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Evitar su exposición directa al sol.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</si>
  <si>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Para escribir sobre el soporte utilizar rotuladores destinados a tal fin.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</si>
  <si>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No excederse en la colocación de etiquetas.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</si>
  <si>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En un escáner de sobremesa convencional.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</si>
  <si>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En un escáner de alimentación.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</si>
  <si>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lectores de códigos de barras.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</si>
  <si>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Ninguna de las otras respuestas.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</si>
  <si>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Un bastoncillo húmedo.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</si>
  <si>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Una esponja de baño.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</si>
  <si>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Un papel especial de limpieza. 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</si>
  <si>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Utilizar discos ópticos sin etiquetas.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</si>
  <si>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No introducir discos ópticos cuyas letras hayan sido escritas con rotulador de CD.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</si>
  <si>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No introducir un disco óptico que esté sucio.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</si>
  <si>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Ninguna de las otras respuestas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</si>
  <si>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los soportes ópticos (CD, DVD, etc.).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</si>
  <si>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el escáner.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</si>
  <si>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 xml:space="preserve">En las impresoras láser. </t>
    </r>
  </si>
  <si>
    <r>
      <t>·</t>
    </r>
    <r>
      <rPr>
        <sz val="12"/>
        <rFont val="Times New Roman"/>
      </rPr>
      <t xml:space="preserve">       </t>
    </r>
    <r>
      <rPr>
        <sz val="12"/>
        <rFont val="Arial"/>
      </rPr>
      <t>En las impresoras de inyección de tinta.</t>
    </r>
  </si>
  <si>
    <t>1 .-¿Qué libertad del software libre es: «Libertad para modificar la autoría del programa»?</t>
  </si>
  <si>
    <t xml:space="preserve">2 .-¿Cuál de las siguientes parejas de tipo de software-software no es correcta? </t>
  </si>
  <si>
    <t xml:space="preserve">3 .- ¿Cuál de las siguientes licencias tiene el gestor de correo Thunderbird? </t>
  </si>
  <si>
    <t xml:space="preserve">4 .-Cuando una aplicación puede distribuirse con varias licencias, ¿cómo se denomina? </t>
  </si>
  <si>
    <t>5 .- ¿Qué licencia es adquirida para cada uno de los equipos en los que se instalará el software?</t>
  </si>
  <si>
    <t>6 .-¿Cuál de las siguientes no es una característica de la Licencia de Usuario Final (EULA)?</t>
  </si>
  <si>
    <t>7 .-¿Cuál de los siguientes NO es software «no libre»?</t>
  </si>
  <si>
    <t>8 .-¿A qué tipo de copyleft nos referimos cuando parte de las restricciones de la licencia pueden ser modificadas en futuras versiones?</t>
  </si>
  <si>
    <t xml:space="preserve">9 .-¿Cuál de las siguientes afirmaciones no es correcta? </t>
  </si>
  <si>
    <t xml:space="preserve">10 .-¿Cuál de las siguientes instalaciones es más cómoda para el usuario? </t>
  </si>
  <si>
    <t>Todas las anteriores son igual de cómodas.</t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</si>
  <si>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A la libertad 0.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</si>
  <si>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A la libertad 3.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</si>
  <si>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Esa es una libertad del software privativo.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</si>
  <si>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Software de base-Controlador de dispositivo.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</si>
  <si>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Software de programación-Enlazador.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</si>
  <si>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Software de aplicación-Software empresarial.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</si>
  <si>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BSD.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</si>
  <si>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LGPL.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</si>
  <si>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Copyleft.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</si>
  <si>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Licencia de usuario final.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</si>
  <si>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Licencia variable.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</si>
  <si>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La CAL de dispositivo.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</si>
  <si>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La device CAL.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</si>
  <si>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Todas son falsas.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</si>
  <si>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La copia del software está prohibida.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</si>
  <si>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Dispone de garantía.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</si>
  <si>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Puede ser transferida solo una vez a otro usuario.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</si>
  <si>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Freeware.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</si>
  <si>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Shareware.</t>
    </r>
  </si>
  <si>
    <r>
      <t>·</t>
    </r>
    <r>
      <rPr>
        <sz val="7"/>
        <rFont val="Times New Roman"/>
      </rPr>
      <t xml:space="preserve">      </t>
    </r>
    <r>
      <rPr>
        <sz val="9"/>
        <rFont val="Arial"/>
      </rPr>
      <t xml:space="preserve">Software privativo.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</si>
  <si>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Copyleft fuerte.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</si>
  <si>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Copyleft débil.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</si>
  <si>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Copyleft completo.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</si>
  <si>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El software comercial puede ser libre.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</si>
  <si>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El software de dominio público puede no ser libre.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</si>
  <si>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El software no comercial puede no ser libre.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</si>
  <si>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La instalación remota.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</si>
  <si>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La instalación avanzada.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</si>
  <si>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Ninguna de las otras respuestas es correcta.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</si>
  <si>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Software de base-Base de datos.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</si>
  <si>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MPL.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</si>
  <si>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Multilicencia.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</si>
  <si>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Cualquiera de las anteriores.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</si>
  <si>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Los contratos siempre se realizan por escrito.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</si>
  <si>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Software de dominio público.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</si>
  <si>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Copyleft parcial.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</si>
  <si>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El software de dominio público siempre es libre.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</si>
  <si>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La instalación desatendida</t>
    </r>
  </si>
  <si>
    <t>1 .-La división más pequeña de un disco duro se llama…</t>
  </si>
  <si>
    <t xml:space="preserve">2 .-¿Cuál de las siguientes particiones se puede establecer cómo activa? </t>
  </si>
  <si>
    <t>3 .-Una partición destinada exclusivamente a datos puede ser…</t>
  </si>
  <si>
    <t>4 .- Para instalar Windows 7 en un equipo debemos formatear el disco con un sistema archivos…</t>
  </si>
  <si>
    <t>5 .- Para que dos particiones puedan fusionarse es necesario que…</t>
  </si>
  <si>
    <t>6 .- ¿Cuál de las siguientes operaciones puede llevarse a cabo entre varios discos?</t>
  </si>
  <si>
    <t>7 .- Mediante la opción de conversión de particiones puedo convertir…</t>
  </si>
  <si>
    <t>8 .- Si hablamos de formateo físico nos referimos a un formateo a…</t>
  </si>
  <si>
    <t xml:space="preserve">9 .- El RAID 0 se corresponde con... </t>
  </si>
  <si>
    <t xml:space="preserve">10 .-¿Cuál es la secuencia para preparar un disco para que pueda ser utilizado? </t>
  </si>
  <si>
    <t>Ninguna de las otras respuestas</t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</si>
  <si>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Cilindro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</si>
  <si>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Pista.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</si>
  <si>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Cabeza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</si>
  <si>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Partición lógica.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</si>
  <si>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Partición extendida.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</si>
  <si>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Cualquiera de las otras respuestas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</si>
  <si>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Primaria.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</si>
  <si>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Lógica.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</si>
  <si>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Ninguna de las dos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</si>
  <si>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FAT32.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</si>
  <si>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ext3.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</si>
  <si>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Cualquiera de las otras respuestas.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</si>
  <si>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Tengan el mismo tamaño.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</si>
  <si>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Tengan el mismo sistema de archivos.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</si>
  <si>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Todas las anteriores.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</si>
  <si>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Fusión de particiones.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</si>
  <si>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Desplazamiento de particiones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</si>
  <si>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La partición primaria en extendida.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</si>
  <si>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La partición extendida en lógica.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</si>
  <si>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Ninguna de las otras respuestas.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</si>
  <si>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Alto nivel.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</si>
  <si>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Medio nivel.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</si>
  <si>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El volumen distribuido.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</si>
  <si>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El volumen reflejado.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</si>
  <si>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 xml:space="preserve">El volumen simple. 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</si>
  <si>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1º formateo–2º particionado.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</si>
  <si>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Se pueden hacer en cualquier orden.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</si>
  <si>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Sector.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</si>
  <si>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Partición primaria.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</si>
  <si>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Cualquiera de las dos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</si>
  <si>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NTFS.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</si>
  <si>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Sean contiguas.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</si>
  <si>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Copia de particiones.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</si>
  <si>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La partición lógica en primaria.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</si>
  <si>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Bajo nivel.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</si>
  <si>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El volumen seccionado.</t>
    </r>
  </si>
  <si>
    <r>
      <t>·</t>
    </r>
    <r>
      <rPr>
        <sz val="7"/>
        <rFont val="Times New Roman"/>
      </rPr>
      <t xml:space="preserve">       </t>
    </r>
    <r>
      <rPr>
        <sz val="9"/>
        <rFont val="Arial"/>
      </rPr>
      <t>1º particionado–2º formateo.</t>
    </r>
  </si>
  <si>
    <t xml:space="preserve">1 .- ¿Qué tipo de memoria es una PC2-6400? </t>
  </si>
  <si>
    <t>•</t>
  </si>
  <si>
    <t xml:space="preserve">2 .- ¿Qué tipo de conector no dispone de carcasa para recubrir los pines? </t>
  </si>
  <si>
    <t>3 .- ¿Cuál de las siguientes unidades de memoria es la de más capacidad?</t>
  </si>
  <si>
    <t>Auxiliar</t>
  </si>
  <si>
    <t>Registros</t>
  </si>
  <si>
    <t>4 .- El elemento encargado de sincronizar las acciones del equipo es el:</t>
  </si>
  <si>
    <t>5 .- ¿Cuál de las siguientes opciones realiza el Puente Norte?</t>
  </si>
  <si>
    <t>6 .- ¿Para qué sirve el Chipset Puente Norte?</t>
  </si>
  <si>
    <t>Ayuda a la memoria a que a transmitir la información más rápido.</t>
  </si>
  <si>
    <t>Ayuda al procesador a gestionar la memoria y la gráfica.</t>
  </si>
  <si>
    <t>Ayuda a procesador a tomar decisiones y a realizar cálculos.</t>
  </si>
  <si>
    <t>Ayuda a los periféricos a trabajar más seguro.</t>
  </si>
  <si>
    <t>7 .- ¿Qué pareja está formada por sistemas de refrigeración de tipo pasivo?</t>
  </si>
  <si>
    <t>La pasta térmica y el disipador</t>
  </si>
  <si>
    <t>8 .- ¿Cuál es el nombre que recibe el nuevo tipo de BIOS que se están instalando en los nuevos ordenadores?</t>
  </si>
  <si>
    <t>Super BIOS</t>
  </si>
  <si>
    <t>UEFI</t>
  </si>
  <si>
    <t>BIOS 2.0</t>
  </si>
  <si>
    <t>DUALBIOS</t>
  </si>
  <si>
    <t>9 .- La BIOS es un:</t>
  </si>
  <si>
    <t>Chip de Silicio</t>
  </si>
  <si>
    <t>Chip de memoria EPROM</t>
  </si>
  <si>
    <t>Chip de memoria ROM</t>
  </si>
  <si>
    <t>Chip de memoria FLASH</t>
  </si>
  <si>
    <t>10 .- ¿De las siguientes afirmaciones cuál o cuáles son correctas?</t>
  </si>
  <si>
    <t>El microprocesador carece de funcionalidad sin el chipset. El chipset suele estar compuesto por dos circuitos: puente norte y puente sur.</t>
  </si>
  <si>
    <t>Verdadera, II. Falsa</t>
  </si>
  <si>
    <t>Falsa, II. Verdadera</t>
  </si>
  <si>
    <t>Falsa, II. Falsa</t>
  </si>
  <si>
    <t>Verdadera, II. Verdadera</t>
  </si>
  <si>
    <t>11 .- ¿Qué es la CPU y que unidades funcionales la componen?</t>
  </si>
  <si>
    <t>Es la encargada de realizar las operaciones matemáticas y lógicas. La componen la UC y UM.</t>
  </si>
  <si>
    <t>Es la encargada de almacenar los datos y las instrucciones. La componen la UC y la UAL.</t>
  </si>
  <si>
    <t>Es la encargada de realizar las operaciones de instrucción y extracción de información del ordenador. La componen la CPU, el Teclado, el ratón y el monitor.</t>
  </si>
  <si>
    <t>Es la encargada de gestionar y realizar las operaciones necesarias para un fin. La componen la UC y la UAL.</t>
  </si>
  <si>
    <t>12 .- El tipo de conexión del socket más común en los modelos modernos es:</t>
  </si>
  <si>
    <t>13 .- ¿Cuál de los siguientes niveles de cache está más próximo a la CPU?</t>
  </si>
  <si>
    <t>14 .- ¿Actualmente que slot se suele dedicar a la tarjeta gráfica?</t>
  </si>
  <si>
    <t>PCIe x32</t>
  </si>
  <si>
    <t>AGP</t>
  </si>
  <si>
    <t>PCIe x16</t>
  </si>
  <si>
    <t>AGP Pro</t>
  </si>
  <si>
    <t>15 .- El slot de la gama PCI orientado a gráficos es el…</t>
  </si>
  <si>
    <t xml:space="preserve">16 .- ¿Cuál de los siguientes módulos de memoria es más rápido? </t>
  </si>
  <si>
    <t>17 .- ¿Podemos poner a trabajar conjuntamente dos tarjetas gráficas con sistemas diferentes (SLI / Crossfire) en cualquier placa base?</t>
  </si>
  <si>
    <t>Sí, siempre que haya al menos dos slot PCI-Express x16.</t>
  </si>
  <si>
    <t>No. Porque solo las placas más modernas puede combinar los dos sistemas.</t>
  </si>
  <si>
    <t>No. Porque siempre hay que utilizar gráficas con el mismo sistema SLI o Crossfire.</t>
  </si>
  <si>
    <t>Si. En todos los casos</t>
  </si>
  <si>
    <t xml:space="preserve">18 .-  ¿Cuál es la combinación estándar de colores en los puertos para audio? </t>
  </si>
  <si>
    <t>Verde, azul y amarillo</t>
  </si>
  <si>
    <t xml:space="preserve">Rosa, azul, verde y amarillo </t>
  </si>
  <si>
    <t>Rosa, azul y amarillo</t>
  </si>
  <si>
    <t>Rosa, azul y verde</t>
  </si>
  <si>
    <t xml:space="preserve">19 .- ¿Cuál de las siguientes especificaciones se asocia al estándar ZigBee? </t>
  </si>
  <si>
    <t xml:space="preserve">20 .- ¿Qué es la GPU? </t>
  </si>
  <si>
    <t>Es el Procesador Gráfico.</t>
  </si>
  <si>
    <t>Es la Gran Unidad de Proceso.</t>
  </si>
  <si>
    <t>Es el Procesador de un Gran ordenador</t>
  </si>
  <si>
    <t>21 .- Se puede poner cualquier placa base en cualquier caja? ¿Por qué?</t>
  </si>
  <si>
    <t>Sí. Porque que solo hoy un tamaño de placa.</t>
  </si>
  <si>
    <t>Sí. Porque las cajas solo cambian para poder albergar más unidades de almacenamientos o tarjetas de expansión.</t>
  </si>
  <si>
    <t>No. Porque cada placa base necesita aojarse en una caja compatible con el factor forma.</t>
  </si>
  <si>
    <t>Sí. Porque todas las placas tienen el mismo troquelado para poder fijarse a la caja</t>
  </si>
  <si>
    <t xml:space="preserve">22 .-   ¿Qué modelo de caja se utiliza para albergar servidores? </t>
  </si>
  <si>
    <t>Slim</t>
  </si>
  <si>
    <t>23 .- ¿Cuál de las siguientes conexiones de video es analógica?</t>
  </si>
  <si>
    <t>HDMI</t>
  </si>
  <si>
    <t>Display Port</t>
  </si>
  <si>
    <t>DVI</t>
  </si>
  <si>
    <t>VGA</t>
  </si>
  <si>
    <t>24 .- ¿En qué componente puede encontrarse un conector Molex 4p?</t>
  </si>
  <si>
    <t>En el ventilador</t>
  </si>
  <si>
    <t>25 .- ¿Cuál de los siguientes factores de forma es más grande?</t>
  </si>
  <si>
    <t>26 .- El socket AM2+ tiene:</t>
  </si>
  <si>
    <t>1366 contactos y conexión ZIF</t>
  </si>
  <si>
    <t>970 contactos y conexión LGA</t>
  </si>
  <si>
    <t>1366 contactos y conexión LGA</t>
  </si>
  <si>
    <t>940 contactos y conexión ZIF</t>
  </si>
  <si>
    <t>27 .- El zócalo SO-DIMM…</t>
  </si>
  <si>
    <t xml:space="preserve">28 .- ¿Cuál de los siguientes conectores se corresponde con un puerto 8P? </t>
  </si>
  <si>
    <t>RJ-12</t>
  </si>
  <si>
    <t>29 .- ¿Cuántos registros de entrada tiene un operador diádico?</t>
  </si>
  <si>
    <t>30 .- ¿Cuál de las siguientes memorias es más rápida?</t>
  </si>
  <si>
    <t>31 .- Un dispositivo periférico que necesite +5V para funcionar puede tener el siguiente conector de alimentación:</t>
  </si>
  <si>
    <t>32 .- ¿Cuál de las siguientes afirmaciones es cierta?</t>
  </si>
  <si>
    <t>33 .- ¿Qué conexión permite Video Digital, Audio y Datos?</t>
  </si>
  <si>
    <t>34 .- ¿Cuántas líneas de 12 V proporciona el conector ATX12V 24p?</t>
  </si>
  <si>
    <t>35 .- ¿Qué pasará si la pila se agota?</t>
  </si>
  <si>
    <t>El sistema se reinicia constantemente.</t>
  </si>
  <si>
    <t>El sistema no arranca.</t>
  </si>
  <si>
    <t>La configuración de la BIOS se pierde cuando deja de haber la corriente.</t>
  </si>
  <si>
    <t>Los USB no funcionarán</t>
  </si>
  <si>
    <t>36 .- La parte del periférico que gestiona el intercambio de información se denomina:</t>
  </si>
  <si>
    <t>37 .- ¿Cuál de las siguientes afirmaciones es cierta?</t>
  </si>
  <si>
    <t>38 .- De los zócalos de memoria siguientes ¿Cuál tiene un ancho de bus máximo de 32 bits?</t>
  </si>
  <si>
    <t>39 .- Marca las afirmaciones correctas referentes a la BIOS (2):</t>
  </si>
  <si>
    <t>La configuración de la BIOS la perdemos cuando quitamos en cable de corriente.</t>
  </si>
  <si>
    <t>El programa que tiene la BIOS pueden modificarlos los usuarios.</t>
  </si>
  <si>
    <t>Se encarga de buscar en los dispositivos de almacenamiento el sector de arranque</t>
  </si>
  <si>
    <t>Testea el hardware básico de la placa base</t>
  </si>
  <si>
    <t>40 .- ¿Cuál es el Slot qué habitualmente se usa para las tarjetas gráficas?</t>
  </si>
  <si>
    <t>PCI-Express x16</t>
  </si>
  <si>
    <t>PCI-Express x8</t>
  </si>
  <si>
    <t>PCI-Express x32</t>
  </si>
  <si>
    <t>41 .- El tamaño de la placa (330x216 mm) corresponde a un factor de forma</t>
  </si>
  <si>
    <t>Ninguno de los anteriores (Baby-AT)</t>
  </si>
  <si>
    <t>42 .- ¿Cuál de las siguientes gamas de slots está en desuso?</t>
  </si>
  <si>
    <t xml:space="preserve">43 .-  ¿Qué tarjetas de expansión puede disponer de memoria RAM propia? </t>
  </si>
  <si>
    <t>Tarjeta de sonido</t>
  </si>
  <si>
    <t>44 .- ¿Cuántos puertos USB frontales tengo con dos cabeceras USB?</t>
  </si>
  <si>
    <t>45 .- ¿Qué tipos de memoria permite la corrección de errores?</t>
  </si>
  <si>
    <t>GDDR</t>
  </si>
  <si>
    <t>RDRAM</t>
  </si>
  <si>
    <t>DDR</t>
  </si>
  <si>
    <t>ECC</t>
  </si>
  <si>
    <t>46 .- Si un ordenador tuviera en su placa base toda la gama de slots ISA y si tuvieras que comprar una tarjeta gráfica para ese ordenador, ¿Para qué slot la comprarías?</t>
  </si>
  <si>
    <t>47 .- ¿Para qué sirven las técnicas SLI y Cossfire?</t>
  </si>
  <si>
    <t>Para utilizar PCIe x32.</t>
  </si>
  <si>
    <t>Para utilizar dos slot PCIe x16.</t>
  </si>
  <si>
    <t>Para poder trabajar con dos tarjetas gráficas como si fueran una sola.</t>
  </si>
  <si>
    <t>Las tres respuestas anteriores son correctas</t>
  </si>
  <si>
    <t>48 .- ¿Qué es la memoria compartida en una tarjeta gráfica?</t>
  </si>
  <si>
    <t>Es la memoria propia de la tarjeta gráfica.</t>
  </si>
  <si>
    <t>Es una memoria especial que es compartida entre el procesador y la gráfica.</t>
  </si>
  <si>
    <t>Es la memoria cache del equipo que es compartida entre el procesador y la gráfica.</t>
  </si>
  <si>
    <t>Es la parte de la memoria RAM del equipo que utiliza la tarjeta gráfica</t>
  </si>
  <si>
    <t>49 .- ¿En qué tipo de memoria están basadas en flash disk?</t>
  </si>
  <si>
    <t>Memoria ROM</t>
  </si>
  <si>
    <t>50 .- ¿Cómo podemos resetear la BIOS en caso de no poder acceder a ella?</t>
  </si>
  <si>
    <t>A través de software.</t>
  </si>
  <si>
    <t>Quitando la pila.</t>
  </si>
  <si>
    <t>Desconectar el ordenador de la corriente.</t>
  </si>
  <si>
    <t>Utilizando el jumper CLR_CMOS/CCMOS/Clear CMOS.</t>
  </si>
  <si>
    <t>51 .- ¿Qué nivel de la organización estructural del ordenador se encuentra en la zona de hardware y en la de software?</t>
  </si>
  <si>
    <t>52 .- El tamaño de la placa (305x244 mm) corresponde a un factor de forma</t>
  </si>
  <si>
    <t>53 .- ¿Cómo se llama el zócalo de memoria para portátiles?</t>
  </si>
  <si>
    <t>Mini-DIMM</t>
  </si>
  <si>
    <t>Micro-DIMM (es para Netbooks)</t>
  </si>
  <si>
    <t>SO-DIMM</t>
  </si>
  <si>
    <t>54 .- ¿Para qué sirve el socket?</t>
  </si>
  <si>
    <t>El lugar destinado a colocar los módulos de memoria RAM.</t>
  </si>
  <si>
    <t>El lugar destinado a colocar la pila.</t>
  </si>
  <si>
    <t>El lugar destinado a colocar el procesador.</t>
  </si>
  <si>
    <t>El lugar destinado a colocar la Tarjeta Gráfica</t>
  </si>
  <si>
    <t>55 .- ¿Cuál de las siguientes afirmaciones es cierta?</t>
  </si>
  <si>
    <t>56 .-  ¿Qué arquitectura de microprocesador alberga un mayor número de instrucciones?</t>
  </si>
  <si>
    <t>Todas por igual</t>
  </si>
  <si>
    <t>57 .- ¿Se puede utilizar el mismo socket para todos los procesadores? Razona tu respuesta.</t>
  </si>
  <si>
    <t>Si. El socket es universal.</t>
  </si>
  <si>
    <t>Si. Los procesadores llevan un patillaje universal.</t>
  </si>
  <si>
    <t>No. Porque cada socket solo es compatible con los procesadores de su marca.</t>
  </si>
  <si>
    <t>No. Cada socket solo admite cierta gama de procesadores</t>
  </si>
  <si>
    <t>58 .- ¿Qué parte del chipset tiene comunicación directa con el microprocesador?</t>
  </si>
  <si>
    <t>59 .- ¿Cuál de los siguientes casos no encontrarías en un soporte óptico?</t>
  </si>
  <si>
    <t>Un DVD de 9,4 Gb</t>
  </si>
  <si>
    <t>60 .- De los slots siguientes, ¿Cuál tiene mayor velocidad de transferencia?</t>
  </si>
  <si>
    <t>CardBus 32bits (10 Mhz)</t>
  </si>
  <si>
    <t>AGP x8 (267 Mbs - 66 Mhz x 8)</t>
  </si>
  <si>
    <t>AT (16 bits – 8 Mhz)</t>
  </si>
  <si>
    <t>PCIe 1.0 x8 (250 Mbs – 133 Mhz x 8)</t>
  </si>
  <si>
    <t>61 .- En la placa base, el chip de memoria ensamblado que contienen el programa cuya función es gestionar el arranque del equipo es:</t>
  </si>
  <si>
    <t>La BIOS</t>
  </si>
  <si>
    <t>El chipset</t>
  </si>
  <si>
    <t>El socket</t>
  </si>
  <si>
    <t>62 .- ¿Qué tipos de memoria permite la instalación de la memoria RAM tumbada?</t>
  </si>
  <si>
    <t>RIMM</t>
  </si>
  <si>
    <t>63 .- Marca las correctas 4.294.967.296 GB son (2):</t>
  </si>
  <si>
    <t>4096 PB</t>
  </si>
  <si>
    <t>4.194.300 TB</t>
  </si>
  <si>
    <t>10 PB</t>
  </si>
  <si>
    <t>4 EB</t>
  </si>
  <si>
    <t>64 .-  De los siguientes conectores IDE, ¿cuál está destinado a la conexión de una disquetera?</t>
  </si>
  <si>
    <t>40p</t>
  </si>
  <si>
    <t>65 .- ¿Cuál sería la velocidad máxima de transferencia de un disco SATA III cuya velocidad de lectura y escritura es de 540 MB/s si lo conectamos a una placa base con SATA I?</t>
  </si>
  <si>
    <t>150 MB/s</t>
  </si>
  <si>
    <t>300 MB/s</t>
  </si>
  <si>
    <t>540 MB/s</t>
  </si>
  <si>
    <t>Ninguna. Porque son conexiones incompatibles.</t>
  </si>
  <si>
    <t xml:space="preserve">66 .- ¿Cuál de los siguientes módulos de memoria tiene dos muescas? </t>
  </si>
  <si>
    <t>67 .- En el chipset de nueva generación…</t>
  </si>
  <si>
    <t>68 .- ¿Cuándo termina un programa?</t>
  </si>
  <si>
    <t>69 .- ¿ Cual de las siguientes NO es una de  las funciones principales de la BIOS?</t>
  </si>
  <si>
    <t>Buscar el sector de arranque entre los dispositivos de almacenamiento</t>
  </si>
  <si>
    <t>Cualquier usuario puede alterar su contenido</t>
  </si>
  <si>
    <t>Testear componentes básicos de la placa base para el arranque</t>
  </si>
  <si>
    <t xml:space="preserve">Configurar algunos componentes de la placa base </t>
  </si>
  <si>
    <t>ANULADA</t>
  </si>
  <si>
    <t>PREGUNTA</t>
  </si>
  <si>
    <t>En la BIOS.</t>
  </si>
  <si>
    <t>En el chipset.</t>
  </si>
  <si>
    <t>Se pueden hacer en cualquier orden.</t>
  </si>
  <si>
    <t>1º formateo–2º particionado.</t>
  </si>
  <si>
    <t>1º particionado–2º formateo.</t>
  </si>
  <si>
    <t>La CAL de dispositivo.</t>
  </si>
  <si>
    <t>¿Qué medida preventiva evita que se manche la lente del lector/reproductor óptico?</t>
  </si>
  <si>
    <t>No introducir un disco óptico que esté sucio.</t>
  </si>
  <si>
    <t>Utilizar discos ópticos sin etiquetas.</t>
  </si>
  <si>
    <t>No introducir discos ópticos cuyas letras hayan sido escritas con rotulador de CD.</t>
  </si>
  <si>
    <t>BSD.</t>
  </si>
  <si>
    <t>LGPL.</t>
  </si>
  <si>
    <t>MPL.</t>
  </si>
  <si>
    <t>El software de dominio público puede no ser libre.</t>
  </si>
  <si>
    <t>El software no comercial puede no ser libre.</t>
  </si>
  <si>
    <t>Un polímetro.</t>
  </si>
  <si>
    <t>¿Dónde se encuentra el error si oímos seis pitidos cortos?</t>
  </si>
  <si>
    <t>En el ratón.</t>
  </si>
  <si>
    <t>En el teclado.</t>
  </si>
  <si>
    <t>¿Qué falla si al instalar un SO, cada vez falla en un punto diferente de la instalación?</t>
  </si>
  <si>
    <t>El propio sistema operativo.</t>
  </si>
  <si>
    <t>El microprocesador.</t>
  </si>
  <si>
    <t>La memoria RAM.</t>
  </si>
  <si>
    <t>El disco duro donde estamos instalando el sistema operativo.</t>
  </si>
  <si>
    <t>Partición primaria.</t>
  </si>
  <si>
    <t>Partición lógica.</t>
  </si>
  <si>
    <t>Partición extendida.</t>
  </si>
  <si>
    <t>Bajo nivel.</t>
  </si>
  <si>
    <t>Alto nivel.</t>
  </si>
  <si>
    <t>Medio nivel.</t>
  </si>
  <si>
    <t>¿Cuál de los siguientes NO es software «no libre»?</t>
  </si>
  <si>
    <t>Software de dominio público.</t>
  </si>
  <si>
    <t>El volumen seccionado.</t>
  </si>
  <si>
    <t>El volumen reflejado.</t>
  </si>
  <si>
    <t>El volumen distribuido.</t>
  </si>
  <si>
    <t>¿Cuál de las afirmaciones siguientes no es una medida preventiva para evitar el deterioro de un disco óptico?</t>
  </si>
  <si>
    <t>Evitar su exposición directa al sol.</t>
  </si>
  <si>
    <t>Para escribir sobre el soporte utilizar rotuladores destinados a tal fin.</t>
  </si>
  <si>
    <t>Evitar dejar el soporte sobre superficies lisas.</t>
  </si>
  <si>
    <t>La partición extendida en lógica.</t>
  </si>
  <si>
    <t>La partición lógica en primaria.</t>
  </si>
  <si>
    <t>La partición primaria en extendida.</t>
  </si>
  <si>
    <t>En la forma.</t>
  </si>
  <si>
    <t>En la forma, la cantidad y tipo de conectores.</t>
  </si>
  <si>
    <t>¿En qué escáner hay que realizar la limpieza de la bandeja y el paso de los rodillos?</t>
  </si>
  <si>
    <t>En un escáner de sobremesa convencional.</t>
  </si>
  <si>
    <t>En lectores de códigos de barras.</t>
  </si>
  <si>
    <t>En un escáner de alimentación.</t>
  </si>
  <si>
    <t>¿Qué se puede utilizar para limpiar la lente de una webcam?</t>
  </si>
  <si>
    <t>Todas las respuestas son falsas.</t>
  </si>
  <si>
    <t>Un bastoncillo húmedo.</t>
  </si>
  <si>
    <t>Una esponja de baño.</t>
  </si>
  <si>
    <t>¿Qué elemento de la placa base no puede sustituirse por una tarjeta de expansión?</t>
  </si>
  <si>
    <t>La tarjeta de red.</t>
  </si>
  <si>
    <t>El socket del microprocesador.</t>
  </si>
  <si>
    <t>La tarjeta de sonido.</t>
  </si>
  <si>
    <t>Los puertos USB.</t>
  </si>
  <si>
    <t>¿Cuál de las siguientes no es una característica de la Licencia de Usuario Final (EULA)?</t>
  </si>
  <si>
    <t>Dispone de garantía.</t>
  </si>
  <si>
    <t>Los contratos siempre se realizan por escrito.</t>
  </si>
  <si>
    <t>Cuando realizamos la instalación de un sistema operativo, falla cada vez en un punto diferente de la instalación. ¿Que está pasando?</t>
  </si>
  <si>
    <t>Disco duro incompatible</t>
  </si>
  <si>
    <t>La fuente de alimentación falla</t>
  </si>
  <si>
    <t>Algún módulo de memoria está fallando</t>
  </si>
  <si>
    <t>¿Qué sistema de archivos puede ser utilizado sin problemas en todos los sistemas operativos?</t>
  </si>
  <si>
    <t>ext3</t>
  </si>
  <si>
    <t>ext4</t>
  </si>
  <si>
    <t>NTFS</t>
  </si>
  <si>
    <t>FAT / FAT 32</t>
  </si>
  <si>
    <t>¿Cuál es el tamaño máximo permitido en una partición en MBR?</t>
  </si>
  <si>
    <t>2TB</t>
  </si>
  <si>
    <t>8TB</t>
  </si>
  <si>
    <t>4GB</t>
  </si>
  <si>
    <t>20TB</t>
  </si>
  <si>
    <t>Un sistema operativo ¿que tipo de software es?</t>
  </si>
  <si>
    <t>Software de aplicación</t>
  </si>
  <si>
    <t>Ninguna es correcta</t>
  </si>
  <si>
    <t>Software base</t>
  </si>
  <si>
    <t>Software de programación</t>
  </si>
  <si>
    <t>¿Qué sistemas de discos dinámico utilizaremos para tener más rapidez utilizando solo dos discos?</t>
  </si>
  <si>
    <t>RAID 1</t>
  </si>
  <si>
    <t>RAID 5</t>
  </si>
  <si>
    <t>Ninguno es correcto</t>
  </si>
  <si>
    <t>RAID 0</t>
  </si>
  <si>
    <t>¿Qué sistemas de discos dinámico utilizaremos para tener más seguridad utilizando dos disco, uno de ellos como un espejodel otro?</t>
  </si>
  <si>
    <t>¿Con qué partición no es compatible windows?</t>
  </si>
  <si>
    <t>exFAT</t>
  </si>
  <si>
    <t>FAT / FAT32</t>
  </si>
  <si>
    <t>¿En que sistema de archivos tendremos problemas para copiar ficheros de más de 4 GB?</t>
  </si>
  <si>
    <t>¿Cual de las siguientes licencias no pertenece al software libre</t>
  </si>
  <si>
    <t>Copyright</t>
  </si>
  <si>
    <t>BSD</t>
  </si>
  <si>
    <t>CopyLeft</t>
  </si>
  <si>
    <t>GNU/GPL</t>
  </si>
  <si>
    <t>¿Qué es Retail?</t>
  </si>
  <si>
    <t>Ninguna es cierta</t>
  </si>
  <si>
    <t>Una licencia de distribución que el fabricante de equipos ligada a un equipo nuevo</t>
  </si>
  <si>
    <t>Una licencia de distribución destinada a la venta directa al usuario final</t>
  </si>
  <si>
    <t>Una licencia de distribución que el fabricante de equipos la incluyen el software asociado a un disco duro</t>
  </si>
  <si>
    <t>¿Como arreglamos el ordenador si detectamos que una de las patillas o contactos del procesador está roto?</t>
  </si>
  <si>
    <t>Se suelda la patilla</t>
  </si>
  <si>
    <t>No tiene arreglo</t>
  </si>
  <si>
    <t>Hay que sustituirlo por otro procesador</t>
  </si>
  <si>
    <t>Hay que poner un sistema se refrijeración más potente.</t>
  </si>
  <si>
    <t>El equipo se enciende pero la pantalla permanece negra. El ventilador no se enciende y el disco duro no gira. ¿De donde procede el problema?</t>
  </si>
  <si>
    <t>El problema el la fuente de alimentación</t>
  </si>
  <si>
    <t>Las tres son correctas</t>
  </si>
  <si>
    <t>El problema es un cortocircuito en un dispositivo</t>
  </si>
  <si>
    <t>El problema es la placa base</t>
  </si>
  <si>
    <t>¿Cúales son las libertades del software libre?</t>
  </si>
  <si>
    <t>Libertad para modificar el autor del software</t>
  </si>
  <si>
    <t>Libertad para modificar, mejorar haciendolo público</t>
  </si>
  <si>
    <t>Libertad para venderlo al precio que se quiera</t>
  </si>
  <si>
    <t>Todas son cientas</t>
  </si>
  <si>
    <t>¿Qué sistemas de discos dinámico utilizaremos para tener un sistema más seguro y rapido utilizando al menos disco?</t>
  </si>
  <si>
    <t>¿Qué tipos de memoria permite la correción de errores?</t>
  </si>
  <si>
    <t>¿Cuál de las siguientes unidades de memoria es la de más capacidad?</t>
  </si>
  <si>
    <t>¿Qué tipo de memoria se utiliza habitualmente para los netbook?</t>
  </si>
  <si>
    <t>Ninguna de los anteriores</t>
  </si>
  <si>
    <t>¿Dónde se encuentra el error si se muestra el siguiente mensaje: CMOS battery failed?</t>
  </si>
  <si>
    <t>En la CMOS.</t>
  </si>
  <si>
    <t>En la pila.</t>
  </si>
  <si>
    <t>¿Cuál es la secuencia para preparar un disco para que pueda ser utilizado?</t>
  </si>
  <si>
    <t>¿Qué licencia es adquirida para cada uno de los equipos en los que se instalará el software?</t>
  </si>
  <si>
    <t>Todas son falsas.</t>
  </si>
  <si>
    <t>La device CAL.</t>
  </si>
  <si>
    <t>¿Cuál de las siguientes licencias tiene el gestor de correo Thunderbird?</t>
  </si>
  <si>
    <t>Copyleft.</t>
  </si>
  <si>
    <t>¿Cuál de las siguientes afirmaciones no es correcta?</t>
  </si>
  <si>
    <t>El software de dominio público siempre es libre.</t>
  </si>
  <si>
    <t>El software comercial puede ser libre.</t>
  </si>
  <si>
    <t>¿Qué herramienta utilizamos para detectar un posible fallo en la fuente de alimentación?</t>
  </si>
  <si>
    <t>Un termómetro.</t>
  </si>
  <si>
    <t>Un testómetro.</t>
  </si>
  <si>
    <t>En la tarjeta gráfica.</t>
  </si>
  <si>
    <t>¿Cuál de las siguientes particiones se puede establecer cómo activa?</t>
  </si>
  <si>
    <t>Cualquiera de las otras respuestas.</t>
  </si>
  <si>
    <t>Si hablamos de formateo físico nos referimos a un formateo a…</t>
  </si>
  <si>
    <t>Software privativo.</t>
  </si>
  <si>
    <t>Shareware.</t>
  </si>
  <si>
    <t>Freeware.</t>
  </si>
  <si>
    <t>El RAID 0 se corresponde con...</t>
  </si>
  <si>
    <t>El volumen simple.</t>
  </si>
  <si>
    <t>No excederse en la colocación de etiquetas.</t>
  </si>
  <si>
    <t>Mediante la opción de conversión de particiones puedo convertir…</t>
  </si>
  <si>
    <t>¿En qué varían las fuentes de alimentación diseñadas para cajas inferiores a la ATX?</t>
  </si>
  <si>
    <t>En la cantidad y tipo de conectores.</t>
  </si>
  <si>
    <t>Un papel especial de limpieza.</t>
  </si>
  <si>
    <t>La copia del software está prohibida.</t>
  </si>
  <si>
    <t>Puede ser transferida solo una vez a otro usuario.</t>
  </si>
  <si>
    <t>Todos son verdaderos</t>
  </si>
  <si>
    <t>Las aplicaciones que aparecen en la parte derecha de la barra de tareas son…</t>
  </si>
  <si>
    <t>Virus.</t>
  </si>
  <si>
    <t>Programas indispensables.</t>
  </si>
  <si>
    <t>Para reconocer un documento manuscrito se utilizan los OCR.</t>
  </si>
  <si>
    <t>Negro.</t>
  </si>
  <si>
    <t>Naranja.</t>
  </si>
  <si>
    <t>¿Cuál de las siguientes no es un tipo de tarjeta de memoria?</t>
  </si>
  <si>
    <t>XD.</t>
  </si>
  <si>
    <t>¿Cuál es el principal componente de un monitor LCD?</t>
  </si>
  <si>
    <t>Los transistores.</t>
  </si>
  <si>
    <t>Un CD de 800 Mb.</t>
  </si>
  <si>
    <t>¿Cuáles de las siguientes no son variantes de tabletas digitalizadoras?</t>
  </si>
  <si>
    <t>Una tablet PC.</t>
  </si>
  <si>
    <t>¿Qué finalidad persigue el mantenimiento de un sistema informático?</t>
  </si>
  <si>
    <t>Alargar la vida del sistema.</t>
  </si>
  <si>
    <t>Evitar pérdidas de información.</t>
  </si>
  <si>
    <t>¿Cómo se configuran dos discos duros en un ordenador de sobremesa?</t>
  </si>
  <si>
    <t>Uno como master y otro como enabled.</t>
  </si>
  <si>
    <t>Ambos como master.</t>
  </si>
  <si>
    <t>2</t>
  </si>
  <si>
    <t>4</t>
  </si>
  <si>
    <t>1</t>
  </si>
  <si>
    <t>¿Cuál de las siguientes verificaciones NO puede llevarse a cabo desde el BIOS?</t>
  </si>
  <si>
    <t>Microprocesador.</t>
  </si>
  <si>
    <t>Voltajes y temperaturas.</t>
  </si>
  <si>
    <t/>
  </si>
  <si>
    <t>Un entorno de desarrollo (IDE) ¿que tipo de software es?</t>
  </si>
  <si>
    <t>PEC-3 FUNDAMENTO DE HARDWARE</t>
  </si>
  <si>
    <t>PEC-1 Y 2 FUNDAMENTO DE HARDWARE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</si>
</sst>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</font>
    <font>
      <sz val="16"/>
      <color theme="1"/>
      <name val="Tahoma"/>
    </font>
    <font>
      <sz val="8"/>
      <name val="Calibri"/>
      <family val="2"/>
      <scheme val="minor"/>
    </font>
    <font>
      <b/>
      <sz val="11"/>
      <color theme="1"/>
      <name val="Calibri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Times New Roman"/>
    </font>
    <font>
      <sz val="12"/>
      <name val="Arial"/>
    </font>
    <font>
      <sz val="7"/>
      <name val="Times New Roman"/>
    </font>
    <font>
      <sz val="9"/>
      <name val="Arial"/>
    </font>
    <font>
      <b/>
      <sz val="12"/>
      <color rgb="FFFF000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ck">
        <color rgb="FFFF0000"/>
      </left>
      <right style="medium">
        <color auto="1"/>
      </right>
      <top style="thick">
        <color rgb="FFFF0000"/>
      </top>
      <bottom/>
      <diagonal/>
    </border>
    <border>
      <left style="thick">
        <color rgb="FFFF0000"/>
      </left>
      <right style="medium">
        <color auto="1"/>
      </right>
      <top/>
      <bottom/>
      <diagonal/>
    </border>
    <border>
      <left style="thick">
        <color rgb="FFFF0000"/>
      </left>
      <right style="medium">
        <color auto="1"/>
      </right>
      <top/>
      <bottom style="thick">
        <color rgb="FFFF0000"/>
      </bottom>
      <diagonal/>
    </border>
  </borders>
  <cellStyleXfs count="28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0" borderId="5" xfId="0" applyBorder="1" applyAlignment="1" applyProtection="1">
      <alignment vertical="center"/>
      <protection hidden="1"/>
    </xf>
    <xf numFmtId="0" fontId="0" fillId="4" borderId="0" xfId="0" applyFont="1" applyFill="1" applyBorder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Border="1" applyAlignment="1" applyProtection="1">
      <alignment vertical="center"/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wrapText="1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4" borderId="0" xfId="0" applyFill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4" borderId="4" xfId="0" applyFont="1" applyFill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0" borderId="10" xfId="0" applyFont="1" applyFill="1" applyBorder="1" applyProtection="1">
      <protection hidden="1"/>
    </xf>
    <xf numFmtId="0" fontId="0" fillId="0" borderId="11" xfId="0" applyFont="1" applyBorder="1" applyProtection="1"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Border="1" applyAlignment="1" applyProtection="1">
      <alignment wrapText="1"/>
      <protection hidden="1"/>
    </xf>
    <xf numFmtId="0" fontId="0" fillId="4" borderId="0" xfId="0" applyFill="1" applyAlignment="1" applyProtection="1">
      <alignment horizontal="left" vertical="top"/>
      <protection hidden="1"/>
    </xf>
    <xf numFmtId="0" fontId="0" fillId="4" borderId="0" xfId="0" applyFill="1" applyBorder="1" applyAlignment="1" applyProtection="1">
      <alignment horizontal="left" vertical="top"/>
      <protection locked="0"/>
    </xf>
    <xf numFmtId="0" fontId="4" fillId="6" borderId="5" xfId="0" applyFont="1" applyFill="1" applyBorder="1" applyAlignment="1" applyProtection="1">
      <alignment horizontal="left" vertical="top"/>
      <protection hidden="1"/>
    </xf>
    <xf numFmtId="0" fontId="4" fillId="6" borderId="0" xfId="0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5" xfId="0" applyFont="1" applyFill="1" applyBorder="1" applyAlignment="1" applyProtection="1">
      <alignment vertical="top" wrapText="1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0" xfId="0" applyFont="1" applyFill="1" applyBorder="1" applyAlignment="1" applyProtection="1">
      <alignment horizontal="center" vertical="top" wrapText="1"/>
      <protection hidden="1"/>
    </xf>
    <xf numFmtId="0" fontId="0" fillId="4" borderId="5" xfId="0" applyFont="1" applyFill="1" applyBorder="1" applyAlignment="1" applyProtection="1">
      <alignment vertical="center"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4" fillId="0" borderId="0" xfId="0" applyFont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0" fillId="4" borderId="0" xfId="0" applyFont="1" applyFill="1" applyBorder="1" applyAlignment="1" applyProtection="1">
      <alignment vertical="top" wrapText="1"/>
      <protection locked="0"/>
    </xf>
    <xf numFmtId="0" fontId="0" fillId="4" borderId="0" xfId="0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left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Border="1" applyProtection="1">
      <protection hidden="1"/>
    </xf>
    <xf numFmtId="0" fontId="13" fillId="0" borderId="4" xfId="0" applyFont="1" applyFill="1" applyBorder="1" applyAlignment="1" applyProtection="1">
      <alignment horizontal="left" vertic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1" xfId="0" applyFont="1" applyBorder="1" applyProtection="1">
      <protection hidden="1"/>
    </xf>
    <xf numFmtId="0" fontId="13" fillId="0" borderId="0" xfId="0" applyFont="1" applyBorder="1" applyProtection="1"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13" fillId="8" borderId="0" xfId="0" applyFont="1" applyFill="1" applyBorder="1" applyAlignment="1" applyProtection="1">
      <alignment horizontal="center" vertical="center"/>
      <protection hidden="1"/>
    </xf>
    <xf numFmtId="0" fontId="0" fillId="0" borderId="11" xfId="0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Fill="1" applyAlignment="1" applyProtection="1">
      <alignment horizontal="left" vertical="top"/>
      <protection hidden="1"/>
    </xf>
    <xf numFmtId="0" fontId="5" fillId="0" borderId="0" xfId="0" applyFont="1" applyFill="1" applyProtection="1">
      <protection hidden="1"/>
    </xf>
    <xf numFmtId="0" fontId="5" fillId="7" borderId="2" xfId="0" applyFont="1" applyFill="1" applyBorder="1" applyAlignment="1" applyProtection="1">
      <alignment horizontal="left"/>
      <protection hidden="1"/>
    </xf>
    <xf numFmtId="0" fontId="5" fillId="0" borderId="0" xfId="0" applyFont="1" applyProtection="1">
      <protection hidden="1"/>
    </xf>
    <xf numFmtId="0" fontId="18" fillId="0" borderId="12" xfId="0" applyFont="1" applyBorder="1" applyAlignment="1" applyProtection="1">
      <alignment horizontal="center" vertical="center"/>
      <protection hidden="1"/>
    </xf>
    <xf numFmtId="0" fontId="0" fillId="2" borderId="13" xfId="0" applyFill="1" applyBorder="1" applyAlignment="1" applyProtection="1">
      <alignment vertical="center"/>
      <protection hidden="1"/>
    </xf>
    <xf numFmtId="0" fontId="0" fillId="3" borderId="13" xfId="0" applyFill="1" applyBorder="1" applyAlignment="1" applyProtection="1">
      <alignment vertical="center"/>
      <protection hidden="1"/>
    </xf>
    <xf numFmtId="0" fontId="18" fillId="0" borderId="14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11" xfId="0" applyFont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horizontal="left" wrapText="1"/>
      <protection hidden="1"/>
    </xf>
    <xf numFmtId="0" fontId="0" fillId="0" borderId="11" xfId="0" applyFont="1" applyBorder="1" applyAlignment="1" applyProtection="1">
      <alignment horizontal="left" wrapText="1"/>
      <protection hidden="1"/>
    </xf>
  </cellXfs>
  <cellStyles count="289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9309100</xdr:colOff>
          <xdr:row>67</xdr:row>
          <xdr:rowOff>152400</xdr:rowOff>
        </xdr:from>
        <xdr:to>
          <xdr:col>2</xdr:col>
          <xdr:colOff>9918700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9271000</xdr:colOff>
          <xdr:row>193</xdr:row>
          <xdr:rowOff>25400</xdr:rowOff>
        </xdr:from>
        <xdr:to>
          <xdr:col>2</xdr:col>
          <xdr:colOff>9855200</xdr:colOff>
          <xdr:row>194</xdr:row>
          <xdr:rowOff>101600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9194800</xdr:colOff>
          <xdr:row>258</xdr:row>
          <xdr:rowOff>12700</xdr:rowOff>
        </xdr:from>
        <xdr:to>
          <xdr:col>2</xdr:col>
          <xdr:colOff>9766300</xdr:colOff>
          <xdr:row>259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9232900</xdr:colOff>
          <xdr:row>322</xdr:row>
          <xdr:rowOff>190500</xdr:rowOff>
        </xdr:from>
        <xdr:to>
          <xdr:col>2</xdr:col>
          <xdr:colOff>9804400</xdr:colOff>
          <xdr:row>324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9194800</xdr:colOff>
          <xdr:row>387</xdr:row>
          <xdr:rowOff>203200</xdr:rowOff>
        </xdr:from>
        <xdr:to>
          <xdr:col>2</xdr:col>
          <xdr:colOff>9779000</xdr:colOff>
          <xdr:row>389</xdr:row>
          <xdr:rowOff>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9232900</xdr:colOff>
          <xdr:row>453</xdr:row>
          <xdr:rowOff>0</xdr:rowOff>
        </xdr:from>
        <xdr:to>
          <xdr:col>2</xdr:col>
          <xdr:colOff>9817100</xdr:colOff>
          <xdr:row>454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9169400</xdr:colOff>
          <xdr:row>517</xdr:row>
          <xdr:rowOff>190500</xdr:rowOff>
        </xdr:from>
        <xdr:to>
          <xdr:col>2</xdr:col>
          <xdr:colOff>9791700</xdr:colOff>
          <xdr:row>518</xdr:row>
          <xdr:rowOff>241300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517</xdr:row>
          <xdr:rowOff>203200</xdr:rowOff>
        </xdr:from>
        <xdr:to>
          <xdr:col>2</xdr:col>
          <xdr:colOff>9093200</xdr:colOff>
          <xdr:row>518</xdr:row>
          <xdr:rowOff>241300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453</xdr:row>
          <xdr:rowOff>12700</xdr:rowOff>
        </xdr:from>
        <xdr:to>
          <xdr:col>2</xdr:col>
          <xdr:colOff>9093200</xdr:colOff>
          <xdr:row>454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388</xdr:row>
          <xdr:rowOff>12700</xdr:rowOff>
        </xdr:from>
        <xdr:to>
          <xdr:col>2</xdr:col>
          <xdr:colOff>9093200</xdr:colOff>
          <xdr:row>389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322</xdr:row>
          <xdr:rowOff>190500</xdr:rowOff>
        </xdr:from>
        <xdr:to>
          <xdr:col>2</xdr:col>
          <xdr:colOff>9093200</xdr:colOff>
          <xdr:row>324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258</xdr:row>
          <xdr:rowOff>25400</xdr:rowOff>
        </xdr:from>
        <xdr:to>
          <xdr:col>2</xdr:col>
          <xdr:colOff>9093200</xdr:colOff>
          <xdr:row>258</xdr:row>
          <xdr:rowOff>254000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193</xdr:row>
          <xdr:rowOff>38100</xdr:rowOff>
        </xdr:from>
        <xdr:to>
          <xdr:col>2</xdr:col>
          <xdr:colOff>9093200</xdr:colOff>
          <xdr:row>194</xdr:row>
          <xdr:rowOff>63500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67</xdr:row>
          <xdr:rowOff>177800</xdr:rowOff>
        </xdr:from>
        <xdr:to>
          <xdr:col>2</xdr:col>
          <xdr:colOff>9093200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9169400</xdr:colOff>
          <xdr:row>583</xdr:row>
          <xdr:rowOff>38100</xdr:rowOff>
        </xdr:from>
        <xdr:to>
          <xdr:col>2</xdr:col>
          <xdr:colOff>9753600</xdr:colOff>
          <xdr:row>584</xdr:row>
          <xdr:rowOff>114300</xdr:rowOff>
        </xdr:to>
        <xdr:sp macro="" textlink="">
          <xdr:nvSpPr>
            <xdr:cNvPr id="1048" name="Button 24" descr="Borra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583</xdr:row>
          <xdr:rowOff>38100</xdr:rowOff>
        </xdr:from>
        <xdr:to>
          <xdr:col>2</xdr:col>
          <xdr:colOff>9093200</xdr:colOff>
          <xdr:row>584</xdr:row>
          <xdr:rowOff>63500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9182100</xdr:colOff>
          <xdr:row>648</xdr:row>
          <xdr:rowOff>38100</xdr:rowOff>
        </xdr:from>
        <xdr:to>
          <xdr:col>2</xdr:col>
          <xdr:colOff>9766300</xdr:colOff>
          <xdr:row>649</xdr:row>
          <xdr:rowOff>114300</xdr:rowOff>
        </xdr:to>
        <xdr:sp macro="" textlink="">
          <xdr:nvSpPr>
            <xdr:cNvPr id="1050" name="Button 26" descr="Borrar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648</xdr:row>
          <xdr:rowOff>38100</xdr:rowOff>
        </xdr:from>
        <xdr:to>
          <xdr:col>2</xdr:col>
          <xdr:colOff>9093200</xdr:colOff>
          <xdr:row>649</xdr:row>
          <xdr:rowOff>63500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9372600</xdr:colOff>
          <xdr:row>711</xdr:row>
          <xdr:rowOff>190500</xdr:rowOff>
        </xdr:from>
        <xdr:to>
          <xdr:col>2</xdr:col>
          <xdr:colOff>9956800</xdr:colOff>
          <xdr:row>713</xdr:row>
          <xdr:rowOff>101600</xdr:rowOff>
        </xdr:to>
        <xdr:sp macro="" textlink="">
          <xdr:nvSpPr>
            <xdr:cNvPr id="1052" name="Button 28" descr="Borrar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7988300</xdr:colOff>
          <xdr:row>711</xdr:row>
          <xdr:rowOff>190500</xdr:rowOff>
        </xdr:from>
        <xdr:to>
          <xdr:col>2</xdr:col>
          <xdr:colOff>9296400</xdr:colOff>
          <xdr:row>713</xdr:row>
          <xdr:rowOff>50800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9182100</xdr:colOff>
          <xdr:row>778</xdr:row>
          <xdr:rowOff>25400</xdr:rowOff>
        </xdr:from>
        <xdr:to>
          <xdr:col>2</xdr:col>
          <xdr:colOff>9766300</xdr:colOff>
          <xdr:row>779</xdr:row>
          <xdr:rowOff>101600</xdr:rowOff>
        </xdr:to>
        <xdr:sp macro="" textlink="">
          <xdr:nvSpPr>
            <xdr:cNvPr id="1054" name="Button 30" descr="Borr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778</xdr:row>
          <xdr:rowOff>38100</xdr:rowOff>
        </xdr:from>
        <xdr:to>
          <xdr:col>2</xdr:col>
          <xdr:colOff>9093200</xdr:colOff>
          <xdr:row>779</xdr:row>
          <xdr:rowOff>63500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9169400</xdr:colOff>
          <xdr:row>843</xdr:row>
          <xdr:rowOff>38100</xdr:rowOff>
        </xdr:from>
        <xdr:to>
          <xdr:col>2</xdr:col>
          <xdr:colOff>9753600</xdr:colOff>
          <xdr:row>844</xdr:row>
          <xdr:rowOff>114300</xdr:rowOff>
        </xdr:to>
        <xdr:sp macro="" textlink="">
          <xdr:nvSpPr>
            <xdr:cNvPr id="1056" name="Button 32" descr="Borrar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7785100</xdr:colOff>
          <xdr:row>843</xdr:row>
          <xdr:rowOff>38100</xdr:rowOff>
        </xdr:from>
        <xdr:to>
          <xdr:col>2</xdr:col>
          <xdr:colOff>9093200</xdr:colOff>
          <xdr:row>844</xdr:row>
          <xdr:rowOff>63500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9575800</xdr:colOff>
          <xdr:row>907</xdr:row>
          <xdr:rowOff>127000</xdr:rowOff>
        </xdr:from>
        <xdr:to>
          <xdr:col>2</xdr:col>
          <xdr:colOff>10160000</xdr:colOff>
          <xdr:row>909</xdr:row>
          <xdr:rowOff>0</xdr:rowOff>
        </xdr:to>
        <xdr:sp macro="" textlink="">
          <xdr:nvSpPr>
            <xdr:cNvPr id="1138" name="Button 114" descr="Borrar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8191500</xdr:colOff>
          <xdr:row>907</xdr:row>
          <xdr:rowOff>139700</xdr:rowOff>
        </xdr:from>
        <xdr:to>
          <xdr:col>2</xdr:col>
          <xdr:colOff>9499600</xdr:colOff>
          <xdr:row>908</xdr:row>
          <xdr:rowOff>203200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9207500</xdr:colOff>
          <xdr:row>972</xdr:row>
          <xdr:rowOff>139700</xdr:rowOff>
        </xdr:from>
        <xdr:to>
          <xdr:col>2</xdr:col>
          <xdr:colOff>9791700</xdr:colOff>
          <xdr:row>974</xdr:row>
          <xdr:rowOff>12700</xdr:rowOff>
        </xdr:to>
        <xdr:sp macro="" textlink="">
          <xdr:nvSpPr>
            <xdr:cNvPr id="1147" name="Button 123" descr="Borrar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7848600</xdr:colOff>
          <xdr:row>972</xdr:row>
          <xdr:rowOff>139700</xdr:rowOff>
        </xdr:from>
        <xdr:to>
          <xdr:col>2</xdr:col>
          <xdr:colOff>9156700</xdr:colOff>
          <xdr:row>973</xdr:row>
          <xdr:rowOff>203200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9956800</xdr:colOff>
          <xdr:row>1391</xdr:row>
          <xdr:rowOff>76200</xdr:rowOff>
        </xdr:from>
        <xdr:to>
          <xdr:col>2</xdr:col>
          <xdr:colOff>10566400</xdr:colOff>
          <xdr:row>1392</xdr:row>
          <xdr:rowOff>63500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1391</xdr:row>
          <xdr:rowOff>76200</xdr:rowOff>
        </xdr:from>
        <xdr:to>
          <xdr:col>2</xdr:col>
          <xdr:colOff>9880600</xdr:colOff>
          <xdr:row>1392</xdr:row>
          <xdr:rowOff>63500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9956800</xdr:colOff>
          <xdr:row>1696</xdr:row>
          <xdr:rowOff>76200</xdr:rowOff>
        </xdr:from>
        <xdr:to>
          <xdr:col>2</xdr:col>
          <xdr:colOff>10566400</xdr:colOff>
          <xdr:row>1697</xdr:row>
          <xdr:rowOff>63500</xdr:rowOff>
        </xdr:to>
        <xdr:sp macro="" textlink="">
          <xdr:nvSpPr>
            <xdr:cNvPr id="1158" name="Button 134" descr="Borrar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8521700</xdr:colOff>
          <xdr:row>1696</xdr:row>
          <xdr:rowOff>76200</xdr:rowOff>
        </xdr:from>
        <xdr:to>
          <xdr:col>2</xdr:col>
          <xdr:colOff>9829800</xdr:colOff>
          <xdr:row>1697</xdr:row>
          <xdr:rowOff>63500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0" Type="http://schemas.openxmlformats.org/officeDocument/2006/relationships/ctrlProp" Target="../ctrlProps/ctrlProp17.xml"/><Relationship Id="rId21" Type="http://schemas.openxmlformats.org/officeDocument/2006/relationships/ctrlProp" Target="../ctrlProps/ctrlProp18.xml"/><Relationship Id="rId22" Type="http://schemas.openxmlformats.org/officeDocument/2006/relationships/ctrlProp" Target="../ctrlProps/ctrlProp19.xml"/><Relationship Id="rId23" Type="http://schemas.openxmlformats.org/officeDocument/2006/relationships/ctrlProp" Target="../ctrlProps/ctrlProp20.xml"/><Relationship Id="rId24" Type="http://schemas.openxmlformats.org/officeDocument/2006/relationships/ctrlProp" Target="../ctrlProps/ctrlProp21.xml"/><Relationship Id="rId25" Type="http://schemas.openxmlformats.org/officeDocument/2006/relationships/ctrlProp" Target="../ctrlProps/ctrlProp22.xml"/><Relationship Id="rId26" Type="http://schemas.openxmlformats.org/officeDocument/2006/relationships/ctrlProp" Target="../ctrlProps/ctrlProp23.xml"/><Relationship Id="rId27" Type="http://schemas.openxmlformats.org/officeDocument/2006/relationships/ctrlProp" Target="../ctrlProps/ctrlProp24.xml"/><Relationship Id="rId28" Type="http://schemas.openxmlformats.org/officeDocument/2006/relationships/ctrlProp" Target="../ctrlProps/ctrlProp25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30" Type="http://schemas.openxmlformats.org/officeDocument/2006/relationships/ctrlProp" Target="../ctrlProps/ctrlProp27.xml"/><Relationship Id="rId31" Type="http://schemas.openxmlformats.org/officeDocument/2006/relationships/ctrlProp" Target="../ctrlProps/ctrlProp28.xml"/><Relationship Id="rId32" Type="http://schemas.openxmlformats.org/officeDocument/2006/relationships/ctrlProp" Target="../ctrlProps/ctrlProp29.xml"/><Relationship Id="rId9" Type="http://schemas.openxmlformats.org/officeDocument/2006/relationships/ctrlProp" Target="../ctrlProps/ctrlProp6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33" Type="http://schemas.openxmlformats.org/officeDocument/2006/relationships/ctrlProp" Target="../ctrlProps/ctrlProp30.xml"/><Relationship Id="rId34" Type="http://schemas.openxmlformats.org/officeDocument/2006/relationships/ctrlProp" Target="../ctrlProps/ctrlProp31.xml"/><Relationship Id="rId35" Type="http://schemas.openxmlformats.org/officeDocument/2006/relationships/ctrlProp" Target="../ctrlProps/ctrlProp32.xml"/><Relationship Id="rId10" Type="http://schemas.openxmlformats.org/officeDocument/2006/relationships/ctrlProp" Target="../ctrlProps/ctrlProp7.xml"/><Relationship Id="rId11" Type="http://schemas.openxmlformats.org/officeDocument/2006/relationships/ctrlProp" Target="../ctrlProps/ctrlProp8.xml"/><Relationship Id="rId12" Type="http://schemas.openxmlformats.org/officeDocument/2006/relationships/ctrlProp" Target="../ctrlProps/ctrlProp9.xml"/><Relationship Id="rId13" Type="http://schemas.openxmlformats.org/officeDocument/2006/relationships/ctrlProp" Target="../ctrlProps/ctrlProp10.xml"/><Relationship Id="rId14" Type="http://schemas.openxmlformats.org/officeDocument/2006/relationships/ctrlProp" Target="../ctrlProps/ctrlProp11.xml"/><Relationship Id="rId15" Type="http://schemas.openxmlformats.org/officeDocument/2006/relationships/ctrlProp" Target="../ctrlProps/ctrlProp12.xml"/><Relationship Id="rId16" Type="http://schemas.openxmlformats.org/officeDocument/2006/relationships/ctrlProp" Target="../ctrlProps/ctrlProp13.xml"/><Relationship Id="rId17" Type="http://schemas.openxmlformats.org/officeDocument/2006/relationships/ctrlProp" Target="../ctrlProps/ctrlProp14.xml"/><Relationship Id="rId18" Type="http://schemas.openxmlformats.org/officeDocument/2006/relationships/ctrlProp" Target="../ctrlProps/ctrlProp15.xml"/><Relationship Id="rId1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N1699"/>
  <sheetViews>
    <sheetView showGridLines="0" tabSelected="1" zoomScale="115" zoomScaleNormal="115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239" sqref="D239"/>
    </sheetView>
  </sheetViews>
  <sheetFormatPr baseColWidth="10" defaultColWidth="11" defaultRowHeight="16" x14ac:dyDescent="0.2"/>
  <cols>
    <col min="1" max="1" width="2.5" style="4" customWidth="1"/>
    <col min="2" max="2" width="4.83203125" style="40" customWidth="1"/>
    <col min="3" max="3" width="139.1640625" style="7" customWidth="1"/>
    <col min="4" max="4" width="5" style="41" customWidth="1"/>
    <col min="5" max="5" width="5.83203125" style="41" customWidth="1"/>
    <col min="6" max="6" width="11" style="42"/>
    <col min="7" max="8" width="10.83203125" style="5" hidden="1" customWidth="1"/>
    <col min="9" max="16384" width="11" style="5"/>
  </cols>
  <sheetData>
    <row r="1" spans="1:40" x14ac:dyDescent="0.2">
      <c r="B1" s="6" t="s">
        <v>1</v>
      </c>
      <c r="D1" s="1"/>
      <c r="E1" s="1"/>
      <c r="F1" s="3"/>
      <c r="G1" s="2"/>
      <c r="H1" s="2" t="b">
        <v>0</v>
      </c>
    </row>
    <row r="2" spans="1:40" x14ac:dyDescent="0.2">
      <c r="B2" s="49" t="s">
        <v>3</v>
      </c>
      <c r="D2" s="1"/>
      <c r="E2" s="1"/>
      <c r="F2" s="3"/>
      <c r="G2" s="2"/>
      <c r="H2" s="2" t="s">
        <v>2</v>
      </c>
    </row>
    <row r="3" spans="1:40" x14ac:dyDescent="0.2">
      <c r="B3" s="49" t="s">
        <v>4</v>
      </c>
      <c r="D3" s="1"/>
      <c r="E3" s="1"/>
      <c r="F3" s="3"/>
      <c r="G3" s="2"/>
      <c r="H3" s="2"/>
    </row>
    <row r="4" spans="1:40" x14ac:dyDescent="0.2">
      <c r="B4" s="49" t="s">
        <v>5</v>
      </c>
      <c r="D4" s="1"/>
      <c r="E4" s="1"/>
      <c r="F4" s="3"/>
      <c r="G4" s="2"/>
      <c r="H4" s="2"/>
    </row>
    <row r="5" spans="1:40" ht="17" thickBot="1" x14ac:dyDescent="0.25">
      <c r="D5" s="9"/>
      <c r="E5" s="9"/>
      <c r="F5" s="10"/>
      <c r="G5" s="2"/>
      <c r="H5" s="2"/>
    </row>
    <row r="6" spans="1:40" ht="29" x14ac:dyDescent="0.35">
      <c r="B6" s="86" t="s">
        <v>78</v>
      </c>
      <c r="C6" s="112" t="s">
        <v>0</v>
      </c>
      <c r="D6" s="112"/>
      <c r="E6" s="112"/>
      <c r="F6" s="11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7" customFormat="1" x14ac:dyDescent="0.2">
      <c r="A7" s="4"/>
      <c r="B7" s="48">
        <v>1</v>
      </c>
      <c r="C7" s="13" t="s">
        <v>30</v>
      </c>
      <c r="D7" s="44"/>
      <c r="E7" s="71"/>
      <c r="F7" s="30"/>
      <c r="G7" s="15"/>
      <c r="H7" s="15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">
      <c r="B8" s="50"/>
      <c r="C8" s="52" t="s">
        <v>31</v>
      </c>
      <c r="D8" s="43"/>
      <c r="E8" s="72" t="s">
        <v>22</v>
      </c>
      <c r="F8" s="28"/>
      <c r="G8" s="19"/>
      <c r="H8" s="21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">
      <c r="B9" s="47"/>
      <c r="C9" s="53" t="s">
        <v>32</v>
      </c>
      <c r="D9" s="43"/>
      <c r="E9" s="72" t="s">
        <v>23</v>
      </c>
      <c r="F9" s="22" t="str">
        <f>IF(H10=1,IF(H8=H$2,H8,""),"")</f>
        <v/>
      </c>
      <c r="G9" s="19"/>
      <c r="H9" s="21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">
      <c r="B10" s="47"/>
      <c r="C10" s="53" t="s">
        <v>33</v>
      </c>
      <c r="D10" s="43"/>
      <c r="E10" s="72" t="s">
        <v>24</v>
      </c>
      <c r="F10" s="23" t="str">
        <f>IF(H10=-0.33,IF(H8=H$1,H8,""),"")</f>
        <v/>
      </c>
      <c r="G10" s="19"/>
      <c r="H10" s="24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">
      <c r="B11" s="47"/>
      <c r="C11" s="53" t="s">
        <v>34</v>
      </c>
      <c r="D11" s="43"/>
      <c r="E11" s="72" t="s">
        <v>25</v>
      </c>
      <c r="F11" s="28"/>
      <c r="G11" s="19"/>
      <c r="H11" s="2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">
      <c r="B12" s="47"/>
      <c r="C12" s="8"/>
      <c r="D12" s="43"/>
      <c r="E12" s="72" t="s">
        <v>26</v>
      </c>
      <c r="F12" s="20"/>
      <c r="G12" s="19"/>
      <c r="H12" s="2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7" customFormat="1" x14ac:dyDescent="0.2">
      <c r="A13" s="4"/>
      <c r="B13" s="48">
        <v>2</v>
      </c>
      <c r="C13" s="13" t="s">
        <v>35</v>
      </c>
      <c r="D13" s="44"/>
      <c r="E13" s="71"/>
      <c r="F13" s="30"/>
      <c r="G13" s="15"/>
      <c r="H13" s="15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">
      <c r="B14" s="50"/>
      <c r="C14" s="52" t="s">
        <v>36</v>
      </c>
      <c r="D14" s="43"/>
      <c r="E14" s="72" t="s">
        <v>22</v>
      </c>
      <c r="F14" s="28"/>
      <c r="G14" s="19"/>
      <c r="H14" s="21" t="b">
        <f>IF(D16="x",H$2,H$1)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">
      <c r="B15" s="47"/>
      <c r="C15" s="53" t="s">
        <v>37</v>
      </c>
      <c r="D15" s="43"/>
      <c r="E15" s="72" t="s">
        <v>23</v>
      </c>
      <c r="F15" s="22" t="str">
        <f>IF(H16=1,IF(H14=H$2,H14,""),"")</f>
        <v/>
      </c>
      <c r="G15" s="19"/>
      <c r="H15" s="21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">
      <c r="B16" s="47"/>
      <c r="C16" s="53" t="s">
        <v>38</v>
      </c>
      <c r="D16" s="43"/>
      <c r="E16" s="72" t="s">
        <v>24</v>
      </c>
      <c r="F16" s="23" t="str">
        <f>IF(H16=-0.33,IF(H14=H$1,H14,""),"")</f>
        <v/>
      </c>
      <c r="G16" s="19"/>
      <c r="H16" s="24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">
      <c r="B17" s="47"/>
      <c r="C17" s="53" t="s">
        <v>39</v>
      </c>
      <c r="D17" s="43"/>
      <c r="E17" s="72" t="s">
        <v>25</v>
      </c>
      <c r="F17" s="28"/>
      <c r="G17" s="19"/>
      <c r="H17" s="19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">
      <c r="B18" s="47"/>
      <c r="C18" s="8"/>
      <c r="D18" s="43"/>
      <c r="E18" s="72" t="s">
        <v>26</v>
      </c>
      <c r="F18" s="20"/>
      <c r="G18" s="19"/>
      <c r="H18" s="19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7" customFormat="1" x14ac:dyDescent="0.2">
      <c r="A19" s="4"/>
      <c r="B19" s="48">
        <v>3</v>
      </c>
      <c r="C19" s="36" t="s">
        <v>40</v>
      </c>
      <c r="D19" s="44"/>
      <c r="E19" s="71"/>
      <c r="F19" s="30"/>
      <c r="G19" s="15"/>
      <c r="H19" s="15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">
      <c r="B20" s="50"/>
      <c r="C20" s="52" t="s">
        <v>41</v>
      </c>
      <c r="D20" s="43"/>
      <c r="E20" s="72" t="s">
        <v>22</v>
      </c>
      <c r="F20" s="28"/>
      <c r="G20" s="19"/>
      <c r="H20" s="21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">
      <c r="B21" s="47"/>
      <c r="C21" s="53" t="s">
        <v>42</v>
      </c>
      <c r="D21" s="43"/>
      <c r="E21" s="72" t="s">
        <v>23</v>
      </c>
      <c r="F21" s="22" t="str">
        <f>IF(H22=1,IF(H20=H$2,H20,""),"")</f>
        <v/>
      </c>
      <c r="G21" s="19"/>
      <c r="H21" s="21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">
      <c r="B22" s="47"/>
      <c r="C22" s="53" t="s">
        <v>43</v>
      </c>
      <c r="D22" s="43"/>
      <c r="E22" s="72" t="s">
        <v>24</v>
      </c>
      <c r="F22" s="23" t="str">
        <f>IF(H22=-0.33,IF(H20=H$1,H20,""),"")</f>
        <v/>
      </c>
      <c r="G22" s="19"/>
      <c r="H22" s="24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">
      <c r="B23" s="47"/>
      <c r="C23" s="53" t="s">
        <v>44</v>
      </c>
      <c r="D23" s="43"/>
      <c r="E23" s="72" t="s">
        <v>25</v>
      </c>
      <c r="F23" s="28"/>
      <c r="G23" s="19"/>
      <c r="H23" s="2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">
      <c r="B24" s="47"/>
      <c r="C24" s="8"/>
      <c r="D24" s="43"/>
      <c r="E24" s="72" t="s">
        <v>26</v>
      </c>
      <c r="F24" s="20"/>
      <c r="G24" s="19"/>
      <c r="H24" s="2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7" customFormat="1" x14ac:dyDescent="0.2">
      <c r="A25" s="4"/>
      <c r="B25" s="48">
        <v>4</v>
      </c>
      <c r="C25" s="13" t="s">
        <v>45</v>
      </c>
      <c r="D25" s="44"/>
      <c r="E25" s="71"/>
      <c r="F25" s="30"/>
      <c r="G25" s="15"/>
      <c r="H25" s="15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">
      <c r="B26" s="50"/>
      <c r="C26" s="52" t="s">
        <v>46</v>
      </c>
      <c r="D26" s="43"/>
      <c r="E26" s="72" t="s">
        <v>22</v>
      </c>
      <c r="F26" s="28"/>
      <c r="G26" s="19"/>
      <c r="H26" s="21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">
      <c r="B27" s="47"/>
      <c r="C27" s="53" t="s">
        <v>47</v>
      </c>
      <c r="D27" s="43"/>
      <c r="E27" s="72" t="s">
        <v>23</v>
      </c>
      <c r="F27" s="22" t="str">
        <f>IF(H28=1,IF(H26=H$2,H26,""),"")</f>
        <v/>
      </c>
      <c r="G27" s="19"/>
      <c r="H27" s="21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">
      <c r="B28" s="47"/>
      <c r="C28" s="53" t="s">
        <v>48</v>
      </c>
      <c r="D28" s="43"/>
      <c r="E28" s="72" t="s">
        <v>24</v>
      </c>
      <c r="F28" s="23" t="str">
        <f>IF(H28=-0.33,IF(H26=H$1,H26,""),"")</f>
        <v/>
      </c>
      <c r="G28" s="19"/>
      <c r="H28" s="24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">
      <c r="B29" s="47"/>
      <c r="C29" s="53" t="s">
        <v>49</v>
      </c>
      <c r="D29" s="43"/>
      <c r="E29" s="72" t="s">
        <v>25</v>
      </c>
      <c r="F29" s="28"/>
      <c r="G29" s="19"/>
      <c r="H29" s="2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">
      <c r="B30" s="47"/>
      <c r="C30" s="8"/>
      <c r="D30" s="43"/>
      <c r="E30" s="72" t="s">
        <v>26</v>
      </c>
      <c r="F30" s="20"/>
      <c r="G30" s="19"/>
      <c r="H30" s="2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7" customFormat="1" x14ac:dyDescent="0.2">
      <c r="A31" s="4"/>
      <c r="B31" s="48">
        <v>5</v>
      </c>
      <c r="C31" s="13" t="s">
        <v>35</v>
      </c>
      <c r="D31" s="44"/>
      <c r="E31" s="71"/>
      <c r="F31" s="30"/>
      <c r="G31" s="15"/>
      <c r="H31" s="15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">
      <c r="B32" s="50"/>
      <c r="C32" s="52" t="s">
        <v>50</v>
      </c>
      <c r="D32" s="43"/>
      <c r="E32" s="72" t="s">
        <v>22</v>
      </c>
      <c r="F32" s="28"/>
      <c r="G32" s="19"/>
      <c r="H32" s="21" t="b">
        <f>IF(D32="x",H$2,H$1)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">
      <c r="B33" s="47"/>
      <c r="C33" s="53" t="s">
        <v>51</v>
      </c>
      <c r="D33" s="43"/>
      <c r="E33" s="72" t="s">
        <v>23</v>
      </c>
      <c r="F33" s="22" t="str">
        <f>IF(H34=1,IF(H32=H$2,H32,""),"")</f>
        <v/>
      </c>
      <c r="G33" s="19"/>
      <c r="H33" s="21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">
      <c r="B34" s="47"/>
      <c r="C34" s="53" t="s">
        <v>52</v>
      </c>
      <c r="D34" s="43"/>
      <c r="E34" s="72" t="s">
        <v>24</v>
      </c>
      <c r="F34" s="23" t="str">
        <f>IF(H34=-0.33,IF(H32=H$1,H32,""),"")</f>
        <v/>
      </c>
      <c r="G34" s="19"/>
      <c r="H34" s="24">
        <f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">
      <c r="B35" s="47"/>
      <c r="C35" s="53" t="s">
        <v>53</v>
      </c>
      <c r="D35" s="43"/>
      <c r="E35" s="72" t="s">
        <v>25</v>
      </c>
      <c r="F35" s="28"/>
      <c r="G35" s="19"/>
      <c r="H35" s="19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">
      <c r="B36" s="47"/>
      <c r="C36" s="8"/>
      <c r="D36" s="43"/>
      <c r="E36" s="72" t="s">
        <v>26</v>
      </c>
      <c r="F36" s="20"/>
      <c r="G36" s="19"/>
      <c r="H36" s="19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7" customFormat="1" x14ac:dyDescent="0.2">
      <c r="A37" s="4"/>
      <c r="B37" s="48">
        <v>6</v>
      </c>
      <c r="C37" s="13" t="s">
        <v>54</v>
      </c>
      <c r="D37" s="44"/>
      <c r="E37" s="71"/>
      <c r="F37" s="30"/>
      <c r="G37" s="15"/>
      <c r="H37" s="15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">
      <c r="B38" s="50"/>
      <c r="C38" s="52" t="s">
        <v>55</v>
      </c>
      <c r="D38" s="43"/>
      <c r="E38" s="72" t="s">
        <v>22</v>
      </c>
      <c r="F38" s="28"/>
      <c r="G38" s="19"/>
      <c r="H38" s="21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">
      <c r="B39" s="47"/>
      <c r="C39" s="53" t="s">
        <v>56</v>
      </c>
      <c r="D39" s="43"/>
      <c r="E39" s="72" t="s">
        <v>23</v>
      </c>
      <c r="F39" s="22" t="str">
        <f>IF(H40=1,IF(H38=H$2,H38,""),"")</f>
        <v/>
      </c>
      <c r="G39" s="19"/>
      <c r="H39" s="21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">
      <c r="B40" s="47"/>
      <c r="C40" s="53" t="s">
        <v>57</v>
      </c>
      <c r="D40" s="43"/>
      <c r="E40" s="72" t="s">
        <v>24</v>
      </c>
      <c r="F40" s="23" t="str">
        <f>IF(H40=-0.33,IF(H38=H$1,H38,""),"")</f>
        <v/>
      </c>
      <c r="G40" s="19"/>
      <c r="H40" s="24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">
      <c r="B41" s="47"/>
      <c r="C41" s="53" t="s">
        <v>58</v>
      </c>
      <c r="D41" s="43"/>
      <c r="E41" s="72" t="s">
        <v>25</v>
      </c>
      <c r="F41" s="28"/>
      <c r="G41" s="19"/>
      <c r="H41" s="19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">
      <c r="B42" s="47"/>
      <c r="C42" s="8"/>
      <c r="D42" s="43"/>
      <c r="E42" s="72" t="s">
        <v>26</v>
      </c>
      <c r="F42" s="20"/>
      <c r="G42" s="19"/>
      <c r="H42" s="19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7" customFormat="1" x14ac:dyDescent="0.2">
      <c r="A43" s="4"/>
      <c r="B43" s="48">
        <v>7</v>
      </c>
      <c r="C43" s="13" t="s">
        <v>35</v>
      </c>
      <c r="D43" s="44"/>
      <c r="E43" s="71"/>
      <c r="F43" s="30"/>
      <c r="G43" s="15"/>
      <c r="H43" s="15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">
      <c r="B44" s="50"/>
      <c r="C44" s="52" t="s">
        <v>59</v>
      </c>
      <c r="D44" s="43"/>
      <c r="E44" s="72" t="s">
        <v>22</v>
      </c>
      <c r="F44" s="28"/>
      <c r="G44" s="19"/>
      <c r="H44" s="21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">
      <c r="B45" s="47"/>
      <c r="C45" s="53" t="s">
        <v>60</v>
      </c>
      <c r="D45" s="43"/>
      <c r="E45" s="72" t="s">
        <v>23</v>
      </c>
      <c r="F45" s="22" t="str">
        <f>IF(H46=1,IF(H44=H$2,H44,""),"")</f>
        <v/>
      </c>
      <c r="G45" s="19"/>
      <c r="H45" s="21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">
      <c r="B46" s="47"/>
      <c r="C46" s="53" t="s">
        <v>61</v>
      </c>
      <c r="D46" s="43"/>
      <c r="E46" s="72" t="s">
        <v>24</v>
      </c>
      <c r="F46" s="23" t="str">
        <f>IF(H46=-0.33,IF(H44=H$1,H44,""),"")</f>
        <v/>
      </c>
      <c r="G46" s="19"/>
      <c r="H46" s="24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">
      <c r="B47" s="47"/>
      <c r="C47" s="53" t="s">
        <v>62</v>
      </c>
      <c r="D47" s="43"/>
      <c r="E47" s="72" t="s">
        <v>25</v>
      </c>
      <c r="F47" s="28"/>
      <c r="G47" s="19"/>
      <c r="H47" s="2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">
      <c r="B48" s="47"/>
      <c r="C48" s="8"/>
      <c r="D48" s="43"/>
      <c r="E48" s="72" t="s">
        <v>26</v>
      </c>
      <c r="F48" s="20"/>
      <c r="G48" s="19"/>
      <c r="H48" s="2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7" customFormat="1" x14ac:dyDescent="0.2">
      <c r="A49" s="4"/>
      <c r="B49" s="48">
        <v>8</v>
      </c>
      <c r="C49" s="13" t="s">
        <v>63</v>
      </c>
      <c r="D49" s="44"/>
      <c r="E49" s="71"/>
      <c r="F49" s="30"/>
      <c r="G49" s="15"/>
      <c r="H49" s="15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">
      <c r="B50" s="50"/>
      <c r="C50" s="52" t="s">
        <v>64</v>
      </c>
      <c r="D50" s="43"/>
      <c r="E50" s="72" t="s">
        <v>22</v>
      </c>
      <c r="F50" s="28"/>
      <c r="G50" s="19"/>
      <c r="H50" s="21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">
      <c r="B51" s="47"/>
      <c r="C51" s="53" t="s">
        <v>65</v>
      </c>
      <c r="D51" s="43"/>
      <c r="E51" s="72" t="s">
        <v>23</v>
      </c>
      <c r="F51" s="22" t="str">
        <f>IF(H52=1,IF(H50=H$2,H50,""),"")</f>
        <v/>
      </c>
      <c r="G51" s="19"/>
      <c r="H51" s="21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">
      <c r="B52" s="47"/>
      <c r="C52" s="53" t="s">
        <v>66</v>
      </c>
      <c r="D52" s="43"/>
      <c r="E52" s="72" t="s">
        <v>24</v>
      </c>
      <c r="F52" s="23" t="str">
        <f>IF(H52=-0.33,IF(H50=H$1,H50,""),"")</f>
        <v/>
      </c>
      <c r="G52" s="19"/>
      <c r="H52" s="24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">
      <c r="B53" s="47"/>
      <c r="C53" s="53" t="s">
        <v>67</v>
      </c>
      <c r="D53" s="43"/>
      <c r="E53" s="72" t="s">
        <v>25</v>
      </c>
      <c r="F53" s="28"/>
      <c r="G53" s="19"/>
      <c r="H53" s="2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">
      <c r="B54" s="47"/>
      <c r="C54" s="8"/>
      <c r="D54" s="43"/>
      <c r="E54" s="72" t="s">
        <v>26</v>
      </c>
      <c r="F54" s="20"/>
      <c r="G54" s="19"/>
      <c r="H54" s="2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7" customFormat="1" x14ac:dyDescent="0.2">
      <c r="A55" s="4"/>
      <c r="B55" s="48">
        <v>9</v>
      </c>
      <c r="C55" s="13" t="s">
        <v>68</v>
      </c>
      <c r="D55" s="44"/>
      <c r="E55" s="71"/>
      <c r="F55" s="30"/>
      <c r="G55" s="15"/>
      <c r="H55" s="15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">
      <c r="B56" s="50"/>
      <c r="C56" s="52" t="s">
        <v>69</v>
      </c>
      <c r="D56" s="43"/>
      <c r="E56" s="72" t="s">
        <v>22</v>
      </c>
      <c r="F56" s="28"/>
      <c r="G56" s="19"/>
      <c r="H56" s="21" t="b">
        <f>IF(D59="x",H$2,H$1)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">
      <c r="B57" s="47"/>
      <c r="C57" s="53" t="s">
        <v>70</v>
      </c>
      <c r="D57" s="43"/>
      <c r="E57" s="72" t="s">
        <v>23</v>
      </c>
      <c r="F57" s="22" t="str">
        <f>IF(H58=1,IF(H56=H$2,H56,""),"")</f>
        <v/>
      </c>
      <c r="G57" s="19"/>
      <c r="H57" s="21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">
      <c r="B58" s="47"/>
      <c r="C58" s="53" t="s">
        <v>71</v>
      </c>
      <c r="D58" s="43"/>
      <c r="E58" s="72" t="s">
        <v>24</v>
      </c>
      <c r="F58" s="23" t="str">
        <f>IF(H58=-0.33,IF(H56=H$1,H56,""),"")</f>
        <v/>
      </c>
      <c r="G58" s="19"/>
      <c r="H58" s="24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">
      <c r="B59" s="47"/>
      <c r="C59" s="53" t="s">
        <v>72</v>
      </c>
      <c r="D59" s="43"/>
      <c r="E59" s="72" t="s">
        <v>25</v>
      </c>
      <c r="F59" s="28"/>
      <c r="G59" s="19"/>
      <c r="H59" s="21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">
      <c r="B60" s="47"/>
      <c r="C60" s="8"/>
      <c r="D60" s="43"/>
      <c r="E60" s="72" t="s">
        <v>26</v>
      </c>
      <c r="F60" s="20"/>
      <c r="G60" s="19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7" customFormat="1" x14ac:dyDescent="0.2">
      <c r="A61" s="4"/>
      <c r="B61" s="48">
        <v>10</v>
      </c>
      <c r="C61" s="13" t="s">
        <v>73</v>
      </c>
      <c r="D61" s="44"/>
      <c r="E61" s="71"/>
      <c r="F61" s="30"/>
      <c r="G61" s="25"/>
      <c r="H61" s="25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">
      <c r="B62" s="50"/>
      <c r="C62" s="52" t="s">
        <v>74</v>
      </c>
      <c r="D62" s="43"/>
      <c r="E62" s="72" t="s">
        <v>22</v>
      </c>
      <c r="F62" s="28"/>
      <c r="G62" s="26"/>
      <c r="H62" s="21" t="b">
        <f>IF(D65="x",H$2,H$1)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">
      <c r="B63" s="47"/>
      <c r="C63" s="53" t="s">
        <v>75</v>
      </c>
      <c r="D63" s="43"/>
      <c r="E63" s="72" t="s">
        <v>23</v>
      </c>
      <c r="F63" s="22" t="str">
        <f>IF(H64=1,IF(H62=H$2,H62,""),"")</f>
        <v/>
      </c>
      <c r="G63" s="26"/>
      <c r="H63" s="21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">
      <c r="B64" s="47"/>
      <c r="C64" s="53" t="s">
        <v>76</v>
      </c>
      <c r="D64" s="43"/>
      <c r="E64" s="72" t="s">
        <v>24</v>
      </c>
      <c r="F64" s="23" t="str">
        <f>IF(H64=-0.33,IF(H62=H$1,H62,""),"")</f>
        <v/>
      </c>
      <c r="G64" s="26"/>
      <c r="H64" s="24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">
      <c r="B65" s="47"/>
      <c r="C65" s="53" t="s">
        <v>77</v>
      </c>
      <c r="D65" s="43"/>
      <c r="E65" s="72" t="s">
        <v>25</v>
      </c>
      <c r="F65" s="28"/>
      <c r="G65" s="26"/>
      <c r="H65" s="2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">
      <c r="B66" s="47"/>
      <c r="C66" s="8"/>
      <c r="D66" s="43"/>
      <c r="E66" s="72" t="s">
        <v>26</v>
      </c>
      <c r="F66" s="20"/>
      <c r="G66" s="26"/>
      <c r="H66" s="2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">
      <c r="B67" s="50"/>
      <c r="C67" s="46"/>
      <c r="D67" s="65"/>
      <c r="E67" s="73"/>
      <c r="F67" s="20"/>
      <c r="G67" s="19"/>
      <c r="H67" s="19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">
      <c r="B68" s="50"/>
      <c r="C68" s="18"/>
      <c r="D68" s="65"/>
      <c r="E68" s="78"/>
      <c r="F68" s="31" t="s">
        <v>8</v>
      </c>
      <c r="G68" s="19" t="s">
        <v>6</v>
      </c>
      <c r="H68" s="19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20" x14ac:dyDescent="0.2">
      <c r="B69" s="50"/>
      <c r="C69" s="18"/>
      <c r="D69" s="111"/>
      <c r="E69" s="111"/>
      <c r="F69" s="32" t="str">
        <f>IF(E67="comprobar",H64+H58+H52+H46+H40+H34+H28+H22+H16+H10,"")</f>
        <v/>
      </c>
      <c r="G69" s="19">
        <f>10/2</f>
        <v>5</v>
      </c>
      <c r="H69" s="19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7" thickBot="1" x14ac:dyDescent="0.25">
      <c r="B70" s="51"/>
      <c r="C70" s="33"/>
      <c r="D70" s="34"/>
      <c r="E70" s="74"/>
      <c r="F70" s="35" t="str">
        <f>IF(F69&gt;G69,G68,H68)</f>
        <v>APROBADO</v>
      </c>
      <c r="G70" s="19"/>
      <c r="H70" s="19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9" x14ac:dyDescent="0.35">
      <c r="B71" s="87" t="s">
        <v>78</v>
      </c>
      <c r="C71" s="112" t="s">
        <v>9</v>
      </c>
      <c r="D71" s="112"/>
      <c r="E71" s="112"/>
      <c r="F71" s="113"/>
      <c r="G71" s="19"/>
      <c r="H71" s="19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7" customFormat="1" x14ac:dyDescent="0.2">
      <c r="A72" s="4"/>
      <c r="B72" s="48">
        <v>1</v>
      </c>
      <c r="C72" s="13" t="s">
        <v>79</v>
      </c>
      <c r="D72" s="44"/>
      <c r="E72" s="71"/>
      <c r="F72" s="30"/>
      <c r="G72" s="15"/>
      <c r="H72" s="15"/>
    </row>
    <row r="73" spans="1:40" x14ac:dyDescent="0.2">
      <c r="B73" s="50"/>
      <c r="C73" s="52" t="s">
        <v>80</v>
      </c>
      <c r="D73" s="43"/>
      <c r="E73" s="72" t="s">
        <v>22</v>
      </c>
      <c r="F73" s="28"/>
      <c r="G73" s="19"/>
      <c r="H73" s="21" t="b">
        <f>IF(D75="x",H$2,H$1)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">
      <c r="B74" s="47"/>
      <c r="C74" s="110">
        <v>1</v>
      </c>
      <c r="D74" s="43"/>
      <c r="E74" s="72" t="s">
        <v>23</v>
      </c>
      <c r="F74" s="22" t="str">
        <f>IF(H75=1,IF(H73=H$2,H73,""),"")</f>
        <v/>
      </c>
      <c r="G74" s="19"/>
      <c r="H74" s="21" t="str">
        <f>IF(E$192="comprobar",COUNTIF(D73:D77,"x"),"")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">
      <c r="B75" s="47"/>
      <c r="C75" s="110">
        <v>4</v>
      </c>
      <c r="D75" s="43"/>
      <c r="E75" s="72" t="s">
        <v>24</v>
      </c>
      <c r="F75" s="23" t="str">
        <f>IF(H75=-0.33,IF(H73=H$1,H73,""),"")</f>
        <v/>
      </c>
      <c r="G75" s="19"/>
      <c r="H75" s="24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">
      <c r="B76" s="47"/>
      <c r="C76" s="110">
        <v>2</v>
      </c>
      <c r="D76" s="43"/>
      <c r="E76" s="72" t="s">
        <v>25</v>
      </c>
      <c r="F76" s="28"/>
      <c r="G76" s="19"/>
      <c r="H76" s="2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">
      <c r="B77" s="47"/>
      <c r="C77" s="8"/>
      <c r="D77" s="43"/>
      <c r="E77" s="72" t="s">
        <v>26</v>
      </c>
      <c r="F77" s="20"/>
      <c r="G77" s="19"/>
      <c r="H77" s="2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7" customFormat="1" x14ac:dyDescent="0.2">
      <c r="A78" s="4"/>
      <c r="B78" s="48">
        <v>2</v>
      </c>
      <c r="C78" s="13" t="s">
        <v>81</v>
      </c>
      <c r="D78" s="44"/>
      <c r="E78" s="71"/>
      <c r="F78" s="30"/>
      <c r="G78" s="15"/>
      <c r="H78" s="15"/>
    </row>
    <row r="79" spans="1:40" x14ac:dyDescent="0.2">
      <c r="B79" s="50"/>
      <c r="C79" s="52" t="s">
        <v>82</v>
      </c>
      <c r="D79" s="43"/>
      <c r="E79" s="72" t="s">
        <v>22</v>
      </c>
      <c r="F79" s="28"/>
      <c r="G79" s="19"/>
      <c r="H79" s="21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">
      <c r="B80" s="47"/>
      <c r="C80" s="53" t="s">
        <v>83</v>
      </c>
      <c r="D80" s="43"/>
      <c r="E80" s="72" t="s">
        <v>23</v>
      </c>
      <c r="F80" s="22" t="str">
        <f>IF(H81=1,IF(H79=H$2,H79,""),"")</f>
        <v/>
      </c>
      <c r="G80" s="19"/>
      <c r="H80" s="21" t="str">
        <f>IF(E$192="comprobar",COUNTIF(D79:D83,"x"),"")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">
      <c r="B81" s="47"/>
      <c r="C81" s="53" t="s">
        <v>84</v>
      </c>
      <c r="D81" s="43"/>
      <c r="E81" s="72" t="s">
        <v>24</v>
      </c>
      <c r="F81" s="23" t="str">
        <f>IF(H81=-0.33,IF(H79=H$1,H79,""),"")</f>
        <v/>
      </c>
      <c r="G81" s="19"/>
      <c r="H81" s="24">
        <f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">
      <c r="B82" s="47"/>
      <c r="C82" s="53" t="s">
        <v>85</v>
      </c>
      <c r="D82" s="43"/>
      <c r="E82" s="72" t="s">
        <v>25</v>
      </c>
      <c r="F82" s="28"/>
      <c r="G82" s="19"/>
      <c r="H82" s="2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">
      <c r="B83" s="47"/>
      <c r="C83" s="8"/>
      <c r="D83" s="43"/>
      <c r="E83" s="72" t="s">
        <v>26</v>
      </c>
      <c r="F83" s="20"/>
      <c r="G83" s="19"/>
      <c r="H83" s="2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7" customFormat="1" x14ac:dyDescent="0.2">
      <c r="A84" s="100"/>
      <c r="B84" s="48">
        <v>3</v>
      </c>
      <c r="C84" s="13" t="s">
        <v>86</v>
      </c>
      <c r="D84" s="79"/>
      <c r="E84" s="75"/>
      <c r="F84" s="69"/>
      <c r="G84" s="55"/>
      <c r="H84" s="55"/>
    </row>
    <row r="85" spans="1:40" x14ac:dyDescent="0.2">
      <c r="B85" s="50"/>
      <c r="C85" s="52" t="s">
        <v>87</v>
      </c>
      <c r="D85" s="43"/>
      <c r="E85" s="72" t="s">
        <v>22</v>
      </c>
      <c r="F85" s="28"/>
      <c r="G85" s="19"/>
      <c r="H85" s="21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">
      <c r="B86" s="47"/>
      <c r="C86" s="53" t="s">
        <v>88</v>
      </c>
      <c r="D86" s="43"/>
      <c r="E86" s="72" t="s">
        <v>23</v>
      </c>
      <c r="F86" s="22" t="str">
        <f>IF(H87=1,IF(H85=H$2,H85,""),"")</f>
        <v/>
      </c>
      <c r="G86" s="19"/>
      <c r="H86" s="21" t="str">
        <f>IF(E$192="comprobar",COUNTIF(D85:D89,"x"),"")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">
      <c r="B87" s="47"/>
      <c r="C87" s="53" t="s">
        <v>89</v>
      </c>
      <c r="D87" s="43"/>
      <c r="E87" s="72" t="s">
        <v>24</v>
      </c>
      <c r="F87" s="23" t="str">
        <f>IF(H87=-0.33,IF(H85=H$1,H85,""),"")</f>
        <v/>
      </c>
      <c r="G87" s="19"/>
      <c r="H87" s="24">
        <f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">
      <c r="B88" s="47"/>
      <c r="C88" s="53" t="s">
        <v>90</v>
      </c>
      <c r="D88" s="43"/>
      <c r="E88" s="72" t="s">
        <v>25</v>
      </c>
      <c r="F88" s="28"/>
      <c r="G88" s="19"/>
      <c r="H88" s="2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">
      <c r="B89" s="47"/>
      <c r="C89" s="8"/>
      <c r="D89" s="43"/>
      <c r="E89" s="72" t="s">
        <v>26</v>
      </c>
      <c r="F89" s="20"/>
      <c r="G89" s="19"/>
      <c r="H89" s="2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7" customFormat="1" x14ac:dyDescent="0.2">
      <c r="A90" s="4"/>
      <c r="B90" s="48">
        <v>4</v>
      </c>
      <c r="C90" s="13" t="s">
        <v>91</v>
      </c>
      <c r="D90" s="44"/>
      <c r="E90" s="71"/>
      <c r="F90" s="30"/>
      <c r="G90" s="15"/>
      <c r="H90" s="15"/>
    </row>
    <row r="91" spans="1:40" x14ac:dyDescent="0.2">
      <c r="B91" s="50"/>
      <c r="C91" s="52" t="s">
        <v>92</v>
      </c>
      <c r="D91" s="43"/>
      <c r="E91" s="72" t="s">
        <v>22</v>
      </c>
      <c r="F91" s="28"/>
      <c r="G91" s="19"/>
      <c r="H91" s="21" t="b">
        <f>IF(D94="x",H$2,H$1)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">
      <c r="B92" s="47"/>
      <c r="C92" s="53" t="s">
        <v>93</v>
      </c>
      <c r="D92" s="43"/>
      <c r="E92" s="72" t="s">
        <v>23</v>
      </c>
      <c r="F92" s="22" t="str">
        <f>IF(H93=1,IF(H91=H$2,H91,""),"")</f>
        <v/>
      </c>
      <c r="G92" s="19"/>
      <c r="H92" s="21" t="str">
        <f>IF(E$192="comprobar",COUNTIF(D91:D95,"x"),"")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">
      <c r="B93" s="47"/>
      <c r="C93" s="53" t="s">
        <v>94</v>
      </c>
      <c r="D93" s="43"/>
      <c r="E93" s="72" t="s">
        <v>24</v>
      </c>
      <c r="F93" s="23" t="str">
        <f>IF(H93=-0.33,IF(H91=H$1,H91,""),"")</f>
        <v/>
      </c>
      <c r="G93" s="19"/>
      <c r="H93" s="24">
        <f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">
      <c r="B94" s="47"/>
      <c r="C94" s="53" t="s">
        <v>95</v>
      </c>
      <c r="D94" s="43"/>
      <c r="E94" s="72" t="s">
        <v>25</v>
      </c>
      <c r="F94" s="28"/>
      <c r="G94" s="19"/>
      <c r="H94" s="2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">
      <c r="B95" s="47"/>
      <c r="C95" s="8"/>
      <c r="D95" s="43"/>
      <c r="E95" s="72" t="s">
        <v>26</v>
      </c>
      <c r="F95" s="20"/>
      <c r="G95" s="19"/>
      <c r="H95" s="2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7" customFormat="1" x14ac:dyDescent="0.2">
      <c r="A96" s="4"/>
      <c r="B96" s="48">
        <v>5</v>
      </c>
      <c r="C96" s="13" t="s">
        <v>96</v>
      </c>
      <c r="D96" s="44"/>
      <c r="E96" s="71"/>
      <c r="F96" s="30"/>
      <c r="G96" s="15"/>
      <c r="H96" s="15"/>
    </row>
    <row r="97" spans="1:40" x14ac:dyDescent="0.2">
      <c r="B97" s="50"/>
      <c r="C97" s="52" t="s">
        <v>97</v>
      </c>
      <c r="D97" s="43"/>
      <c r="E97" s="72" t="s">
        <v>22</v>
      </c>
      <c r="F97" s="28"/>
      <c r="G97" s="19"/>
      <c r="H97" s="21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">
      <c r="B98" s="47"/>
      <c r="C98" s="53" t="s">
        <v>98</v>
      </c>
      <c r="D98" s="43"/>
      <c r="E98" s="72" t="s">
        <v>23</v>
      </c>
      <c r="F98" s="22" t="str">
        <f>IF(H99=1,IF(H97=H$2,H97,""),"")</f>
        <v/>
      </c>
      <c r="G98" s="19"/>
      <c r="H98" s="21" t="str">
        <f>IF(E$192="comprobar",COUNTIF(D97:D101,"x"),"")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">
      <c r="B99" s="47"/>
      <c r="C99" s="53" t="s">
        <v>99</v>
      </c>
      <c r="D99" s="43"/>
      <c r="E99" s="72" t="s">
        <v>24</v>
      </c>
      <c r="F99" s="23" t="str">
        <f>IF(H99=-0.33,IF(H97=H$1,H97,""),"")</f>
        <v/>
      </c>
      <c r="G99" s="19"/>
      <c r="H99" s="24">
        <f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">
      <c r="B100" s="47"/>
      <c r="C100" s="53" t="s">
        <v>100</v>
      </c>
      <c r="D100" s="43"/>
      <c r="E100" s="72" t="s">
        <v>25</v>
      </c>
      <c r="F100" s="28"/>
      <c r="G100" s="19"/>
      <c r="H100" s="2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">
      <c r="B101" s="47"/>
      <c r="C101" s="8"/>
      <c r="D101" s="43"/>
      <c r="E101" s="72" t="s">
        <v>26</v>
      </c>
      <c r="F101" s="20"/>
      <c r="G101" s="19"/>
      <c r="H101" s="2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7" customFormat="1" x14ac:dyDescent="0.2">
      <c r="A102" s="4"/>
      <c r="B102" s="48">
        <v>6</v>
      </c>
      <c r="C102" s="13" t="s">
        <v>101</v>
      </c>
      <c r="D102" s="44"/>
      <c r="E102" s="71"/>
      <c r="F102" s="30"/>
      <c r="G102" s="15"/>
      <c r="H102" s="15"/>
    </row>
    <row r="103" spans="1:40" x14ac:dyDescent="0.2">
      <c r="B103" s="50"/>
      <c r="C103" s="52" t="s">
        <v>102</v>
      </c>
      <c r="D103" s="43"/>
      <c r="E103" s="72" t="s">
        <v>22</v>
      </c>
      <c r="F103" s="28"/>
      <c r="G103" s="19"/>
      <c r="H103" s="21" t="b">
        <f>IF(D104="x",H$2,H$1)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">
      <c r="B104" s="47"/>
      <c r="C104" s="53" t="s">
        <v>103</v>
      </c>
      <c r="D104" s="43"/>
      <c r="E104" s="72" t="s">
        <v>23</v>
      </c>
      <c r="F104" s="22" t="str">
        <f>IF(H105=1,IF(H103=H$2,H103,""),"")</f>
        <v/>
      </c>
      <c r="G104" s="19"/>
      <c r="H104" s="21" t="str">
        <f>IF(E$192="comprobar",COUNTIF(D103:D107,"x"),"")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">
      <c r="B105" s="47"/>
      <c r="C105" s="53" t="s">
        <v>104</v>
      </c>
      <c r="D105" s="43"/>
      <c r="E105" s="72" t="s">
        <v>24</v>
      </c>
      <c r="F105" s="23" t="str">
        <f>IF(H105=-0.33,IF(H103=H$1,H103,""),"")</f>
        <v/>
      </c>
      <c r="G105" s="19"/>
      <c r="H105" s="24">
        <f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">
      <c r="B106" s="47"/>
      <c r="C106" s="53" t="s">
        <v>105</v>
      </c>
      <c r="D106" s="43"/>
      <c r="E106" s="72" t="s">
        <v>25</v>
      </c>
      <c r="F106" s="28"/>
      <c r="G106" s="19"/>
      <c r="H106" s="2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">
      <c r="B107" s="47"/>
      <c r="C107" s="8"/>
      <c r="D107" s="43"/>
      <c r="E107" s="72" t="s">
        <v>26</v>
      </c>
      <c r="F107" s="20"/>
      <c r="G107" s="19"/>
      <c r="H107" s="2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7" customFormat="1" x14ac:dyDescent="0.2">
      <c r="A108" s="4"/>
      <c r="B108" s="48">
        <v>7</v>
      </c>
      <c r="C108" s="13" t="s">
        <v>106</v>
      </c>
      <c r="D108" s="44"/>
      <c r="E108" s="71"/>
      <c r="F108" s="30"/>
      <c r="G108" s="15"/>
      <c r="H108" s="15"/>
    </row>
    <row r="109" spans="1:40" x14ac:dyDescent="0.2">
      <c r="B109" s="50"/>
      <c r="C109" s="52" t="s">
        <v>107</v>
      </c>
      <c r="D109" s="43"/>
      <c r="E109" s="72" t="s">
        <v>22</v>
      </c>
      <c r="F109" s="28"/>
      <c r="G109" s="19"/>
      <c r="H109" s="21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">
      <c r="B110" s="47"/>
      <c r="C110" s="110">
        <v>24</v>
      </c>
      <c r="D110" s="43"/>
      <c r="E110" s="72" t="s">
        <v>23</v>
      </c>
      <c r="F110" s="22" t="str">
        <f>IF(H111=1,IF(H109=H$2,H109,""),"")</f>
        <v/>
      </c>
      <c r="G110" s="19"/>
      <c r="H110" s="21" t="str">
        <f>IF(E$192="comprobar",COUNTIF(D109:D113,"x"),"")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">
      <c r="B111" s="47"/>
      <c r="C111" s="110">
        <v>2</v>
      </c>
      <c r="D111" s="43"/>
      <c r="E111" s="72" t="s">
        <v>24</v>
      </c>
      <c r="F111" s="23" t="str">
        <f>IF(H111=-0.33,IF(H109=H$1,H109,""),"")</f>
        <v/>
      </c>
      <c r="G111" s="19"/>
      <c r="H111" s="24">
        <f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">
      <c r="B112" s="47"/>
      <c r="C112" s="110">
        <v>1</v>
      </c>
      <c r="D112" s="43"/>
      <c r="E112" s="72" t="s">
        <v>25</v>
      </c>
      <c r="F112" s="28"/>
      <c r="G112" s="19"/>
      <c r="H112" s="2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">
      <c r="B113" s="47"/>
      <c r="C113" s="8"/>
      <c r="D113" s="43"/>
      <c r="E113" s="72" t="s">
        <v>26</v>
      </c>
      <c r="F113" s="20"/>
      <c r="G113" s="19"/>
      <c r="H113" s="2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7" customFormat="1" x14ac:dyDescent="0.2">
      <c r="A114" s="4"/>
      <c r="B114" s="48">
        <v>8</v>
      </c>
      <c r="C114" s="13" t="s">
        <v>108</v>
      </c>
      <c r="D114" s="44"/>
      <c r="E114" s="71"/>
      <c r="F114" s="30"/>
      <c r="G114" s="15"/>
      <c r="H114" s="15"/>
    </row>
    <row r="115" spans="1:40" x14ac:dyDescent="0.2">
      <c r="B115" s="50"/>
      <c r="C115" s="52" t="s">
        <v>109</v>
      </c>
      <c r="D115" s="43"/>
      <c r="E115" s="72" t="s">
        <v>22</v>
      </c>
      <c r="F115" s="28"/>
      <c r="G115" s="19"/>
      <c r="H115" s="21" t="b">
        <f>IF(D117="x",H$2,H$1)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">
      <c r="B116" s="47"/>
      <c r="C116" s="53" t="s">
        <v>110</v>
      </c>
      <c r="D116" s="43"/>
      <c r="E116" s="72" t="s">
        <v>23</v>
      </c>
      <c r="F116" s="22" t="str">
        <f>IF(H117=1,IF(H115=H$2,H115,""),"")</f>
        <v/>
      </c>
      <c r="G116" s="19"/>
      <c r="H116" s="21" t="str">
        <f>IF(E$192="comprobar",COUNTIF(D115:D119,"x"),"")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">
      <c r="B117" s="47"/>
      <c r="C117" s="53" t="s">
        <v>111</v>
      </c>
      <c r="D117" s="43"/>
      <c r="E117" s="72" t="s">
        <v>24</v>
      </c>
      <c r="F117" s="23" t="str">
        <f>IF(H117=-0.33,IF(H115=H$1,H115,""),"")</f>
        <v/>
      </c>
      <c r="G117" s="19"/>
      <c r="H117" s="24">
        <f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">
      <c r="B118" s="47"/>
      <c r="C118" s="53" t="s">
        <v>112</v>
      </c>
      <c r="D118" s="43"/>
      <c r="E118" s="72" t="s">
        <v>25</v>
      </c>
      <c r="F118" s="28"/>
      <c r="G118" s="19"/>
      <c r="H118" s="2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">
      <c r="B119" s="47"/>
      <c r="C119" s="8"/>
      <c r="D119" s="43"/>
      <c r="E119" s="72" t="s">
        <v>26</v>
      </c>
      <c r="F119" s="20"/>
      <c r="G119" s="19"/>
      <c r="H119" s="2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7" customFormat="1" x14ac:dyDescent="0.2">
      <c r="A120" s="4"/>
      <c r="B120" s="48">
        <v>9</v>
      </c>
      <c r="C120" s="13" t="s">
        <v>113</v>
      </c>
      <c r="D120" s="44"/>
      <c r="E120" s="71"/>
      <c r="F120" s="30"/>
      <c r="G120" s="15"/>
      <c r="H120" s="15"/>
    </row>
    <row r="121" spans="1:40" x14ac:dyDescent="0.2">
      <c r="B121" s="50"/>
      <c r="C121" s="52" t="s">
        <v>92</v>
      </c>
      <c r="D121" s="43"/>
      <c r="E121" s="72" t="s">
        <v>22</v>
      </c>
      <c r="F121" s="28"/>
      <c r="G121" s="19"/>
      <c r="H121" s="21" t="b">
        <f>IF(D124="x",H$2,H$1)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">
      <c r="B122" s="47"/>
      <c r="C122" s="53" t="s">
        <v>114</v>
      </c>
      <c r="D122" s="43"/>
      <c r="E122" s="72" t="s">
        <v>23</v>
      </c>
      <c r="F122" s="22" t="str">
        <f>IF(H123=1,IF(H121=H$2,H121,""),"")</f>
        <v/>
      </c>
      <c r="G122" s="19"/>
      <c r="H122" s="21" t="str">
        <f>IF(E$192="comprobar",COUNTIF(D121:D125,"x"),"")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">
      <c r="B123" s="47"/>
      <c r="C123" s="53" t="s">
        <v>115</v>
      </c>
      <c r="D123" s="43"/>
      <c r="E123" s="72" t="s">
        <v>24</v>
      </c>
      <c r="F123" s="23" t="str">
        <f>IF(H123=-0.33,IF(H121=H$1,H121,""),"")</f>
        <v/>
      </c>
      <c r="G123" s="19"/>
      <c r="H123" s="24">
        <f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">
      <c r="B124" s="47"/>
      <c r="C124" s="53" t="s">
        <v>116</v>
      </c>
      <c r="D124" s="43"/>
      <c r="E124" s="72" t="s">
        <v>25</v>
      </c>
      <c r="F124" s="28"/>
      <c r="G124" s="19"/>
      <c r="H124" s="2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">
      <c r="B125" s="47"/>
      <c r="C125" s="8"/>
      <c r="D125" s="43"/>
      <c r="E125" s="72" t="s">
        <v>26</v>
      </c>
      <c r="F125" s="20"/>
      <c r="G125" s="19"/>
      <c r="H125" s="2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7" customFormat="1" x14ac:dyDescent="0.2">
      <c r="A126" s="4"/>
      <c r="B126" s="48">
        <v>10</v>
      </c>
      <c r="C126" s="13" t="s">
        <v>117</v>
      </c>
      <c r="D126" s="44"/>
      <c r="E126" s="71"/>
      <c r="F126" s="30"/>
      <c r="G126" s="29"/>
      <c r="H126" s="15"/>
    </row>
    <row r="127" spans="1:40" x14ac:dyDescent="0.2">
      <c r="B127" s="50"/>
      <c r="C127" s="52" t="s">
        <v>118</v>
      </c>
      <c r="D127" s="43"/>
      <c r="E127" s="72" t="s">
        <v>22</v>
      </c>
      <c r="F127" s="28"/>
      <c r="G127" s="26"/>
      <c r="H127" s="21" t="b">
        <f>IF(D129="x",H$2,H$1)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">
      <c r="B128" s="47"/>
      <c r="C128" s="53" t="s">
        <v>119</v>
      </c>
      <c r="D128" s="43"/>
      <c r="E128" s="72" t="s">
        <v>23</v>
      </c>
      <c r="F128" s="22" t="str">
        <f>IF(H129=1,IF(H127=H$2,H127,""),"")</f>
        <v/>
      </c>
      <c r="G128" s="26"/>
      <c r="H128" s="21" t="str">
        <f>IF(E$192="comprobar",COUNTIF(D127:D131,"x"),"")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">
      <c r="B129" s="47"/>
      <c r="C129" s="53" t="s">
        <v>120</v>
      </c>
      <c r="D129" s="43"/>
      <c r="E129" s="72" t="s">
        <v>24</v>
      </c>
      <c r="F129" s="23" t="str">
        <f>IF(H129=-0.33,IF(H127=H$1,H127,""),"")</f>
        <v/>
      </c>
      <c r="G129" s="26"/>
      <c r="H129" s="24">
        <f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">
      <c r="B130" s="47"/>
      <c r="C130" s="53" t="s">
        <v>121</v>
      </c>
      <c r="D130" s="43"/>
      <c r="E130" s="72" t="s">
        <v>25</v>
      </c>
      <c r="F130" s="28"/>
      <c r="G130" s="26"/>
      <c r="H130" s="2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">
      <c r="B131" s="47"/>
      <c r="C131" s="8"/>
      <c r="D131" s="43"/>
      <c r="E131" s="72" t="s">
        <v>26</v>
      </c>
      <c r="F131" s="20"/>
      <c r="G131" s="26"/>
      <c r="H131" s="2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s="17" customFormat="1" x14ac:dyDescent="0.2">
      <c r="A132" s="4"/>
      <c r="B132" s="48">
        <v>11</v>
      </c>
      <c r="C132" s="13" t="s">
        <v>91</v>
      </c>
      <c r="D132" s="44"/>
      <c r="E132" s="71"/>
      <c r="F132" s="30"/>
      <c r="G132" s="29"/>
      <c r="H132" s="15"/>
    </row>
    <row r="133" spans="1:40" x14ac:dyDescent="0.2">
      <c r="B133" s="50"/>
      <c r="C133" s="52" t="s">
        <v>95</v>
      </c>
      <c r="D133" s="43"/>
      <c r="E133" s="72" t="s">
        <v>22</v>
      </c>
      <c r="F133" s="28"/>
      <c r="G133" s="26"/>
      <c r="H133" s="21" t="b">
        <f>IF(D133="x",H$2,H$1)</f>
        <v>0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s="39" customFormat="1" x14ac:dyDescent="0.2">
      <c r="A134" s="4"/>
      <c r="B134" s="47"/>
      <c r="C134" s="53" t="s">
        <v>92</v>
      </c>
      <c r="D134" s="43"/>
      <c r="E134" s="72" t="s">
        <v>23</v>
      </c>
      <c r="F134" s="22" t="str">
        <f>IF(H135=1,IF(H133=H$2,H133,""),"")</f>
        <v/>
      </c>
      <c r="G134" s="26"/>
      <c r="H134" s="21" t="str">
        <f>IF(E$192="comprobar",COUNTIF(D133:D137,"x"),"")</f>
        <v/>
      </c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</row>
    <row r="135" spans="1:40" s="39" customFormat="1" x14ac:dyDescent="0.2">
      <c r="A135" s="4"/>
      <c r="B135" s="47"/>
      <c r="C135" s="53" t="s">
        <v>94</v>
      </c>
      <c r="D135" s="43"/>
      <c r="E135" s="72" t="s">
        <v>24</v>
      </c>
      <c r="F135" s="23" t="str">
        <f>IF(H135=-0.33,IF(H133=H$1,H133,""),"")</f>
        <v/>
      </c>
      <c r="G135" s="26"/>
      <c r="H135" s="24">
        <f>IF(H134=1,IF(H133=H$2,1,-0.33),0)</f>
        <v>0</v>
      </c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</row>
    <row r="136" spans="1:40" x14ac:dyDescent="0.2">
      <c r="B136" s="47"/>
      <c r="C136" s="53" t="s">
        <v>93</v>
      </c>
      <c r="D136" s="43"/>
      <c r="E136" s="72" t="s">
        <v>25</v>
      </c>
      <c r="F136" s="28"/>
      <c r="G136" s="26"/>
      <c r="H136" s="2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x14ac:dyDescent="0.2">
      <c r="B137" s="47"/>
      <c r="C137" s="8"/>
      <c r="D137" s="43"/>
      <c r="E137" s="72" t="s">
        <v>26</v>
      </c>
      <c r="F137" s="20"/>
      <c r="G137" s="26"/>
      <c r="H137" s="2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</row>
    <row r="138" spans="1:40" s="17" customFormat="1" x14ac:dyDescent="0.2">
      <c r="A138" s="4"/>
      <c r="B138" s="48">
        <v>12</v>
      </c>
      <c r="C138" s="13" t="s">
        <v>96</v>
      </c>
      <c r="D138" s="44"/>
      <c r="E138" s="71"/>
      <c r="F138" s="30"/>
      <c r="G138" s="29"/>
      <c r="H138" s="15"/>
    </row>
    <row r="139" spans="1:40" x14ac:dyDescent="0.2">
      <c r="B139" s="50"/>
      <c r="C139" s="56" t="s">
        <v>99</v>
      </c>
      <c r="D139" s="43"/>
      <c r="E139" s="72" t="s">
        <v>22</v>
      </c>
      <c r="F139" s="28"/>
      <c r="G139" s="26"/>
      <c r="H139" s="21" t="b">
        <f>IF(D142="x",H$2,H$1)</f>
        <v>0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">
      <c r="B140" s="47"/>
      <c r="C140" s="53" t="s">
        <v>100</v>
      </c>
      <c r="D140" s="43"/>
      <c r="E140" s="72" t="s">
        <v>23</v>
      </c>
      <c r="F140" s="22" t="str">
        <f>IF(H141=1,IF(H139=H$2,H139,""),"")</f>
        <v/>
      </c>
      <c r="G140" s="26"/>
      <c r="H140" s="21" t="str">
        <f>IF(E$192="comprobar",COUNTIF(D139:D143,"x"),"")</f>
        <v/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">
      <c r="B141" s="47"/>
      <c r="C141" s="53" t="s">
        <v>97</v>
      </c>
      <c r="D141" s="43"/>
      <c r="E141" s="72" t="s">
        <v>24</v>
      </c>
      <c r="F141" s="23" t="str">
        <f>IF(H141=-0.33,IF(H139=H$1,H139,""),"")</f>
        <v/>
      </c>
      <c r="G141" s="26"/>
      <c r="H141" s="24">
        <f>IF(H140=1,IF(H139=H$2,1,-0.33),0)</f>
        <v>0</v>
      </c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">
      <c r="B142" s="47"/>
      <c r="C142" s="53" t="s">
        <v>98</v>
      </c>
      <c r="D142" s="43"/>
      <c r="E142" s="72" t="s">
        <v>25</v>
      </c>
      <c r="F142" s="28"/>
      <c r="G142" s="26"/>
      <c r="H142" s="2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">
      <c r="B143" s="47"/>
      <c r="C143" s="8"/>
      <c r="D143" s="43"/>
      <c r="E143" s="72" t="s">
        <v>26</v>
      </c>
      <c r="F143" s="20"/>
      <c r="G143" s="26"/>
      <c r="H143" s="2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s="17" customFormat="1" x14ac:dyDescent="0.2">
      <c r="A144" s="4"/>
      <c r="B144" s="48">
        <v>13</v>
      </c>
      <c r="C144" s="13" t="s">
        <v>122</v>
      </c>
      <c r="D144" s="44"/>
      <c r="E144" s="71"/>
      <c r="F144" s="30"/>
      <c r="G144" s="15"/>
      <c r="H144" s="15"/>
    </row>
    <row r="145" spans="1:40" x14ac:dyDescent="0.2">
      <c r="B145" s="50"/>
      <c r="C145" s="52" t="s">
        <v>123</v>
      </c>
      <c r="D145" s="43"/>
      <c r="E145" s="72" t="s">
        <v>22</v>
      </c>
      <c r="F145" s="28"/>
      <c r="G145" s="19"/>
      <c r="H145" s="21" t="b">
        <f>IF(D145="x",H$2,H$1)</f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">
      <c r="B146" s="47"/>
      <c r="C146" s="53" t="s">
        <v>124</v>
      </c>
      <c r="D146" s="43"/>
      <c r="E146" s="72" t="s">
        <v>23</v>
      </c>
      <c r="F146" s="22" t="str">
        <f>IF(H147=1,IF(H145=H$2,H145,""),"")</f>
        <v/>
      </c>
      <c r="G146" s="19"/>
      <c r="H146" s="21" t="str">
        <f>IF(E$192="comprobar",COUNTIF(D145:D149,"x"),"")</f>
        <v/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">
      <c r="B147" s="47"/>
      <c r="C147" s="53" t="s">
        <v>92</v>
      </c>
      <c r="D147" s="43"/>
      <c r="E147" s="72" t="s">
        <v>24</v>
      </c>
      <c r="F147" s="23" t="str">
        <f>IF(H147=-0.33,IF(H145=H$1,H145,""),"")</f>
        <v/>
      </c>
      <c r="G147" s="19"/>
      <c r="H147" s="24">
        <f>IF(H146=1,IF(H145=H$2,1,-0.33),0)</f>
        <v>0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">
      <c r="B148" s="47"/>
      <c r="C148" s="53" t="s">
        <v>125</v>
      </c>
      <c r="D148" s="43"/>
      <c r="E148" s="72" t="s">
        <v>25</v>
      </c>
      <c r="F148" s="28"/>
      <c r="G148" s="19"/>
      <c r="H148" s="2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x14ac:dyDescent="0.2">
      <c r="B149" s="47"/>
      <c r="C149" s="8"/>
      <c r="D149" s="43"/>
      <c r="E149" s="72" t="s">
        <v>26</v>
      </c>
      <c r="F149" s="20"/>
      <c r="G149" s="19"/>
      <c r="H149" s="2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</row>
    <row r="150" spans="1:40" s="17" customFormat="1" x14ac:dyDescent="0.2">
      <c r="A150" s="4"/>
      <c r="B150" s="48">
        <v>14</v>
      </c>
      <c r="C150" s="13" t="s">
        <v>126</v>
      </c>
      <c r="D150" s="44"/>
      <c r="E150" s="71"/>
      <c r="F150" s="30"/>
      <c r="G150" s="29"/>
      <c r="H150" s="15"/>
    </row>
    <row r="151" spans="1:40" x14ac:dyDescent="0.2">
      <c r="B151" s="50"/>
      <c r="C151" s="52" t="s">
        <v>110</v>
      </c>
      <c r="D151" s="43"/>
      <c r="E151" s="72" t="s">
        <v>22</v>
      </c>
      <c r="F151" s="28"/>
      <c r="G151" s="26"/>
      <c r="H151" s="21" t="b">
        <f>IF(D154="x",H$2,H$1)</f>
        <v>0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">
      <c r="B152" s="47"/>
      <c r="C152" s="53" t="s">
        <v>89</v>
      </c>
      <c r="D152" s="43"/>
      <c r="E152" s="72" t="s">
        <v>23</v>
      </c>
      <c r="F152" s="22" t="str">
        <f>IF(H153=1,IF(H151=H$2,H151,""),"")</f>
        <v/>
      </c>
      <c r="G152" s="26"/>
      <c r="H152" s="21" t="str">
        <f>IF(E$192="comprobar",COUNTIF(D151:D155,"x"),"")</f>
        <v/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">
      <c r="B153" s="47"/>
      <c r="C153" s="53" t="s">
        <v>127</v>
      </c>
      <c r="D153" s="43"/>
      <c r="E153" s="72" t="s">
        <v>24</v>
      </c>
      <c r="F153" s="23" t="str">
        <f>IF(H153=-0.33,IF(H151=H$1,H151,""),"")</f>
        <v/>
      </c>
      <c r="G153" s="26"/>
      <c r="H153" s="24">
        <f>IF(H152=1,IF(H151=H$2,1,-0.33),0)</f>
        <v>0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">
      <c r="B154" s="47"/>
      <c r="C154" s="53" t="s">
        <v>128</v>
      </c>
      <c r="D154" s="43"/>
      <c r="E154" s="72" t="s">
        <v>25</v>
      </c>
      <c r="F154" s="28"/>
      <c r="G154" s="26"/>
      <c r="H154" s="2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x14ac:dyDescent="0.2">
      <c r="B155" s="47"/>
      <c r="C155" s="8"/>
      <c r="D155" s="43"/>
      <c r="E155" s="72" t="s">
        <v>26</v>
      </c>
      <c r="F155" s="20"/>
      <c r="G155" s="26"/>
      <c r="H155" s="2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</row>
    <row r="156" spans="1:40" s="38" customFormat="1" x14ac:dyDescent="0.2">
      <c r="A156" s="4"/>
      <c r="B156" s="48">
        <v>15</v>
      </c>
      <c r="C156" s="13" t="s">
        <v>81</v>
      </c>
      <c r="D156" s="44"/>
      <c r="E156" s="71"/>
      <c r="F156" s="30"/>
      <c r="G156" s="29"/>
      <c r="H156" s="15"/>
    </row>
    <row r="157" spans="1:40" x14ac:dyDescent="0.2">
      <c r="B157" s="50"/>
      <c r="C157" s="52" t="s">
        <v>82</v>
      </c>
      <c r="D157" s="43"/>
      <c r="E157" s="72" t="s">
        <v>22</v>
      </c>
      <c r="F157" s="28"/>
      <c r="G157" s="26"/>
      <c r="H157" s="21" t="b">
        <f>IF(D158="x",H$2,H$1)</f>
        <v>0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">
      <c r="B158" s="47"/>
      <c r="C158" s="53" t="s">
        <v>83</v>
      </c>
      <c r="D158" s="43"/>
      <c r="E158" s="72" t="s">
        <v>23</v>
      </c>
      <c r="F158" s="22" t="str">
        <f>IF(H159=1,IF(H157=H$2,H157,""),"")</f>
        <v/>
      </c>
      <c r="G158" s="26"/>
      <c r="H158" s="21" t="str">
        <f>IF(E$192="comprobar",COUNTIF(D157:D161,"x"),"")</f>
        <v/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">
      <c r="B159" s="47"/>
      <c r="C159" s="53" t="s">
        <v>84</v>
      </c>
      <c r="D159" s="43"/>
      <c r="E159" s="72" t="s">
        <v>24</v>
      </c>
      <c r="F159" s="23" t="str">
        <f>IF(H159=-0.33,IF(H157=H$1,H157,""),"")</f>
        <v/>
      </c>
      <c r="G159" s="26"/>
      <c r="H159" s="24">
        <f>IF(H158=1,IF(H157=H$2,1,-0.33),0)</f>
        <v>0</v>
      </c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">
      <c r="B160" s="47"/>
      <c r="C160" s="53" t="s">
        <v>85</v>
      </c>
      <c r="D160" s="43"/>
      <c r="E160" s="72" t="s">
        <v>25</v>
      </c>
      <c r="F160" s="28"/>
      <c r="G160" s="26"/>
      <c r="H160" s="2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x14ac:dyDescent="0.2">
      <c r="B161" s="47"/>
      <c r="C161" s="8"/>
      <c r="D161" s="43"/>
      <c r="E161" s="72" t="s">
        <v>26</v>
      </c>
      <c r="F161" s="20"/>
      <c r="G161" s="26"/>
      <c r="H161" s="2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</row>
    <row r="162" spans="1:40" s="38" customFormat="1" ht="17" thickBot="1" x14ac:dyDescent="0.25">
      <c r="A162" s="4"/>
      <c r="B162" s="48">
        <v>16</v>
      </c>
      <c r="C162" s="13" t="s">
        <v>129</v>
      </c>
      <c r="D162" s="44"/>
      <c r="E162" s="71"/>
      <c r="F162" s="30"/>
      <c r="G162" s="29"/>
      <c r="H162" s="15"/>
    </row>
    <row r="163" spans="1:40" ht="17" thickTop="1" x14ac:dyDescent="0.2">
      <c r="B163" s="50"/>
      <c r="C163" s="52" t="s">
        <v>130</v>
      </c>
      <c r="D163" s="43"/>
      <c r="E163" s="72" t="s">
        <v>22</v>
      </c>
      <c r="F163" s="105" t="s">
        <v>905</v>
      </c>
      <c r="G163" s="26"/>
      <c r="H163" s="21" t="b">
        <f>IF(D167="x",H$2,H$1)</f>
        <v>0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">
      <c r="B164" s="47"/>
      <c r="C164" s="53" t="s">
        <v>131</v>
      </c>
      <c r="D164" s="43"/>
      <c r="E164" s="72" t="s">
        <v>23</v>
      </c>
      <c r="F164" s="106" t="str">
        <f>IF(H165=1,IF(H163=H$2,H163,""),"")</f>
        <v/>
      </c>
      <c r="G164" s="26"/>
      <c r="H164" s="21" t="str">
        <f>IF(E$192="comprobar",COUNTIF(D163:D167,"x"),"")</f>
        <v/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">
      <c r="B165" s="47"/>
      <c r="C165" s="53" t="s">
        <v>132</v>
      </c>
      <c r="D165" s="43"/>
      <c r="E165" s="72" t="s">
        <v>24</v>
      </c>
      <c r="F165" s="107" t="str">
        <f>IF(H165=-0.33,IF(H163=H$1,H163,""),"")</f>
        <v/>
      </c>
      <c r="G165" s="26"/>
      <c r="H165" s="24">
        <f>IF(H164=1,IF(H163=H$2,1,-0.33),0)</f>
        <v>0</v>
      </c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17" thickBot="1" x14ac:dyDescent="0.25">
      <c r="B166" s="47"/>
      <c r="C166" s="53" t="s">
        <v>133</v>
      </c>
      <c r="D166" s="43"/>
      <c r="E166" s="72" t="s">
        <v>25</v>
      </c>
      <c r="F166" s="108" t="s">
        <v>904</v>
      </c>
      <c r="G166" s="26"/>
      <c r="H166" s="2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ht="17" thickTop="1" x14ac:dyDescent="0.2">
      <c r="B167" s="47"/>
      <c r="C167" s="8"/>
      <c r="D167" s="43"/>
      <c r="E167" s="72" t="s">
        <v>26</v>
      </c>
      <c r="F167" s="20"/>
      <c r="G167" s="26"/>
      <c r="H167" s="2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</row>
    <row r="168" spans="1:40" s="17" customFormat="1" x14ac:dyDescent="0.2">
      <c r="A168" s="4"/>
      <c r="B168" s="48">
        <v>17</v>
      </c>
      <c r="C168" s="13" t="s">
        <v>134</v>
      </c>
      <c r="D168" s="80"/>
      <c r="E168" s="67"/>
      <c r="F168" s="64"/>
      <c r="G168" s="29"/>
      <c r="H168" s="15"/>
    </row>
    <row r="169" spans="1:40" x14ac:dyDescent="0.2">
      <c r="B169" s="50"/>
      <c r="C169" s="52" t="s">
        <v>120</v>
      </c>
      <c r="D169" s="43"/>
      <c r="E169" s="72" t="s">
        <v>22</v>
      </c>
      <c r="F169" s="28"/>
      <c r="G169" s="26"/>
      <c r="H169" s="21" t="b">
        <f>IF(D169="x",H$2,H$1)</f>
        <v>0</v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">
      <c r="B170" s="47"/>
      <c r="C170" s="53" t="s">
        <v>119</v>
      </c>
      <c r="D170" s="43"/>
      <c r="E170" s="72" t="s">
        <v>23</v>
      </c>
      <c r="F170" s="22" t="str">
        <f>IF(H171=1,IF(H169=H$2,H169,""),"")</f>
        <v/>
      </c>
      <c r="G170" s="26"/>
      <c r="H170" s="21" t="str">
        <f>IF(E$192="comprobar",COUNTIF(D169:D173,"x"),"")</f>
        <v/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">
      <c r="B171" s="47"/>
      <c r="C171" s="53" t="s">
        <v>118</v>
      </c>
      <c r="D171" s="43"/>
      <c r="E171" s="72" t="s">
        <v>24</v>
      </c>
      <c r="F171" s="23" t="str">
        <f>IF(H171=-0.33,IF(H169=H$1,H169,""),"")</f>
        <v/>
      </c>
      <c r="G171" s="26"/>
      <c r="H171" s="24">
        <f>IF(H170=1,IF(H169=H$2,1,-0.33),0)</f>
        <v>0</v>
      </c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">
      <c r="B172" s="47"/>
      <c r="C172" s="53" t="s">
        <v>121</v>
      </c>
      <c r="D172" s="43"/>
      <c r="E172" s="72" t="s">
        <v>25</v>
      </c>
      <c r="F172" s="28"/>
      <c r="G172" s="26"/>
      <c r="H172" s="2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x14ac:dyDescent="0.2">
      <c r="B173" s="47"/>
      <c r="C173" s="8"/>
      <c r="D173" s="43"/>
      <c r="E173" s="72" t="s">
        <v>26</v>
      </c>
      <c r="F173" s="20"/>
      <c r="G173" s="26"/>
      <c r="H173" s="2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</row>
    <row r="174" spans="1:40" s="17" customFormat="1" x14ac:dyDescent="0.2">
      <c r="A174" s="4"/>
      <c r="B174" s="48">
        <v>18</v>
      </c>
      <c r="C174" s="13" t="s">
        <v>108</v>
      </c>
      <c r="D174" s="44"/>
      <c r="E174" s="71"/>
      <c r="F174" s="30"/>
      <c r="G174" s="29"/>
      <c r="H174" s="15"/>
    </row>
    <row r="175" spans="1:40" x14ac:dyDescent="0.2">
      <c r="B175" s="50"/>
      <c r="C175" s="52" t="s">
        <v>110</v>
      </c>
      <c r="D175" s="43"/>
      <c r="E175" s="72" t="s">
        <v>22</v>
      </c>
      <c r="F175" s="28"/>
      <c r="G175" s="26"/>
      <c r="H175" s="21" t="b">
        <f>IF(D177="x",H$2,H$1)</f>
        <v>0</v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">
      <c r="B176" s="47"/>
      <c r="C176" s="53" t="s">
        <v>112</v>
      </c>
      <c r="D176" s="43"/>
      <c r="E176" s="72" t="s">
        <v>23</v>
      </c>
      <c r="F176" s="22" t="str">
        <f>IF(H177=1,IF(H175=H$2,H175,""),"")</f>
        <v/>
      </c>
      <c r="G176" s="26"/>
      <c r="H176" s="21" t="str">
        <f>IF(E$192="comprobar",COUNTIF(D175:D179,"x"),"")</f>
        <v/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">
      <c r="B177" s="47"/>
      <c r="C177" s="53" t="s">
        <v>111</v>
      </c>
      <c r="D177" s="43"/>
      <c r="E177" s="72" t="s">
        <v>24</v>
      </c>
      <c r="F177" s="23" t="str">
        <f>IF(H177=-0.33,IF(H175=H$1,H175,""),"")</f>
        <v/>
      </c>
      <c r="G177" s="26"/>
      <c r="H177" s="24">
        <f>IF(H176=1,IF(H175=H$2,1,-0.33),0)</f>
        <v>0</v>
      </c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">
      <c r="B178" s="47"/>
      <c r="C178" s="53" t="s">
        <v>109</v>
      </c>
      <c r="D178" s="43"/>
      <c r="E178" s="72" t="s">
        <v>25</v>
      </c>
      <c r="F178" s="28"/>
      <c r="G178" s="26"/>
      <c r="H178" s="2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x14ac:dyDescent="0.2">
      <c r="B179" s="47"/>
      <c r="C179" s="8"/>
      <c r="D179" s="43"/>
      <c r="E179" s="72" t="s">
        <v>26</v>
      </c>
      <c r="F179" s="20"/>
      <c r="G179" s="26"/>
      <c r="H179" s="2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</row>
    <row r="180" spans="1:40" s="17" customFormat="1" x14ac:dyDescent="0.2">
      <c r="A180" s="4"/>
      <c r="B180" s="48">
        <v>19</v>
      </c>
      <c r="C180" s="13" t="s">
        <v>135</v>
      </c>
      <c r="D180" s="44"/>
      <c r="E180" s="71"/>
      <c r="F180" s="30"/>
      <c r="G180" s="29"/>
      <c r="H180" s="15"/>
    </row>
    <row r="181" spans="1:40" x14ac:dyDescent="0.2">
      <c r="B181" s="50"/>
      <c r="C181" s="52" t="s">
        <v>136</v>
      </c>
      <c r="D181" s="43"/>
      <c r="E181" s="72" t="s">
        <v>22</v>
      </c>
      <c r="F181" s="28"/>
      <c r="G181" s="26"/>
      <c r="H181" s="21" t="b">
        <f>IF(D181="x",H$2,H$1)</f>
        <v>0</v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">
      <c r="B182" s="47"/>
      <c r="C182" s="53" t="s">
        <v>137</v>
      </c>
      <c r="D182" s="43"/>
      <c r="E182" s="72" t="s">
        <v>23</v>
      </c>
      <c r="F182" s="22" t="str">
        <f>IF(H183=1,IF(H181=H$2,H181,""),"")</f>
        <v/>
      </c>
      <c r="G182" s="26"/>
      <c r="H182" s="21" t="str">
        <f>IF(E$192="comprobar",COUNTIF(D181:D185,"x"),"")</f>
        <v/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">
      <c r="B183" s="47"/>
      <c r="C183" s="57" t="s">
        <v>18</v>
      </c>
      <c r="D183" s="43"/>
      <c r="E183" s="72" t="s">
        <v>24</v>
      </c>
      <c r="F183" s="23" t="str">
        <f>IF(H183=-0.33,IF(H181=H$1,H181,""),"")</f>
        <v/>
      </c>
      <c r="G183" s="26"/>
      <c r="H183" s="24">
        <f>IF(H182=1,IF(H181=H$2,1,-0.33),0)</f>
        <v>0</v>
      </c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">
      <c r="B184" s="47"/>
      <c r="C184" s="53" t="s">
        <v>138</v>
      </c>
      <c r="D184" s="43"/>
      <c r="E184" s="72" t="s">
        <v>25</v>
      </c>
      <c r="F184" s="28"/>
      <c r="G184" s="26"/>
      <c r="H184" s="2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x14ac:dyDescent="0.2">
      <c r="B185" s="47"/>
      <c r="C185" s="8"/>
      <c r="D185" s="43"/>
      <c r="E185" s="72" t="s">
        <v>26</v>
      </c>
      <c r="F185" s="20"/>
      <c r="G185" s="26"/>
      <c r="H185" s="2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</row>
    <row r="186" spans="1:40" s="17" customFormat="1" x14ac:dyDescent="0.2">
      <c r="A186" s="4"/>
      <c r="B186" s="48">
        <v>20</v>
      </c>
      <c r="C186" s="13" t="s">
        <v>139</v>
      </c>
      <c r="D186" s="44"/>
      <c r="E186" s="71"/>
      <c r="F186" s="30"/>
      <c r="G186" s="29"/>
      <c r="H186" s="15"/>
    </row>
    <row r="187" spans="1:40" x14ac:dyDescent="0.2">
      <c r="B187" s="50"/>
      <c r="C187" s="52" t="s">
        <v>140</v>
      </c>
      <c r="D187" s="43"/>
      <c r="E187" s="72" t="s">
        <v>22</v>
      </c>
      <c r="F187" s="28"/>
      <c r="G187" s="26"/>
      <c r="H187" s="21" t="b">
        <f>IF(D187="x",H$2,H$1)</f>
        <v>0</v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">
      <c r="B188" s="47"/>
      <c r="C188" s="53" t="s">
        <v>141</v>
      </c>
      <c r="D188" s="43"/>
      <c r="E188" s="72" t="s">
        <v>23</v>
      </c>
      <c r="F188" s="22" t="str">
        <f>IF(H189=1,IF(H187=H$2,H187,""),"")</f>
        <v/>
      </c>
      <c r="G188" s="26"/>
      <c r="H188" s="21" t="str">
        <f>IF(E192="comprobar",COUNTIF(D187:D191,"x"),"")</f>
        <v/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">
      <c r="B189" s="47"/>
      <c r="C189" s="53" t="s">
        <v>142</v>
      </c>
      <c r="D189" s="43"/>
      <c r="E189" s="72" t="s">
        <v>24</v>
      </c>
      <c r="F189" s="23" t="str">
        <f>IF(H189=-0.33,IF(H187=H$1,H187,""),"")</f>
        <v/>
      </c>
      <c r="G189" s="26"/>
      <c r="H189" s="24">
        <f>IF(H188=1,IF(H187=H$2,1,-0.33),0)</f>
        <v>0</v>
      </c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">
      <c r="B190" s="47"/>
      <c r="C190" s="53" t="s">
        <v>143</v>
      </c>
      <c r="D190" s="43"/>
      <c r="E190" s="72" t="s">
        <v>25</v>
      </c>
      <c r="F190" s="28"/>
      <c r="G190" s="26"/>
      <c r="H190" s="2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x14ac:dyDescent="0.2">
      <c r="B191" s="47"/>
      <c r="C191" s="8"/>
      <c r="D191" s="43"/>
      <c r="E191" s="72" t="s">
        <v>26</v>
      </c>
      <c r="F191" s="20"/>
      <c r="G191" s="19"/>
      <c r="H191" s="2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</row>
    <row r="192" spans="1:40" x14ac:dyDescent="0.2">
      <c r="B192" s="50"/>
      <c r="C192" s="46"/>
      <c r="D192" s="65"/>
      <c r="E192" s="73"/>
      <c r="F192" s="20"/>
      <c r="G192" s="19"/>
      <c r="H192" s="19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">
      <c r="B193" s="50"/>
      <c r="C193" s="18"/>
      <c r="D193" s="65"/>
      <c r="E193" s="78"/>
      <c r="F193" s="31" t="s">
        <v>8</v>
      </c>
      <c r="G193" s="19" t="s">
        <v>6</v>
      </c>
      <c r="H193" s="19" t="s">
        <v>7</v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ht="20" x14ac:dyDescent="0.2">
      <c r="B194" s="50"/>
      <c r="C194" s="18"/>
      <c r="D194" s="63"/>
      <c r="E194" s="70"/>
      <c r="F194" s="32" t="str">
        <f>IF(E192="comprobar",H129+H123+H117+H111+H105+H99+H93+H87+H81+H75+H135+H141+H147+H153+H159+H165+H171+H177+H183+H189,"")</f>
        <v/>
      </c>
      <c r="G194" s="19">
        <f>20/2</f>
        <v>10</v>
      </c>
      <c r="H194" s="19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ht="17" thickBot="1" x14ac:dyDescent="0.25">
      <c r="B195" s="51"/>
      <c r="C195" s="33"/>
      <c r="D195" s="34"/>
      <c r="E195" s="74"/>
      <c r="F195" s="35" t="str">
        <f>IF(F194&gt;G194,G193,H193)</f>
        <v>APROBADO</v>
      </c>
      <c r="G195" s="19"/>
      <c r="H195" s="19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s="104" customFormat="1" ht="29" x14ac:dyDescent="0.35">
      <c r="A196" s="102"/>
      <c r="B196" s="103" t="s">
        <v>78</v>
      </c>
      <c r="C196" s="84" t="s">
        <v>10</v>
      </c>
      <c r="D196" s="84"/>
      <c r="E196" s="84"/>
      <c r="F196" s="85"/>
      <c r="I196" s="102"/>
      <c r="J196" s="102"/>
      <c r="K196" s="102"/>
      <c r="L196" s="102"/>
      <c r="M196" s="102"/>
      <c r="N196" s="102"/>
      <c r="O196" s="102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  <c r="AA196" s="102"/>
      <c r="AB196" s="102"/>
      <c r="AC196" s="102"/>
      <c r="AD196" s="102"/>
      <c r="AE196" s="102"/>
      <c r="AF196" s="102"/>
      <c r="AG196" s="102"/>
      <c r="AH196" s="102"/>
      <c r="AI196" s="102"/>
      <c r="AJ196" s="102"/>
      <c r="AK196" s="102"/>
      <c r="AL196" s="102"/>
      <c r="AM196" s="102"/>
      <c r="AN196" s="102"/>
    </row>
    <row r="197" spans="1:40" s="17" customFormat="1" x14ac:dyDescent="0.2">
      <c r="A197" s="4"/>
      <c r="B197" s="48"/>
      <c r="C197" s="13" t="s">
        <v>144</v>
      </c>
      <c r="D197" s="44"/>
      <c r="E197" s="71"/>
      <c r="F197" s="30"/>
      <c r="G197" s="15"/>
      <c r="H197" s="15"/>
    </row>
    <row r="198" spans="1:40" x14ac:dyDescent="0.2">
      <c r="B198" s="50"/>
      <c r="C198" s="52" t="s">
        <v>145</v>
      </c>
      <c r="D198" s="43"/>
      <c r="E198" s="72" t="s">
        <v>22</v>
      </c>
      <c r="F198" s="28"/>
      <c r="G198" s="19"/>
      <c r="H198" s="21" t="b">
        <f>IF(D201="x",H$2,H$1)</f>
        <v>0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x14ac:dyDescent="0.2">
      <c r="B199" s="47"/>
      <c r="C199" s="53" t="s">
        <v>146</v>
      </c>
      <c r="D199" s="43"/>
      <c r="E199" s="72" t="s">
        <v>23</v>
      </c>
      <c r="F199" s="22" t="str">
        <f>IF(H200=1,IF(H198=H$2,H198,""),"")</f>
        <v/>
      </c>
      <c r="G199" s="19"/>
      <c r="H199" s="21" t="str">
        <f>IF(E257="comprobar",COUNTIF(D198:D202,"x"),"")</f>
        <v/>
      </c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x14ac:dyDescent="0.2">
      <c r="B200" s="47"/>
      <c r="C200" s="53" t="s">
        <v>147</v>
      </c>
      <c r="D200" s="43"/>
      <c r="E200" s="72" t="s">
        <v>24</v>
      </c>
      <c r="F200" s="23" t="str">
        <f>IF(H200=-0.33,IF(H198=H$1,H198,""),"")</f>
        <v/>
      </c>
      <c r="G200" s="19"/>
      <c r="H200" s="24">
        <f>IF(H199=1,IF(H198=H$2,1,-0.33),0)</f>
        <v>0</v>
      </c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x14ac:dyDescent="0.2">
      <c r="B201" s="47"/>
      <c r="C201" s="53" t="s">
        <v>148</v>
      </c>
      <c r="D201" s="43"/>
      <c r="E201" s="72" t="s">
        <v>25</v>
      </c>
      <c r="F201" s="28"/>
      <c r="G201" s="19"/>
      <c r="H201" s="2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x14ac:dyDescent="0.2">
      <c r="B202" s="47"/>
      <c r="C202" s="8"/>
      <c r="D202" s="43"/>
      <c r="E202" s="72" t="s">
        <v>26</v>
      </c>
      <c r="F202" s="20"/>
      <c r="G202" s="19"/>
      <c r="H202" s="2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</row>
    <row r="203" spans="1:40" s="17" customFormat="1" x14ac:dyDescent="0.2">
      <c r="A203" s="4"/>
      <c r="B203" s="48"/>
      <c r="C203" s="13" t="s">
        <v>149</v>
      </c>
      <c r="D203" s="44"/>
      <c r="E203" s="71"/>
      <c r="F203" s="30"/>
      <c r="G203" s="15"/>
      <c r="H203" s="15"/>
    </row>
    <row r="204" spans="1:40" x14ac:dyDescent="0.2">
      <c r="B204" s="50"/>
      <c r="C204" s="52" t="s">
        <v>150</v>
      </c>
      <c r="D204" s="43"/>
      <c r="E204" s="72" t="s">
        <v>22</v>
      </c>
      <c r="F204" s="28"/>
      <c r="G204" s="19"/>
      <c r="H204" s="21" t="b">
        <f>IF(D204="x",H$2,H$1)</f>
        <v>0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">
      <c r="B205" s="47"/>
      <c r="C205" s="53" t="s">
        <v>151</v>
      </c>
      <c r="D205" s="43"/>
      <c r="E205" s="72" t="s">
        <v>23</v>
      </c>
      <c r="F205" s="22" t="str">
        <f>IF(H206=1,IF(H204=H$2,H204,""),"")</f>
        <v/>
      </c>
      <c r="G205" s="19"/>
      <c r="H205" s="21" t="str">
        <f>IF(E$257="comprobar",COUNTIF(D204:D208,"x"),"")</f>
        <v/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">
      <c r="B206" s="47"/>
      <c r="C206" s="53" t="s">
        <v>152</v>
      </c>
      <c r="D206" s="43"/>
      <c r="E206" s="72" t="s">
        <v>24</v>
      </c>
      <c r="F206" s="23" t="str">
        <f>IF(H206=-0.33,IF(H204=H$1,H204,""),"")</f>
        <v/>
      </c>
      <c r="G206" s="19"/>
      <c r="H206" s="24">
        <f>IF(H205=1,IF(H204=H$2,1,-0.33),0)</f>
        <v>0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">
      <c r="B207" s="47"/>
      <c r="C207" s="53" t="s">
        <v>153</v>
      </c>
      <c r="D207" s="43"/>
      <c r="E207" s="72" t="s">
        <v>25</v>
      </c>
      <c r="F207" s="28"/>
      <c r="G207" s="19"/>
      <c r="H207" s="2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x14ac:dyDescent="0.2">
      <c r="B208" s="47"/>
      <c r="C208" s="8"/>
      <c r="D208" s="43"/>
      <c r="E208" s="72" t="s">
        <v>26</v>
      </c>
      <c r="F208" s="20"/>
      <c r="G208" s="19"/>
      <c r="H208" s="2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</row>
    <row r="209" spans="1:40" s="17" customFormat="1" x14ac:dyDescent="0.2">
      <c r="A209" s="100"/>
      <c r="B209" s="48"/>
      <c r="C209" s="13" t="s">
        <v>154</v>
      </c>
      <c r="D209" s="44"/>
      <c r="E209" s="71"/>
      <c r="F209" s="30"/>
      <c r="G209" s="15"/>
      <c r="H209" s="15"/>
    </row>
    <row r="210" spans="1:40" x14ac:dyDescent="0.2">
      <c r="B210" s="50"/>
      <c r="C210" s="52" t="s">
        <v>155</v>
      </c>
      <c r="D210" s="43"/>
      <c r="E210" s="72" t="s">
        <v>22</v>
      </c>
      <c r="F210" s="28"/>
      <c r="G210" s="19"/>
      <c r="H210" s="21" t="b">
        <f>IF(D212="x",H$2,H$1)</f>
        <v>0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">
      <c r="B211" s="47"/>
      <c r="C211" s="53" t="s">
        <v>156</v>
      </c>
      <c r="D211" s="43"/>
      <c r="E211" s="72" t="s">
        <v>23</v>
      </c>
      <c r="F211" s="22" t="str">
        <f>IF(H212=1,IF(H210=H$2,H210,""),"")</f>
        <v/>
      </c>
      <c r="G211" s="19"/>
      <c r="H211" s="21" t="str">
        <f>IF(E$257="comprobar",COUNTIF(D210:D214,"x"),"")</f>
        <v/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">
      <c r="B212" s="47"/>
      <c r="C212" s="53" t="s">
        <v>157</v>
      </c>
      <c r="D212" s="43"/>
      <c r="E212" s="72" t="s">
        <v>24</v>
      </c>
      <c r="F212" s="23" t="str">
        <f>IF(H212=-0.33,IF(H210=H$1,H210,""),"")</f>
        <v/>
      </c>
      <c r="G212" s="19"/>
      <c r="H212" s="24">
        <f>IF(H211=1,IF(H210=H$2,1,-0.33),0)</f>
        <v>0</v>
      </c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">
      <c r="B213" s="47"/>
      <c r="C213" s="53" t="s">
        <v>158</v>
      </c>
      <c r="D213" s="43"/>
      <c r="E213" s="72" t="s">
        <v>25</v>
      </c>
      <c r="F213" s="28"/>
      <c r="G213" s="19"/>
      <c r="H213" s="2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x14ac:dyDescent="0.2">
      <c r="B214" s="47"/>
      <c r="C214" s="8"/>
      <c r="D214" s="43"/>
      <c r="E214" s="72" t="s">
        <v>26</v>
      </c>
      <c r="F214" s="20"/>
      <c r="G214" s="19"/>
      <c r="H214" s="2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</row>
    <row r="215" spans="1:40" s="17" customFormat="1" x14ac:dyDescent="0.2">
      <c r="A215" s="4"/>
      <c r="B215" s="48"/>
      <c r="C215" s="13" t="s">
        <v>159</v>
      </c>
      <c r="D215" s="44"/>
      <c r="E215" s="71"/>
      <c r="F215" s="30"/>
      <c r="G215" s="15"/>
      <c r="H215" s="15"/>
    </row>
    <row r="216" spans="1:40" x14ac:dyDescent="0.2">
      <c r="B216" s="50"/>
      <c r="C216" s="52" t="s">
        <v>160</v>
      </c>
      <c r="D216" s="43"/>
      <c r="E216" s="72" t="s">
        <v>22</v>
      </c>
      <c r="F216" s="28"/>
      <c r="G216" s="19"/>
      <c r="H216" s="21" t="b">
        <f>IF(D218="x",H$2,H$1)</f>
        <v>0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">
      <c r="B217" s="47"/>
      <c r="C217" s="53" t="s">
        <v>161</v>
      </c>
      <c r="D217" s="43"/>
      <c r="E217" s="72" t="s">
        <v>23</v>
      </c>
      <c r="F217" s="22" t="str">
        <f>IF(H218=1,IF(H216=H$2,H216,""),"")</f>
        <v/>
      </c>
      <c r="G217" s="19"/>
      <c r="H217" s="21" t="str">
        <f>IF(E$257="comprobar",COUNTIF(D216:D220,"x"),"")</f>
        <v/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">
      <c r="B218" s="47"/>
      <c r="C218" s="53" t="s">
        <v>162</v>
      </c>
      <c r="D218" s="43"/>
      <c r="E218" s="72" t="s">
        <v>24</v>
      </c>
      <c r="F218" s="23" t="str">
        <f>IF(H218=-0.33,IF(H216=H$1,H216,""),"")</f>
        <v/>
      </c>
      <c r="G218" s="19"/>
      <c r="H218" s="24">
        <f>IF(H217=1,IF(H216=H$2,1,-0.33),0)</f>
        <v>0</v>
      </c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">
      <c r="B219" s="47"/>
      <c r="C219" s="53" t="s">
        <v>163</v>
      </c>
      <c r="D219" s="43"/>
      <c r="E219" s="72" t="s">
        <v>25</v>
      </c>
      <c r="F219" s="28"/>
      <c r="G219" s="19"/>
      <c r="H219" s="2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x14ac:dyDescent="0.2">
      <c r="B220" s="47"/>
      <c r="C220" s="8"/>
      <c r="D220" s="43"/>
      <c r="E220" s="72" t="s">
        <v>26</v>
      </c>
      <c r="F220" s="20"/>
      <c r="G220" s="19"/>
      <c r="H220" s="2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</row>
    <row r="221" spans="1:40" s="17" customFormat="1" x14ac:dyDescent="0.2">
      <c r="A221" s="4"/>
      <c r="B221" s="48"/>
      <c r="C221" s="13" t="s">
        <v>164</v>
      </c>
      <c r="D221" s="44"/>
      <c r="E221" s="71"/>
      <c r="F221" s="30"/>
      <c r="G221" s="15"/>
      <c r="H221" s="15"/>
    </row>
    <row r="222" spans="1:40" x14ac:dyDescent="0.2">
      <c r="B222" s="50"/>
      <c r="C222" s="52" t="s">
        <v>161</v>
      </c>
      <c r="D222" s="43"/>
      <c r="E222" s="72" t="s">
        <v>22</v>
      </c>
      <c r="F222" s="28"/>
      <c r="G222" s="19"/>
      <c r="H222" s="21" t="b">
        <f>IF(D225="x",H$2,H$1)</f>
        <v>0</v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">
      <c r="B223" s="47"/>
      <c r="C223" s="53" t="s">
        <v>162</v>
      </c>
      <c r="D223" s="43"/>
      <c r="E223" s="72" t="s">
        <v>23</v>
      </c>
      <c r="F223" s="22" t="str">
        <f>IF(H224=1,IF(H222=H$2,H222,""),"")</f>
        <v/>
      </c>
      <c r="G223" s="19"/>
      <c r="H223" s="21" t="str">
        <f>IF(E$257="comprobar",COUNTIF(D222:D226,"x"),"")</f>
        <v/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">
      <c r="B224" s="47"/>
      <c r="C224" s="53" t="s">
        <v>163</v>
      </c>
      <c r="D224" s="43"/>
      <c r="E224" s="72" t="s">
        <v>24</v>
      </c>
      <c r="F224" s="23" t="str">
        <f>IF(H224=-0.33,IF(H222=H$1,H222,""),"")</f>
        <v/>
      </c>
      <c r="G224" s="19"/>
      <c r="H224" s="24">
        <f>IF(H223=1,IF(H222=H$2,1,-0.33),0)</f>
        <v>0</v>
      </c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">
      <c r="B225" s="47"/>
      <c r="C225" s="53" t="s">
        <v>165</v>
      </c>
      <c r="D225" s="43"/>
      <c r="E225" s="72" t="s">
        <v>25</v>
      </c>
      <c r="F225" s="28"/>
      <c r="G225" s="19"/>
      <c r="H225" s="2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x14ac:dyDescent="0.2">
      <c r="B226" s="47"/>
      <c r="C226" s="8"/>
      <c r="D226" s="43"/>
      <c r="E226" s="72" t="s">
        <v>26</v>
      </c>
      <c r="F226" s="20"/>
      <c r="G226" s="19"/>
      <c r="H226" s="2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</row>
    <row r="227" spans="1:40" s="17" customFormat="1" x14ac:dyDescent="0.2">
      <c r="A227" s="4"/>
      <c r="B227" s="48"/>
      <c r="C227" s="13" t="s">
        <v>166</v>
      </c>
      <c r="D227" s="44"/>
      <c r="E227" s="71"/>
      <c r="F227" s="30"/>
      <c r="G227" s="15"/>
      <c r="H227" s="15"/>
    </row>
    <row r="228" spans="1:40" x14ac:dyDescent="0.2">
      <c r="B228" s="50"/>
      <c r="C228" s="52" t="s">
        <v>167</v>
      </c>
      <c r="D228" s="43"/>
      <c r="E228" s="72" t="s">
        <v>22</v>
      </c>
      <c r="F228" s="28"/>
      <c r="G228" s="19"/>
      <c r="H228" s="21" t="b">
        <f>IF(D231="x",H$2,H$1)</f>
        <v>0</v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">
      <c r="B229" s="47"/>
      <c r="C229" s="53" t="s">
        <v>168</v>
      </c>
      <c r="D229" s="43"/>
      <c r="E229" s="72" t="s">
        <v>23</v>
      </c>
      <c r="F229" s="22" t="str">
        <f>IF(H230=1,IF(H228=H$2,H228,""),"")</f>
        <v/>
      </c>
      <c r="G229" s="19"/>
      <c r="H229" s="21" t="str">
        <f>IF(E$257="comprobar",COUNTIF(D228:D232,"x"),"")</f>
        <v/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">
      <c r="B230" s="47"/>
      <c r="C230" s="53" t="s">
        <v>169</v>
      </c>
      <c r="D230" s="43"/>
      <c r="E230" s="72" t="s">
        <v>24</v>
      </c>
      <c r="F230" s="23" t="str">
        <f>IF(H230=-0.33,IF(H228=H$1,H228,""),"")</f>
        <v/>
      </c>
      <c r="G230" s="19"/>
      <c r="H230" s="24">
        <f>IF(H229=1,IF(H228=H$2,1,-0.33),0)</f>
        <v>0</v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">
      <c r="B231" s="47"/>
      <c r="C231" s="53" t="s">
        <v>170</v>
      </c>
      <c r="D231" s="43"/>
      <c r="E231" s="72" t="s">
        <v>25</v>
      </c>
      <c r="F231" s="28"/>
      <c r="G231" s="19"/>
      <c r="H231" s="2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x14ac:dyDescent="0.2">
      <c r="B232" s="47"/>
      <c r="C232" s="8"/>
      <c r="D232" s="43"/>
      <c r="E232" s="72" t="s">
        <v>26</v>
      </c>
      <c r="F232" s="20"/>
      <c r="G232" s="19"/>
      <c r="H232" s="2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</row>
    <row r="233" spans="1:40" s="17" customFormat="1" x14ac:dyDescent="0.2">
      <c r="A233" s="4"/>
      <c r="B233" s="48"/>
      <c r="C233" s="13" t="s">
        <v>171</v>
      </c>
      <c r="D233" s="44"/>
      <c r="E233" s="71"/>
      <c r="F233" s="30"/>
      <c r="G233" s="15"/>
      <c r="H233" s="15"/>
    </row>
    <row r="234" spans="1:40" s="39" customFormat="1" x14ac:dyDescent="0.2">
      <c r="A234" s="4"/>
      <c r="B234" s="50"/>
      <c r="C234" s="52" t="s">
        <v>161</v>
      </c>
      <c r="D234" s="43"/>
      <c r="E234" s="72" t="s">
        <v>22</v>
      </c>
      <c r="F234" s="28"/>
      <c r="G234" s="19"/>
      <c r="H234" s="21" t="b">
        <f>IF(D237="x",H$2,H$1)</f>
        <v>0</v>
      </c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</row>
    <row r="235" spans="1:40" x14ac:dyDescent="0.2">
      <c r="B235" s="47"/>
      <c r="C235" s="53" t="s">
        <v>162</v>
      </c>
      <c r="D235" s="43"/>
      <c r="E235" s="72" t="s">
        <v>23</v>
      </c>
      <c r="F235" s="22" t="str">
        <f>IF(H236=1,IF(H234=H$2,H234,""),"")</f>
        <v/>
      </c>
      <c r="G235" s="19"/>
      <c r="H235" s="21" t="str">
        <f>IF(E$257="comprobar",COUNTIF(D234:D238,"x"),"")</f>
        <v/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">
      <c r="B236" s="47"/>
      <c r="C236" s="53" t="s">
        <v>172</v>
      </c>
      <c r="D236" s="43"/>
      <c r="E236" s="72" t="s">
        <v>24</v>
      </c>
      <c r="F236" s="23" t="str">
        <f>IF(H236=-0.33,IF(H234=H$1,H234,""),"")</f>
        <v/>
      </c>
      <c r="G236" s="19"/>
      <c r="H236" s="24">
        <f>IF(H235=1,IF(H234=H$2,1,-0.33),0)</f>
        <v>0</v>
      </c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">
      <c r="B237" s="47"/>
      <c r="C237" s="53" t="s">
        <v>163</v>
      </c>
      <c r="D237" s="43"/>
      <c r="E237" s="72" t="s">
        <v>25</v>
      </c>
      <c r="F237" s="28"/>
      <c r="G237" s="19"/>
      <c r="H237" s="2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x14ac:dyDescent="0.2">
      <c r="B238" s="47"/>
      <c r="C238" s="8"/>
      <c r="D238" s="43"/>
      <c r="E238" s="72" t="s">
        <v>26</v>
      </c>
      <c r="F238" s="20"/>
      <c r="G238" s="19"/>
      <c r="H238" s="2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</row>
    <row r="239" spans="1:40" s="17" customFormat="1" x14ac:dyDescent="0.2">
      <c r="A239" s="4"/>
      <c r="B239" s="48"/>
      <c r="C239" s="13" t="s">
        <v>173</v>
      </c>
      <c r="D239" s="44"/>
      <c r="E239" s="71"/>
      <c r="F239" s="30"/>
      <c r="G239" s="15"/>
      <c r="H239" s="15"/>
    </row>
    <row r="240" spans="1:40" x14ac:dyDescent="0.2">
      <c r="B240" s="50"/>
      <c r="C240" s="52" t="s">
        <v>174</v>
      </c>
      <c r="D240" s="43"/>
      <c r="E240" s="72" t="s">
        <v>22</v>
      </c>
      <c r="F240" s="28"/>
      <c r="G240" s="19"/>
      <c r="H240" s="21" t="b">
        <f>IF(D240="x",H$2,H$1)</f>
        <v>0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">
      <c r="B241" s="47"/>
      <c r="C241" s="53" t="s">
        <v>175</v>
      </c>
      <c r="D241" s="43"/>
      <c r="E241" s="72" t="s">
        <v>23</v>
      </c>
      <c r="F241" s="22" t="str">
        <f>IF(H242=1,IF(H240=H$2,H240,""),"")</f>
        <v/>
      </c>
      <c r="G241" s="19"/>
      <c r="H241" s="21" t="str">
        <f>IF(E$257="comprobar",COUNTIF(D240:D244,"x"),"")</f>
        <v/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">
      <c r="B242" s="47"/>
      <c r="C242" s="53" t="s">
        <v>176</v>
      </c>
      <c r="D242" s="43"/>
      <c r="E242" s="72" t="s">
        <v>24</v>
      </c>
      <c r="F242" s="23" t="str">
        <f>IF(H242=-0.33,IF(H240=H$1,H240,""),"")</f>
        <v/>
      </c>
      <c r="G242" s="19"/>
      <c r="H242" s="24">
        <f>IF(H241=1,IF(H240=H$2,1,-0.33),0)</f>
        <v>0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">
      <c r="B243" s="47"/>
      <c r="C243" s="53" t="s">
        <v>177</v>
      </c>
      <c r="D243" s="43"/>
      <c r="E243" s="72" t="s">
        <v>25</v>
      </c>
      <c r="F243" s="28"/>
      <c r="G243" s="19"/>
      <c r="H243" s="2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x14ac:dyDescent="0.2">
      <c r="B244" s="47"/>
      <c r="C244" s="8"/>
      <c r="D244" s="43"/>
      <c r="E244" s="72" t="s">
        <v>26</v>
      </c>
      <c r="F244" s="20"/>
      <c r="G244" s="19"/>
      <c r="H244" s="2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</row>
    <row r="245" spans="1:40" s="17" customFormat="1" x14ac:dyDescent="0.2">
      <c r="A245" s="4"/>
      <c r="B245" s="48"/>
      <c r="C245" s="13" t="s">
        <v>178</v>
      </c>
      <c r="D245" s="44"/>
      <c r="E245" s="71"/>
      <c r="F245" s="30"/>
      <c r="G245" s="15"/>
      <c r="H245" s="15"/>
    </row>
    <row r="246" spans="1:40" x14ac:dyDescent="0.2">
      <c r="B246" s="50"/>
      <c r="C246" s="52" t="s">
        <v>179</v>
      </c>
      <c r="D246" s="43"/>
      <c r="E246" s="72" t="s">
        <v>22</v>
      </c>
      <c r="F246" s="28"/>
      <c r="G246" s="19"/>
      <c r="H246" s="21" t="b">
        <f>IF(D248="x",H$2,H$1)</f>
        <v>0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">
      <c r="B247" s="47"/>
      <c r="C247" s="53" t="s">
        <v>180</v>
      </c>
      <c r="D247" s="43"/>
      <c r="E247" s="72" t="s">
        <v>23</v>
      </c>
      <c r="F247" s="22" t="str">
        <f>IF(H248=1,IF(H246=H$2,H246,""),"")</f>
        <v/>
      </c>
      <c r="G247" s="19"/>
      <c r="H247" s="21" t="str">
        <f>IF(E$257="comprobar",COUNTIF(D246:D250,"x"),"")</f>
        <v/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">
      <c r="B248" s="47"/>
      <c r="C248" s="53" t="s">
        <v>181</v>
      </c>
      <c r="D248" s="43"/>
      <c r="E248" s="72" t="s">
        <v>24</v>
      </c>
      <c r="F248" s="23" t="str">
        <f>IF(H248=-0.33,IF(H246=H$1,H246,""),"")</f>
        <v/>
      </c>
      <c r="G248" s="19"/>
      <c r="H248" s="24">
        <f>IF(H247=1,IF(H246=H$2,1,-0.33),0)</f>
        <v>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">
      <c r="B249" s="47"/>
      <c r="C249" s="53" t="s">
        <v>182</v>
      </c>
      <c r="D249" s="43"/>
      <c r="E249" s="72" t="s">
        <v>25</v>
      </c>
      <c r="F249" s="28"/>
      <c r="G249" s="19"/>
      <c r="H249" s="2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x14ac:dyDescent="0.2">
      <c r="B250" s="47"/>
      <c r="C250" s="8"/>
      <c r="D250" s="43"/>
      <c r="E250" s="72" t="s">
        <v>26</v>
      </c>
      <c r="F250" s="20"/>
      <c r="G250" s="19"/>
      <c r="H250" s="2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</row>
    <row r="251" spans="1:40" s="17" customFormat="1" x14ac:dyDescent="0.2">
      <c r="A251" s="4"/>
      <c r="B251" s="48"/>
      <c r="C251" s="13" t="s">
        <v>183</v>
      </c>
      <c r="D251" s="44"/>
      <c r="E251" s="71"/>
      <c r="F251" s="30"/>
      <c r="G251" s="29"/>
      <c r="H251" s="15"/>
    </row>
    <row r="252" spans="1:40" x14ac:dyDescent="0.2">
      <c r="B252" s="50"/>
      <c r="C252" s="52" t="s">
        <v>184</v>
      </c>
      <c r="D252" s="43"/>
      <c r="E252" s="72" t="s">
        <v>22</v>
      </c>
      <c r="F252" s="28"/>
      <c r="G252" s="26"/>
      <c r="H252" s="21" t="b">
        <f>IF(D252="x",H$2,H$1)</f>
        <v>0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">
      <c r="B253" s="47"/>
      <c r="C253" s="53" t="s">
        <v>185</v>
      </c>
      <c r="D253" s="43"/>
      <c r="E253" s="72" t="s">
        <v>23</v>
      </c>
      <c r="F253" s="22" t="str">
        <f>IF(H254=1,IF(H252=H$2,H252,""),"")</f>
        <v/>
      </c>
      <c r="G253" s="26"/>
      <c r="H253" s="21" t="str">
        <f>IF(E$257="comprobar",COUNTIF(D252:D256,"x"),"")</f>
        <v/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">
      <c r="B254" s="47"/>
      <c r="C254" s="53" t="s">
        <v>186</v>
      </c>
      <c r="D254" s="43"/>
      <c r="E254" s="72" t="s">
        <v>24</v>
      </c>
      <c r="F254" s="23" t="str">
        <f>IF(H254=-0.33,IF(H252=H$1,H252,""),"")</f>
        <v/>
      </c>
      <c r="G254" s="26"/>
      <c r="H254" s="24">
        <f>IF(H253=1,IF(H252=H$2,1,-0.33),0)</f>
        <v>0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">
      <c r="B255" s="47"/>
      <c r="C255" s="53" t="s">
        <v>187</v>
      </c>
      <c r="D255" s="43"/>
      <c r="E255" s="72" t="s">
        <v>25</v>
      </c>
      <c r="F255" s="28"/>
      <c r="G255" s="26"/>
      <c r="H255" s="2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x14ac:dyDescent="0.2">
      <c r="B256" s="47"/>
      <c r="C256" s="8"/>
      <c r="D256" s="43"/>
      <c r="E256" s="72" t="s">
        <v>26</v>
      </c>
      <c r="F256" s="20"/>
      <c r="G256" s="26"/>
      <c r="H256" s="2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</row>
    <row r="257" spans="1:40" x14ac:dyDescent="0.2">
      <c r="B257" s="50"/>
      <c r="C257" s="46"/>
      <c r="D257" s="65"/>
      <c r="E257" s="73"/>
      <c r="F257" s="20"/>
      <c r="G257" s="19"/>
      <c r="H257" s="19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">
      <c r="B258" s="50"/>
      <c r="C258" s="18"/>
      <c r="D258" s="65"/>
      <c r="E258" s="78"/>
      <c r="F258" s="31" t="s">
        <v>8</v>
      </c>
      <c r="G258" s="19" t="s">
        <v>6</v>
      </c>
      <c r="H258" s="19" t="s">
        <v>7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ht="20" x14ac:dyDescent="0.2">
      <c r="B259" s="50"/>
      <c r="C259" s="18"/>
      <c r="D259" s="63"/>
      <c r="E259" s="70"/>
      <c r="F259" s="32" t="str">
        <f>IF(E257="comprobar",H254+H248+H242+H236+H230+H224+H218+H212+H206+H200,"")</f>
        <v/>
      </c>
      <c r="G259" s="19">
        <f>10/2</f>
        <v>5</v>
      </c>
      <c r="H259" s="19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ht="17" thickBot="1" x14ac:dyDescent="0.25">
      <c r="B260" s="51"/>
      <c r="C260" s="33"/>
      <c r="D260" s="34"/>
      <c r="E260" s="74"/>
      <c r="F260" s="35" t="str">
        <f>IF(F259&gt;G259,G258,H258)</f>
        <v>APROBADO</v>
      </c>
      <c r="G260" s="19"/>
      <c r="H260" s="19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s="104" customFormat="1" ht="29" x14ac:dyDescent="0.35">
      <c r="A261" s="102"/>
      <c r="B261" s="103" t="s">
        <v>78</v>
      </c>
      <c r="C261" s="84" t="s">
        <v>11</v>
      </c>
      <c r="D261" s="84"/>
      <c r="E261" s="84"/>
      <c r="F261" s="85"/>
      <c r="I261" s="102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  <c r="AB261" s="102"/>
      <c r="AC261" s="102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</row>
    <row r="262" spans="1:40" s="17" customFormat="1" x14ac:dyDescent="0.2">
      <c r="A262" s="4"/>
      <c r="B262" s="48">
        <v>1</v>
      </c>
      <c r="C262" s="13" t="s">
        <v>188</v>
      </c>
      <c r="D262" s="44"/>
      <c r="E262" s="71"/>
      <c r="F262" s="30"/>
      <c r="G262" s="15"/>
      <c r="H262" s="15"/>
    </row>
    <row r="263" spans="1:40" x14ac:dyDescent="0.2">
      <c r="B263" s="50"/>
      <c r="C263" s="52" t="s">
        <v>189</v>
      </c>
      <c r="D263" s="43"/>
      <c r="E263" s="72" t="s">
        <v>22</v>
      </c>
      <c r="F263" s="28"/>
      <c r="G263" s="19"/>
      <c r="H263" s="21" t="b">
        <f>IF(D266="x",H$2,H$1)</f>
        <v>0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x14ac:dyDescent="0.2">
      <c r="B264" s="47"/>
      <c r="C264" s="53" t="s">
        <v>190</v>
      </c>
      <c r="D264" s="43"/>
      <c r="E264" s="72" t="s">
        <v>23</v>
      </c>
      <c r="F264" s="22" t="str">
        <f>IF(H265=1,IF(H263=H$2,H263,""),"")</f>
        <v/>
      </c>
      <c r="G264" s="19"/>
      <c r="H264" s="21" t="str">
        <f>IF(E322="comprobar",COUNTIF(D263:D267,"x"),"")</f>
        <v/>
      </c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x14ac:dyDescent="0.2">
      <c r="B265" s="47"/>
      <c r="C265" s="53" t="s">
        <v>191</v>
      </c>
      <c r="D265" s="43"/>
      <c r="E265" s="72" t="s">
        <v>24</v>
      </c>
      <c r="F265" s="23" t="str">
        <f>IF(H265=-0.33,IF(H263=H$1,H263,""),"")</f>
        <v/>
      </c>
      <c r="G265" s="19"/>
      <c r="H265" s="24">
        <f>IF(H264=1,IF(H263=H$2,1,-0.33),0)</f>
        <v>0</v>
      </c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x14ac:dyDescent="0.2">
      <c r="B266" s="47"/>
      <c r="C266" s="53" t="s">
        <v>192</v>
      </c>
      <c r="D266" s="43"/>
      <c r="E266" s="72" t="s">
        <v>25</v>
      </c>
      <c r="F266" s="28"/>
      <c r="G266" s="19"/>
      <c r="H266" s="2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</row>
    <row r="267" spans="1:40" x14ac:dyDescent="0.2">
      <c r="B267" s="47"/>
      <c r="C267" s="8"/>
      <c r="D267" s="43"/>
      <c r="E267" s="72" t="s">
        <v>26</v>
      </c>
      <c r="F267" s="20"/>
      <c r="G267" s="19"/>
      <c r="H267" s="2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</row>
    <row r="268" spans="1:40" s="17" customFormat="1" x14ac:dyDescent="0.2">
      <c r="A268" s="4"/>
      <c r="B268" s="48">
        <v>2</v>
      </c>
      <c r="C268" s="13" t="s">
        <v>193</v>
      </c>
      <c r="D268" s="44"/>
      <c r="E268" s="71"/>
      <c r="F268" s="30"/>
      <c r="G268" s="15"/>
      <c r="H268" s="15"/>
    </row>
    <row r="269" spans="1:40" x14ac:dyDescent="0.2">
      <c r="B269" s="50"/>
      <c r="C269" s="52" t="s">
        <v>194</v>
      </c>
      <c r="D269" s="43"/>
      <c r="E269" s="72" t="s">
        <v>22</v>
      </c>
      <c r="F269" s="28"/>
      <c r="G269" s="19"/>
      <c r="H269" s="21" t="b">
        <f>IF(D271="x",H$2,H$1)</f>
        <v>0</v>
      </c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</row>
    <row r="270" spans="1:40" x14ac:dyDescent="0.2">
      <c r="B270" s="47"/>
      <c r="C270" s="53" t="s">
        <v>195</v>
      </c>
      <c r="D270" s="43"/>
      <c r="E270" s="72" t="s">
        <v>23</v>
      </c>
      <c r="F270" s="22" t="str">
        <f>IF(H271=1,IF(H269=H$2,H269,""),"")</f>
        <v/>
      </c>
      <c r="G270" s="19"/>
      <c r="H270" s="21" t="str">
        <f>IF(E$322="comprobar",COUNTIF(D269:D273,"x"),"")</f>
        <v/>
      </c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</row>
    <row r="271" spans="1:40" x14ac:dyDescent="0.2">
      <c r="B271" s="47"/>
      <c r="C271" s="53" t="s">
        <v>196</v>
      </c>
      <c r="D271" s="43"/>
      <c r="E271" s="72" t="s">
        <v>24</v>
      </c>
      <c r="F271" s="23" t="str">
        <f>IF(H271=-0.33,IF(H269=H$1,H269,""),"")</f>
        <v/>
      </c>
      <c r="G271" s="19"/>
      <c r="H271" s="24">
        <f>IF(H270=1,IF(H269=H$2,1,-0.33),0)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</row>
    <row r="272" spans="1:40" x14ac:dyDescent="0.2">
      <c r="B272" s="47"/>
      <c r="C272" s="53" t="s">
        <v>197</v>
      </c>
      <c r="D272" s="43"/>
      <c r="E272" s="72" t="s">
        <v>25</v>
      </c>
      <c r="F272" s="28"/>
      <c r="G272" s="19"/>
      <c r="H272" s="2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</row>
    <row r="273" spans="1:40" x14ac:dyDescent="0.2">
      <c r="B273" s="47"/>
      <c r="C273" s="8"/>
      <c r="D273" s="43"/>
      <c r="E273" s="72" t="s">
        <v>26</v>
      </c>
      <c r="F273" s="20"/>
      <c r="G273" s="19"/>
      <c r="H273" s="2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s="17" customFormat="1" x14ac:dyDescent="0.2">
      <c r="A274" s="4"/>
      <c r="B274" s="48">
        <v>3</v>
      </c>
      <c r="C274" s="36" t="s">
        <v>198</v>
      </c>
      <c r="D274" s="44"/>
      <c r="E274" s="71"/>
      <c r="F274" s="30"/>
      <c r="G274" s="15"/>
      <c r="H274" s="15"/>
    </row>
    <row r="275" spans="1:40" x14ac:dyDescent="0.2">
      <c r="B275" s="50"/>
      <c r="C275" s="52" t="s">
        <v>199</v>
      </c>
      <c r="D275" s="43"/>
      <c r="E275" s="72" t="s">
        <v>22</v>
      </c>
      <c r="F275" s="28"/>
      <c r="G275" s="19"/>
      <c r="H275" s="21" t="b">
        <f>IF(D276="x",H$2,H$1)</f>
        <v>0</v>
      </c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">
      <c r="B276" s="47"/>
      <c r="C276" s="53" t="s">
        <v>200</v>
      </c>
      <c r="D276" s="43"/>
      <c r="E276" s="72" t="s">
        <v>23</v>
      </c>
      <c r="F276" s="22" t="str">
        <f>IF(H277=1,IF(H275=H$2,H275,""),"")</f>
        <v/>
      </c>
      <c r="G276" s="19"/>
      <c r="H276" s="21" t="str">
        <f>IF(E$322="comprobar",COUNTIF(D275:D279,"x"),"")</f>
        <v/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x14ac:dyDescent="0.2">
      <c r="B277" s="47"/>
      <c r="C277" s="53" t="s">
        <v>201</v>
      </c>
      <c r="D277" s="43"/>
      <c r="E277" s="72" t="s">
        <v>24</v>
      </c>
      <c r="F277" s="23" t="str">
        <f>IF(H277=-0.33,IF(H275=H$1,H275,""),"")</f>
        <v/>
      </c>
      <c r="G277" s="19"/>
      <c r="H277" s="24">
        <f>IF(H276=1,IF(H275=H$2,1,-0.33),0)</f>
        <v>0</v>
      </c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</row>
    <row r="278" spans="1:40" x14ac:dyDescent="0.2">
      <c r="B278" s="47"/>
      <c r="C278" s="53" t="s">
        <v>202</v>
      </c>
      <c r="D278" s="43"/>
      <c r="E278" s="72" t="s">
        <v>25</v>
      </c>
      <c r="F278" s="28"/>
      <c r="G278" s="19"/>
      <c r="H278" s="2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x14ac:dyDescent="0.2">
      <c r="B279" s="47"/>
      <c r="C279" s="8"/>
      <c r="D279" s="43"/>
      <c r="E279" s="72" t="s">
        <v>26</v>
      </c>
      <c r="F279" s="20"/>
      <c r="G279" s="19"/>
      <c r="H279" s="2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</row>
    <row r="280" spans="1:40" s="17" customFormat="1" x14ac:dyDescent="0.2">
      <c r="A280" s="4"/>
      <c r="B280" s="48">
        <v>4</v>
      </c>
      <c r="C280" s="13" t="s">
        <v>203</v>
      </c>
      <c r="D280" s="44"/>
      <c r="E280" s="71"/>
      <c r="F280" s="30"/>
      <c r="G280" s="15"/>
      <c r="H280" s="15"/>
    </row>
    <row r="281" spans="1:40" x14ac:dyDescent="0.2">
      <c r="B281" s="50"/>
      <c r="C281" s="52" t="s">
        <v>204</v>
      </c>
      <c r="D281" s="43"/>
      <c r="E281" s="72" t="s">
        <v>22</v>
      </c>
      <c r="F281" s="28"/>
      <c r="G281" s="19"/>
      <c r="H281" s="21" t="b">
        <f>IF(D283="x",H$2,H$1)</f>
        <v>0</v>
      </c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</row>
    <row r="282" spans="1:40" x14ac:dyDescent="0.2">
      <c r="B282" s="47"/>
      <c r="C282" s="53" t="s">
        <v>205</v>
      </c>
      <c r="D282" s="43"/>
      <c r="E282" s="72" t="s">
        <v>23</v>
      </c>
      <c r="F282" s="22" t="str">
        <f>IF(H283=1,IF(H281=H$2,H281,""),"")</f>
        <v/>
      </c>
      <c r="G282" s="19"/>
      <c r="H282" s="21" t="str">
        <f>IF(E$322="comprobar",COUNTIF(D281:D285,"x"),"")</f>
        <v/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</row>
    <row r="283" spans="1:40" x14ac:dyDescent="0.2">
      <c r="B283" s="47"/>
      <c r="C283" s="53" t="s">
        <v>206</v>
      </c>
      <c r="D283" s="43"/>
      <c r="E283" s="72" t="s">
        <v>24</v>
      </c>
      <c r="F283" s="23" t="str">
        <f>IF(H283=-0.33,IF(H281=H$1,H281,""),"")</f>
        <v/>
      </c>
      <c r="G283" s="19"/>
      <c r="H283" s="24">
        <f>IF(H282=1,IF(H281=H$2,1,-0.33),0)</f>
        <v>0</v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</row>
    <row r="284" spans="1:40" x14ac:dyDescent="0.2">
      <c r="B284" s="47"/>
      <c r="C284" s="53" t="s">
        <v>207</v>
      </c>
      <c r="D284" s="43"/>
      <c r="E284" s="72" t="s">
        <v>25</v>
      </c>
      <c r="F284" s="28"/>
      <c r="G284" s="19"/>
      <c r="H284" s="2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x14ac:dyDescent="0.2">
      <c r="B285" s="47"/>
      <c r="C285" s="8"/>
      <c r="D285" s="43"/>
      <c r="E285" s="72" t="s">
        <v>26</v>
      </c>
      <c r="F285" s="20"/>
      <c r="G285" s="19"/>
      <c r="H285" s="2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</row>
    <row r="286" spans="1:40" s="17" customFormat="1" x14ac:dyDescent="0.2">
      <c r="A286" s="4"/>
      <c r="B286" s="48">
        <v>5</v>
      </c>
      <c r="C286" s="13" t="s">
        <v>208</v>
      </c>
      <c r="D286" s="44"/>
      <c r="E286" s="71"/>
      <c r="F286" s="30"/>
      <c r="G286" s="15"/>
      <c r="H286" s="15"/>
    </row>
    <row r="287" spans="1:40" x14ac:dyDescent="0.2">
      <c r="B287" s="50"/>
      <c r="C287" s="52" t="s">
        <v>209</v>
      </c>
      <c r="D287" s="43"/>
      <c r="E287" s="72" t="s">
        <v>22</v>
      </c>
      <c r="F287" s="28"/>
      <c r="G287" s="19"/>
      <c r="H287" s="21" t="b">
        <f>IF(D289="x",H$2,H$1)</f>
        <v>0</v>
      </c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</row>
    <row r="288" spans="1:40" x14ac:dyDescent="0.2">
      <c r="B288" s="47"/>
      <c r="C288" s="53" t="s">
        <v>210</v>
      </c>
      <c r="D288" s="43"/>
      <c r="E288" s="72" t="s">
        <v>23</v>
      </c>
      <c r="F288" s="22" t="str">
        <f>IF(H289=1,IF(H287=H$2,H287,""),"")</f>
        <v/>
      </c>
      <c r="G288" s="19"/>
      <c r="H288" s="21" t="str">
        <f>IF(E$322="comprobar",COUNTIF(D287:D291,"x"),"")</f>
        <v/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</row>
    <row r="289" spans="1:40" x14ac:dyDescent="0.2">
      <c r="B289" s="47"/>
      <c r="C289" s="53" t="s">
        <v>211</v>
      </c>
      <c r="D289" s="43"/>
      <c r="E289" s="72" t="s">
        <v>24</v>
      </c>
      <c r="F289" s="23" t="str">
        <f>IF(H289=-0.33,IF(H287=H$1,H287,""),"")</f>
        <v/>
      </c>
      <c r="G289" s="19"/>
      <c r="H289" s="24">
        <f>IF(H288=1,IF(H287=H$2,1,-0.33),0)</f>
        <v>0</v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</row>
    <row r="290" spans="1:40" x14ac:dyDescent="0.2">
      <c r="B290" s="47"/>
      <c r="C290" s="53" t="s">
        <v>212</v>
      </c>
      <c r="D290" s="43"/>
      <c r="E290" s="72" t="s">
        <v>25</v>
      </c>
      <c r="F290" s="28"/>
      <c r="G290" s="19"/>
      <c r="H290" s="2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x14ac:dyDescent="0.2">
      <c r="B291" s="47"/>
      <c r="C291" s="8"/>
      <c r="D291" s="43"/>
      <c r="E291" s="72" t="s">
        <v>26</v>
      </c>
      <c r="F291" s="20"/>
      <c r="G291" s="19"/>
      <c r="H291" s="2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</row>
    <row r="292" spans="1:40" s="17" customFormat="1" x14ac:dyDescent="0.2">
      <c r="A292" s="4"/>
      <c r="B292" s="48">
        <v>6</v>
      </c>
      <c r="C292" s="13" t="s">
        <v>213</v>
      </c>
      <c r="D292" s="44"/>
      <c r="E292" s="71"/>
      <c r="F292" s="30"/>
      <c r="G292" s="15"/>
      <c r="H292" s="15"/>
    </row>
    <row r="293" spans="1:40" x14ac:dyDescent="0.2">
      <c r="B293" s="50"/>
      <c r="C293" s="52" t="s">
        <v>214</v>
      </c>
      <c r="D293" s="43"/>
      <c r="E293" s="72" t="s">
        <v>22</v>
      </c>
      <c r="F293" s="28"/>
      <c r="G293" s="19"/>
      <c r="H293" s="21" t="b">
        <f>IF(D296="x",H$2,H$1)</f>
        <v>0</v>
      </c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">
      <c r="B294" s="47"/>
      <c r="C294" s="53" t="s">
        <v>215</v>
      </c>
      <c r="D294" s="43"/>
      <c r="E294" s="72" t="s">
        <v>23</v>
      </c>
      <c r="F294" s="22" t="str">
        <f>IF(H295=1,IF(H293=H$2,H293,""),"")</f>
        <v/>
      </c>
      <c r="G294" s="19"/>
      <c r="H294" s="21" t="str">
        <f>IF(E$322="comprobar",COUNTIF(D293:D297,"x"),"")</f>
        <v/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x14ac:dyDescent="0.2">
      <c r="B295" s="47"/>
      <c r="C295" s="53" t="s">
        <v>192</v>
      </c>
      <c r="D295" s="43"/>
      <c r="E295" s="72" t="s">
        <v>24</v>
      </c>
      <c r="F295" s="23" t="str">
        <f>IF(H295=-0.33,IF(H293=H$1,H293,""),"")</f>
        <v/>
      </c>
      <c r="G295" s="19"/>
      <c r="H295" s="24">
        <f>IF(H294=1,IF(H293=H$2,1,-0.33),0)</f>
        <v>0</v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</row>
    <row r="296" spans="1:40" x14ac:dyDescent="0.2">
      <c r="B296" s="47"/>
      <c r="C296" s="53" t="s">
        <v>191</v>
      </c>
      <c r="D296" s="43"/>
      <c r="E296" s="72" t="s">
        <v>25</v>
      </c>
      <c r="F296" s="28"/>
      <c r="G296" s="19"/>
      <c r="H296" s="2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x14ac:dyDescent="0.2">
      <c r="B297" s="47"/>
      <c r="C297" s="8"/>
      <c r="D297" s="43"/>
      <c r="E297" s="72" t="s">
        <v>26</v>
      </c>
      <c r="F297" s="20"/>
      <c r="G297" s="19"/>
      <c r="H297" s="2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</row>
    <row r="298" spans="1:40" s="17" customFormat="1" x14ac:dyDescent="0.2">
      <c r="A298" s="4"/>
      <c r="B298" s="48">
        <v>7</v>
      </c>
      <c r="C298" s="13" t="s">
        <v>216</v>
      </c>
      <c r="D298" s="44"/>
      <c r="E298" s="71"/>
      <c r="F298" s="30"/>
      <c r="G298" s="15"/>
      <c r="H298" s="15"/>
    </row>
    <row r="299" spans="1:40" x14ac:dyDescent="0.2">
      <c r="B299" s="50"/>
      <c r="C299" s="52" t="s">
        <v>217</v>
      </c>
      <c r="D299" s="43"/>
      <c r="E299" s="72" t="s">
        <v>22</v>
      </c>
      <c r="F299" s="28"/>
      <c r="G299" s="19"/>
      <c r="H299" s="21" t="b">
        <f>IF(D300="x",H$2,H$1)</f>
        <v>0</v>
      </c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">
      <c r="B300" s="47"/>
      <c r="C300" s="53" t="s">
        <v>218</v>
      </c>
      <c r="D300" s="43"/>
      <c r="E300" s="72" t="s">
        <v>23</v>
      </c>
      <c r="F300" s="22" t="str">
        <f>IF(H301=1,IF(H299=H$2,H299,""),"")</f>
        <v/>
      </c>
      <c r="G300" s="19"/>
      <c r="H300" s="21" t="str">
        <f>IF(E$322="comprobar",COUNTIF(D299:D303,"x"),"")</f>
        <v/>
      </c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x14ac:dyDescent="0.2">
      <c r="B301" s="47"/>
      <c r="C301" s="53" t="s">
        <v>219</v>
      </c>
      <c r="D301" s="43"/>
      <c r="E301" s="72" t="s">
        <v>24</v>
      </c>
      <c r="F301" s="23" t="str">
        <f>IF(H301=-0.33,IF(H299=H$1,H299,""),"")</f>
        <v/>
      </c>
      <c r="G301" s="19"/>
      <c r="H301" s="24">
        <f>IF(H300=1,IF(H299=H$2,1,-0.33),0)</f>
        <v>0</v>
      </c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</row>
    <row r="302" spans="1:40" x14ac:dyDescent="0.2">
      <c r="B302" s="47"/>
      <c r="C302" s="53" t="s">
        <v>220</v>
      </c>
      <c r="D302" s="43"/>
      <c r="E302" s="72" t="s">
        <v>25</v>
      </c>
      <c r="F302" s="28"/>
      <c r="G302" s="19"/>
      <c r="H302" s="2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x14ac:dyDescent="0.2">
      <c r="B303" s="47"/>
      <c r="C303" s="8"/>
      <c r="D303" s="43"/>
      <c r="E303" s="72" t="s">
        <v>26</v>
      </c>
      <c r="F303" s="20"/>
      <c r="G303" s="19"/>
      <c r="H303" s="2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</row>
    <row r="304" spans="1:40" s="17" customFormat="1" x14ac:dyDescent="0.2">
      <c r="A304" s="4"/>
      <c r="B304" s="48">
        <v>8</v>
      </c>
      <c r="C304" s="13" t="s">
        <v>221</v>
      </c>
      <c r="D304" s="44"/>
      <c r="E304" s="71"/>
      <c r="F304" s="30"/>
      <c r="G304" s="15"/>
      <c r="H304" s="15"/>
    </row>
    <row r="305" spans="1:40" x14ac:dyDescent="0.2">
      <c r="B305" s="50"/>
      <c r="C305" s="52" t="s">
        <v>222</v>
      </c>
      <c r="D305" s="43"/>
      <c r="E305" s="72" t="s">
        <v>22</v>
      </c>
      <c r="F305" s="28"/>
      <c r="G305" s="19"/>
      <c r="H305" s="21" t="b">
        <f>IF(D306="x",H$2,H$1)</f>
        <v>0</v>
      </c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">
      <c r="B306" s="47"/>
      <c r="C306" s="53" t="s">
        <v>223</v>
      </c>
      <c r="D306" s="43"/>
      <c r="E306" s="72" t="s">
        <v>23</v>
      </c>
      <c r="F306" s="22" t="str">
        <f>IF(H307=1,IF(H305=H$2,H305,""),"")</f>
        <v/>
      </c>
      <c r="G306" s="19"/>
      <c r="H306" s="21" t="str">
        <f>IF(E$322="comprobar",COUNTIF(D305:D309,"x"),"")</f>
        <v/>
      </c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x14ac:dyDescent="0.2">
      <c r="B307" s="47"/>
      <c r="C307" s="53" t="s">
        <v>224</v>
      </c>
      <c r="D307" s="43"/>
      <c r="E307" s="72" t="s">
        <v>24</v>
      </c>
      <c r="F307" s="23" t="str">
        <f>IF(H307=-0.33,IF(H305=H$1,H305,""),"")</f>
        <v/>
      </c>
      <c r="G307" s="19"/>
      <c r="H307" s="24">
        <f>IF(H306=1,IF(H305=H$2,1,-0.33),0)</f>
        <v>0</v>
      </c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</row>
    <row r="308" spans="1:40" x14ac:dyDescent="0.2">
      <c r="B308" s="47"/>
      <c r="C308" s="53" t="s">
        <v>225</v>
      </c>
      <c r="D308" s="43"/>
      <c r="E308" s="72" t="s">
        <v>25</v>
      </c>
      <c r="F308" s="28"/>
      <c r="G308" s="19"/>
      <c r="H308" s="2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x14ac:dyDescent="0.2">
      <c r="B309" s="47"/>
      <c r="C309" s="8"/>
      <c r="D309" s="43"/>
      <c r="E309" s="72" t="s">
        <v>26</v>
      </c>
      <c r="F309" s="20"/>
      <c r="G309" s="19"/>
      <c r="H309" s="2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</row>
    <row r="310" spans="1:40" s="17" customFormat="1" x14ac:dyDescent="0.2">
      <c r="A310" s="4"/>
      <c r="B310" s="48">
        <v>9</v>
      </c>
      <c r="C310" s="13" t="s">
        <v>226</v>
      </c>
      <c r="D310" s="44"/>
      <c r="E310" s="71"/>
      <c r="F310" s="30"/>
      <c r="G310" s="15"/>
      <c r="H310" s="15"/>
    </row>
    <row r="311" spans="1:40" x14ac:dyDescent="0.2">
      <c r="B311" s="50"/>
      <c r="C311" s="52" t="s">
        <v>227</v>
      </c>
      <c r="D311" s="43"/>
      <c r="E311" s="72" t="s">
        <v>22</v>
      </c>
      <c r="F311" s="28"/>
      <c r="G311" s="19"/>
      <c r="H311" s="21" t="b">
        <f>IF(D312="x",H$2,H$1)</f>
        <v>0</v>
      </c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">
      <c r="B312" s="47"/>
      <c r="C312" s="53" t="s">
        <v>228</v>
      </c>
      <c r="D312" s="43"/>
      <c r="E312" s="72" t="s">
        <v>23</v>
      </c>
      <c r="F312" s="22" t="str">
        <f>IF(H313=1,IF(H311=H$2,H311,""),"")</f>
        <v/>
      </c>
      <c r="G312" s="19"/>
      <c r="H312" s="21" t="str">
        <f>IF(E$322="comprobar",COUNTIF(D311:D315,"x"),"")</f>
        <v/>
      </c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x14ac:dyDescent="0.2">
      <c r="B313" s="47"/>
      <c r="C313" s="53" t="s">
        <v>229</v>
      </c>
      <c r="D313" s="43"/>
      <c r="E313" s="72" t="s">
        <v>24</v>
      </c>
      <c r="F313" s="23" t="str">
        <f>IF(H313=-0.33,IF(H311=H$1,H311,""),"")</f>
        <v/>
      </c>
      <c r="G313" s="19"/>
      <c r="H313" s="24">
        <f>IF(H312=1,IF(H311=H$2,1,-0.33),0)</f>
        <v>0</v>
      </c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</row>
    <row r="314" spans="1:40" x14ac:dyDescent="0.2">
      <c r="B314" s="47"/>
      <c r="C314" s="53" t="s">
        <v>230</v>
      </c>
      <c r="D314" s="43"/>
      <c r="E314" s="72" t="s">
        <v>25</v>
      </c>
      <c r="F314" s="28"/>
      <c r="G314" s="19"/>
      <c r="H314" s="2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x14ac:dyDescent="0.2">
      <c r="B315" s="47"/>
      <c r="C315" s="8"/>
      <c r="D315" s="43"/>
      <c r="E315" s="72" t="s">
        <v>26</v>
      </c>
      <c r="F315" s="20"/>
      <c r="G315" s="19"/>
      <c r="H315" s="2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</row>
    <row r="316" spans="1:40" s="17" customFormat="1" x14ac:dyDescent="0.2">
      <c r="A316" s="4"/>
      <c r="B316" s="48">
        <v>10</v>
      </c>
      <c r="C316" s="13" t="s">
        <v>231</v>
      </c>
      <c r="D316" s="44"/>
      <c r="E316" s="71"/>
      <c r="F316" s="30"/>
      <c r="G316" s="29"/>
      <c r="H316" s="15"/>
    </row>
    <row r="317" spans="1:40" x14ac:dyDescent="0.2">
      <c r="B317" s="50"/>
      <c r="C317" s="52" t="s">
        <v>232</v>
      </c>
      <c r="D317" s="43"/>
      <c r="E317" s="72" t="s">
        <v>22</v>
      </c>
      <c r="F317" s="28"/>
      <c r="G317" s="26"/>
      <c r="H317" s="21" t="b">
        <f>IF(D318="x",H$2,H$1)</f>
        <v>0</v>
      </c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">
      <c r="B318" s="47"/>
      <c r="C318" s="53" t="s">
        <v>233</v>
      </c>
      <c r="D318" s="43"/>
      <c r="E318" s="72"/>
      <c r="F318" s="22" t="str">
        <f>IF(H319=1,IF(H317=H$2,H317,""),"")</f>
        <v/>
      </c>
      <c r="G318" s="26"/>
      <c r="H318" s="21" t="str">
        <f>IF(E$322="comprobar",COUNTIF(D317:D321,"x"),"")</f>
        <v/>
      </c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x14ac:dyDescent="0.2">
      <c r="B319" s="47"/>
      <c r="C319" s="53" t="s">
        <v>234</v>
      </c>
      <c r="D319" s="43"/>
      <c r="E319" s="72" t="s">
        <v>24</v>
      </c>
      <c r="F319" s="23" t="str">
        <f>IF(H319=-0.33,IF(H317=H$1,H317,""),"")</f>
        <v/>
      </c>
      <c r="G319" s="26"/>
      <c r="H319" s="24">
        <f>IF(H318=1,IF(H317=H$2,1,-0.33),0)</f>
        <v>0</v>
      </c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</row>
    <row r="320" spans="1:40" x14ac:dyDescent="0.2">
      <c r="B320" s="47"/>
      <c r="C320" s="53" t="s">
        <v>235</v>
      </c>
      <c r="D320" s="43"/>
      <c r="E320" s="72" t="s">
        <v>25</v>
      </c>
      <c r="F320" s="28"/>
      <c r="G320" s="26"/>
      <c r="H320" s="2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</row>
    <row r="321" spans="1:40" x14ac:dyDescent="0.2">
      <c r="B321" s="47"/>
      <c r="C321" s="8"/>
      <c r="D321" s="43"/>
      <c r="E321" s="72" t="s">
        <v>26</v>
      </c>
      <c r="F321" s="20"/>
      <c r="G321" s="26"/>
      <c r="H321" s="2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</row>
    <row r="322" spans="1:40" x14ac:dyDescent="0.2">
      <c r="B322" s="50"/>
      <c r="C322" s="46"/>
      <c r="D322" s="65"/>
      <c r="E322" s="73"/>
      <c r="F322" s="20"/>
      <c r="G322" s="19"/>
      <c r="H322" s="19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</row>
    <row r="323" spans="1:40" x14ac:dyDescent="0.2">
      <c r="B323" s="50"/>
      <c r="C323" s="18"/>
      <c r="D323" s="65"/>
      <c r="E323" s="78"/>
      <c r="F323" s="31" t="s">
        <v>8</v>
      </c>
      <c r="G323" s="19" t="s">
        <v>6</v>
      </c>
      <c r="H323" s="19" t="s">
        <v>7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ht="20" x14ac:dyDescent="0.2">
      <c r="B324" s="50"/>
      <c r="C324" s="18"/>
      <c r="D324" s="63"/>
      <c r="E324" s="70"/>
      <c r="F324" s="32" t="str">
        <f>IF(E322="comprobar",H319+H313+H307+H301+H295+H289+H283+H277+H271+H265,"")</f>
        <v/>
      </c>
      <c r="G324" s="19">
        <f>10/2</f>
        <v>5</v>
      </c>
      <c r="H324" s="19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ht="17" thickBot="1" x14ac:dyDescent="0.25">
      <c r="B325" s="51"/>
      <c r="C325" s="33"/>
      <c r="D325" s="34"/>
      <c r="E325" s="74"/>
      <c r="F325" s="35" t="str">
        <f>IF(F324&gt;G324,G323,H323)</f>
        <v>APROBADO</v>
      </c>
      <c r="G325" s="19"/>
      <c r="H325" s="19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</row>
    <row r="326" spans="1:40" s="104" customFormat="1" ht="29" x14ac:dyDescent="0.35">
      <c r="A326" s="102"/>
      <c r="B326" s="103" t="s">
        <v>78</v>
      </c>
      <c r="C326" s="84" t="s">
        <v>12</v>
      </c>
      <c r="D326" s="84"/>
      <c r="E326" s="84"/>
      <c r="F326" s="85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</row>
    <row r="327" spans="1:40" s="17" customFormat="1" x14ac:dyDescent="0.2">
      <c r="A327" s="4"/>
      <c r="B327" s="48">
        <v>1</v>
      </c>
      <c r="C327" s="13" t="s">
        <v>236</v>
      </c>
      <c r="D327" s="44"/>
      <c r="E327" s="71"/>
      <c r="F327" s="30"/>
      <c r="G327" s="15"/>
      <c r="H327" s="15"/>
    </row>
    <row r="328" spans="1:40" x14ac:dyDescent="0.2">
      <c r="B328" s="50"/>
      <c r="C328" s="52" t="s">
        <v>237</v>
      </c>
      <c r="D328" s="43"/>
      <c r="E328" s="72" t="s">
        <v>22</v>
      </c>
      <c r="F328" s="28"/>
      <c r="G328" s="19"/>
      <c r="H328" s="21" t="b">
        <f>IF(D330="x",H$2,H$1)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">
      <c r="B329" s="47"/>
      <c r="C329" s="53" t="s">
        <v>238</v>
      </c>
      <c r="D329" s="43"/>
      <c r="E329" s="72" t="s">
        <v>23</v>
      </c>
      <c r="F329" s="22" t="str">
        <f>IF(H330=1,IF(H328=H$2,H328,""),"")</f>
        <v/>
      </c>
      <c r="G329" s="19"/>
      <c r="H329" s="21" t="str">
        <f>IF(E387="comprobar",COUNTIF(D328:D332,"x"),"")</f>
        <v/>
      </c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">
      <c r="B330" s="47"/>
      <c r="C330" s="53" t="s">
        <v>239</v>
      </c>
      <c r="D330" s="43"/>
      <c r="E330" s="72" t="s">
        <v>24</v>
      </c>
      <c r="F330" s="23" t="str">
        <f>IF(H330=-0.33,IF(H328=H$1,H328,""),"")</f>
        <v/>
      </c>
      <c r="G330" s="19"/>
      <c r="H330" s="24">
        <f>IF(H329=1,IF(H328=H$2,1,-0.33),0)</f>
        <v>0</v>
      </c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">
      <c r="B331" s="47"/>
      <c r="C331" s="53" t="s">
        <v>240</v>
      </c>
      <c r="D331" s="43"/>
      <c r="E331" s="72" t="s">
        <v>25</v>
      </c>
      <c r="F331" s="28"/>
      <c r="G331" s="19"/>
      <c r="H331" s="2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">
      <c r="B332" s="47"/>
      <c r="C332" s="8"/>
      <c r="D332" s="43"/>
      <c r="E332" s="72" t="s">
        <v>26</v>
      </c>
      <c r="F332" s="20"/>
      <c r="G332" s="19"/>
      <c r="H332" s="2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s="17" customFormat="1" x14ac:dyDescent="0.2">
      <c r="A333" s="4"/>
      <c r="B333" s="48">
        <v>2</v>
      </c>
      <c r="C333" s="13" t="s">
        <v>241</v>
      </c>
      <c r="D333" s="80"/>
      <c r="E333" s="67"/>
      <c r="F333" s="64"/>
      <c r="G333" s="15"/>
      <c r="H333" s="15"/>
    </row>
    <row r="334" spans="1:40" x14ac:dyDescent="0.2">
      <c r="B334" s="50"/>
      <c r="C334" s="52" t="s">
        <v>242</v>
      </c>
      <c r="D334" s="43"/>
      <c r="E334" s="72" t="s">
        <v>22</v>
      </c>
      <c r="F334" s="28"/>
      <c r="G334" s="19"/>
      <c r="H334" s="21" t="b">
        <f>IF(D337="x",H$2,H$1)</f>
        <v>0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">
      <c r="B335" s="47"/>
      <c r="C335" s="53" t="s">
        <v>243</v>
      </c>
      <c r="D335" s="43"/>
      <c r="E335" s="72" t="s">
        <v>23</v>
      </c>
      <c r="F335" s="22" t="str">
        <f>IF(H336=1,IF(H334=H$2,H334,""),"")</f>
        <v/>
      </c>
      <c r="G335" s="19"/>
      <c r="H335" s="21" t="str">
        <f>IF(E$387="comprobar",COUNTIF(D334:D338,"x"),"")</f>
        <v/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">
      <c r="B336" s="47"/>
      <c r="C336" s="53" t="s">
        <v>244</v>
      </c>
      <c r="D336" s="43"/>
      <c r="E336" s="72" t="s">
        <v>24</v>
      </c>
      <c r="F336" s="23" t="str">
        <f>IF(H336=-0.33,IF(H334=H$1,H334,""),"")</f>
        <v/>
      </c>
      <c r="G336" s="19"/>
      <c r="H336" s="24">
        <f>IF(H335=1,IF(H334=H$2,1,-0.33),0)</f>
        <v>0</v>
      </c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x14ac:dyDescent="0.2">
      <c r="B337" s="47"/>
      <c r="C337" s="53" t="s">
        <v>245</v>
      </c>
      <c r="D337" s="43"/>
      <c r="E337" s="72" t="s">
        <v>25</v>
      </c>
      <c r="F337" s="28"/>
      <c r="G337" s="19"/>
      <c r="H337" s="2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x14ac:dyDescent="0.2">
      <c r="B338" s="47"/>
      <c r="C338" s="8"/>
      <c r="D338" s="43"/>
      <c r="E338" s="72" t="s">
        <v>26</v>
      </c>
      <c r="F338" s="20"/>
      <c r="G338" s="19"/>
      <c r="H338" s="2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s="17" customFormat="1" x14ac:dyDescent="0.2">
      <c r="A339" s="4"/>
      <c r="B339" s="48">
        <v>3</v>
      </c>
      <c r="C339" s="36" t="s">
        <v>246</v>
      </c>
      <c r="D339" s="44"/>
      <c r="E339" s="71"/>
      <c r="F339" s="30"/>
      <c r="G339" s="15"/>
      <c r="H339" s="15"/>
    </row>
    <row r="340" spans="1:40" x14ac:dyDescent="0.2">
      <c r="B340" s="50"/>
      <c r="C340" s="52" t="s">
        <v>247</v>
      </c>
      <c r="D340" s="43"/>
      <c r="E340" s="72" t="s">
        <v>22</v>
      </c>
      <c r="F340" s="28"/>
      <c r="G340" s="19"/>
      <c r="H340" s="21" t="b">
        <f>IF(D340="x",H$2,H$1)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">
      <c r="B341" s="47"/>
      <c r="C341" s="53" t="s">
        <v>248</v>
      </c>
      <c r="D341" s="43"/>
      <c r="E341" s="72" t="s">
        <v>23</v>
      </c>
      <c r="F341" s="22" t="str">
        <f>IF(H342=1,IF(H340=H$2,H340,""),"")</f>
        <v/>
      </c>
      <c r="G341" s="19"/>
      <c r="H341" s="21" t="str">
        <f>IF(E$387="comprobar",COUNTIF(D340:D344,"x"),"")</f>
        <v/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">
      <c r="B342" s="47"/>
      <c r="C342" s="53" t="s">
        <v>249</v>
      </c>
      <c r="D342" s="43"/>
      <c r="E342" s="72" t="s">
        <v>24</v>
      </c>
      <c r="F342" s="23" t="str">
        <f>IF(H342=-0.33,IF(H340=H$1,H340,""),"")</f>
        <v/>
      </c>
      <c r="G342" s="19"/>
      <c r="H342" s="24">
        <f>IF(H341=1,IF(H340=H$2,1,-0.33),0)</f>
        <v>0</v>
      </c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">
      <c r="B343" s="47"/>
      <c r="C343" s="53" t="s">
        <v>250</v>
      </c>
      <c r="D343" s="43"/>
      <c r="E343" s="72" t="s">
        <v>25</v>
      </c>
      <c r="F343" s="28"/>
      <c r="G343" s="19"/>
      <c r="H343" s="2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x14ac:dyDescent="0.2">
      <c r="B344" s="47"/>
      <c r="C344" s="8"/>
      <c r="D344" s="43"/>
      <c r="E344" s="72" t="s">
        <v>26</v>
      </c>
      <c r="F344" s="20"/>
      <c r="G344" s="19"/>
      <c r="H344" s="2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s="17" customFormat="1" x14ac:dyDescent="0.2">
      <c r="A345" s="4"/>
      <c r="B345" s="48">
        <v>4</v>
      </c>
      <c r="C345" s="13" t="s">
        <v>251</v>
      </c>
      <c r="D345" s="44"/>
      <c r="E345" s="71"/>
      <c r="F345" s="30"/>
      <c r="G345" s="15"/>
      <c r="H345" s="15"/>
    </row>
    <row r="346" spans="1:40" x14ac:dyDescent="0.2">
      <c r="B346" s="50"/>
      <c r="C346" s="52" t="s">
        <v>252</v>
      </c>
      <c r="D346" s="43"/>
      <c r="E346" s="72" t="s">
        <v>22</v>
      </c>
      <c r="F346" s="28"/>
      <c r="G346" s="19"/>
      <c r="H346" s="21" t="b">
        <f>IF(D349="x",H$2,H$1)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">
      <c r="B347" s="47"/>
      <c r="C347" s="53" t="s">
        <v>253</v>
      </c>
      <c r="D347" s="43"/>
      <c r="E347" s="72" t="s">
        <v>23</v>
      </c>
      <c r="F347" s="22" t="str">
        <f>IF(H348=1,IF(H346=H$2,H346,""),"")</f>
        <v/>
      </c>
      <c r="G347" s="19"/>
      <c r="H347" s="21" t="str">
        <f>IF(E$387="comprobar",COUNTIF(D346:D350,"x"),"")</f>
        <v/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">
      <c r="B348" s="47"/>
      <c r="C348" s="53" t="s">
        <v>254</v>
      </c>
      <c r="D348" s="43"/>
      <c r="E348" s="72" t="s">
        <v>24</v>
      </c>
      <c r="F348" s="23" t="str">
        <f>IF(H348=-0.33,IF(H346=H$1,H346,""),"")</f>
        <v/>
      </c>
      <c r="G348" s="19"/>
      <c r="H348" s="24">
        <f>IF(H347=1,IF(H346=H$2,1,-0.33),0)</f>
        <v>0</v>
      </c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">
      <c r="B349" s="47"/>
      <c r="C349" s="53" t="s">
        <v>255</v>
      </c>
      <c r="D349" s="43"/>
      <c r="E349" s="72" t="s">
        <v>25</v>
      </c>
      <c r="F349" s="28"/>
      <c r="G349" s="19"/>
      <c r="H349" s="2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x14ac:dyDescent="0.2">
      <c r="B350" s="47"/>
      <c r="C350" s="8"/>
      <c r="D350" s="43"/>
      <c r="E350" s="72" t="s">
        <v>26</v>
      </c>
      <c r="F350" s="20"/>
      <c r="G350" s="19"/>
      <c r="H350" s="2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s="17" customFormat="1" x14ac:dyDescent="0.2">
      <c r="A351" s="4"/>
      <c r="B351" s="48">
        <v>5</v>
      </c>
      <c r="C351" s="13" t="s">
        <v>256</v>
      </c>
      <c r="D351" s="44"/>
      <c r="E351" s="71"/>
      <c r="F351" s="30"/>
      <c r="G351" s="15"/>
      <c r="H351" s="15"/>
    </row>
    <row r="352" spans="1:40" x14ac:dyDescent="0.2">
      <c r="B352" s="50"/>
      <c r="C352" s="52" t="s">
        <v>257</v>
      </c>
      <c r="D352" s="43"/>
      <c r="E352" s="72" t="s">
        <v>22</v>
      </c>
      <c r="F352" s="28"/>
      <c r="G352" s="19"/>
      <c r="H352" s="21" t="b">
        <f>IF(D355="x",H$2,H$1)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">
      <c r="B353" s="47"/>
      <c r="C353" s="53" t="s">
        <v>258</v>
      </c>
      <c r="D353" s="43"/>
      <c r="E353" s="72" t="s">
        <v>23</v>
      </c>
      <c r="F353" s="22" t="str">
        <f>IF(H354=1,IF(H352=H$2,H352,""),"")</f>
        <v/>
      </c>
      <c r="G353" s="19"/>
      <c r="H353" s="21" t="str">
        <f>IF(E$387="comprobar",COUNTIF(D352:D356,"x"),"")</f>
        <v/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">
      <c r="B354" s="47"/>
      <c r="C354" s="53" t="s">
        <v>259</v>
      </c>
      <c r="D354" s="43"/>
      <c r="E354" s="72" t="s">
        <v>24</v>
      </c>
      <c r="F354" s="23" t="str">
        <f>IF(H354=-0.33,IF(H352=H$1,H352,""),"")</f>
        <v/>
      </c>
      <c r="G354" s="19"/>
      <c r="H354" s="24">
        <f>IF(H353=1,IF(H352=H$2,1,-0.33),0)</f>
        <v>0</v>
      </c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">
      <c r="B355" s="47"/>
      <c r="C355" s="53" t="s">
        <v>260</v>
      </c>
      <c r="D355" s="43"/>
      <c r="E355" s="72" t="s">
        <v>25</v>
      </c>
      <c r="F355" s="28"/>
      <c r="G355" s="19"/>
      <c r="H355" s="2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x14ac:dyDescent="0.2">
      <c r="B356" s="47"/>
      <c r="C356" s="8"/>
      <c r="D356" s="43"/>
      <c r="E356" s="72" t="s">
        <v>26</v>
      </c>
      <c r="F356" s="20"/>
      <c r="G356" s="19"/>
      <c r="H356" s="2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s="17" customFormat="1" x14ac:dyDescent="0.2">
      <c r="A357" s="4"/>
      <c r="B357" s="48">
        <v>6</v>
      </c>
      <c r="C357" s="13" t="s">
        <v>261</v>
      </c>
      <c r="D357" s="44"/>
      <c r="E357" s="71"/>
      <c r="F357" s="30"/>
      <c r="G357" s="15"/>
      <c r="H357" s="15"/>
    </row>
    <row r="358" spans="1:40" x14ac:dyDescent="0.2">
      <c r="B358" s="50"/>
      <c r="C358" s="52" t="s">
        <v>262</v>
      </c>
      <c r="D358" s="43"/>
      <c r="E358" s="72" t="s">
        <v>22</v>
      </c>
      <c r="F358" s="28"/>
      <c r="G358" s="19"/>
      <c r="H358" s="21" t="b">
        <f>IF(D360="x",H$2,H$1)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">
      <c r="B359" s="47"/>
      <c r="C359" s="53" t="s">
        <v>263</v>
      </c>
      <c r="D359" s="43"/>
      <c r="E359" s="72" t="s">
        <v>23</v>
      </c>
      <c r="F359" s="22" t="str">
        <f>IF(H360=1,IF(H358=H$2,H358,""),"")</f>
        <v/>
      </c>
      <c r="G359" s="19"/>
      <c r="H359" s="21" t="str">
        <f>IF(E$387="comprobar",COUNTIF(D358:D362,"x"),"")</f>
        <v/>
      </c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x14ac:dyDescent="0.2">
      <c r="B360" s="47"/>
      <c r="C360" s="53" t="s">
        <v>264</v>
      </c>
      <c r="D360" s="43"/>
      <c r="E360" s="72" t="s">
        <v>24</v>
      </c>
      <c r="F360" s="23" t="str">
        <f>IF(H360=-0.33,IF(H358=H$1,H358,""),"")</f>
        <v/>
      </c>
      <c r="G360" s="19"/>
      <c r="H360" s="24">
        <f>IF(H359=1,IF(H358=H$2,1,-0.33),0)</f>
        <v>0</v>
      </c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x14ac:dyDescent="0.2">
      <c r="B361" s="47"/>
      <c r="C361" s="53" t="s">
        <v>265</v>
      </c>
      <c r="D361" s="43"/>
      <c r="E361" s="72" t="s">
        <v>25</v>
      </c>
      <c r="F361" s="28"/>
      <c r="G361" s="19"/>
      <c r="H361" s="2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x14ac:dyDescent="0.2">
      <c r="B362" s="47"/>
      <c r="C362" s="8"/>
      <c r="D362" s="43"/>
      <c r="E362" s="72" t="s">
        <v>26</v>
      </c>
      <c r="F362" s="20"/>
      <c r="G362" s="19"/>
      <c r="H362" s="2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s="17" customFormat="1" x14ac:dyDescent="0.2">
      <c r="A363" s="4"/>
      <c r="B363" s="48">
        <v>7</v>
      </c>
      <c r="C363" s="13" t="s">
        <v>266</v>
      </c>
      <c r="D363" s="44"/>
      <c r="E363" s="71"/>
      <c r="F363" s="30"/>
      <c r="G363" s="15"/>
      <c r="H363" s="15"/>
    </row>
    <row r="364" spans="1:40" x14ac:dyDescent="0.2">
      <c r="B364" s="50"/>
      <c r="C364" s="52" t="s">
        <v>191</v>
      </c>
      <c r="D364" s="43"/>
      <c r="E364" s="72" t="s">
        <v>22</v>
      </c>
      <c r="F364" s="28"/>
      <c r="G364" s="19"/>
      <c r="H364" s="21" t="b">
        <f>IF(D365="x",H$2,H$1)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">
      <c r="B365" s="47"/>
      <c r="C365" s="53" t="s">
        <v>267</v>
      </c>
      <c r="D365" s="43"/>
      <c r="E365" s="72" t="s">
        <v>23</v>
      </c>
      <c r="F365" s="22" t="str">
        <f>IF(H366=1,IF(H364=H$2,H364,""),"")</f>
        <v/>
      </c>
      <c r="G365" s="19"/>
      <c r="H365" s="21" t="str">
        <f>IF(E$387="comprobar",COUNTIF(D364:D368,"x"),"")</f>
        <v/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">
      <c r="B366" s="47"/>
      <c r="C366" s="53" t="s">
        <v>199</v>
      </c>
      <c r="D366" s="43"/>
      <c r="E366" s="72" t="s">
        <v>24</v>
      </c>
      <c r="F366" s="23" t="str">
        <f>IF(H366=-0.33,IF(H364=H$1,H364,""),"")</f>
        <v/>
      </c>
      <c r="G366" s="19"/>
      <c r="H366" s="24">
        <f>IF(H365=1,IF(H364=H$2,1,-0.33),0)</f>
        <v>0</v>
      </c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">
      <c r="B367" s="47"/>
      <c r="C367" s="53" t="s">
        <v>190</v>
      </c>
      <c r="D367" s="43"/>
      <c r="E367" s="72" t="s">
        <v>25</v>
      </c>
      <c r="F367" s="28"/>
      <c r="G367" s="19"/>
      <c r="H367" s="2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x14ac:dyDescent="0.2">
      <c r="B368" s="47"/>
      <c r="C368" s="8"/>
      <c r="D368" s="43"/>
      <c r="E368" s="72" t="s">
        <v>26</v>
      </c>
      <c r="F368" s="20"/>
      <c r="G368" s="19"/>
      <c r="H368" s="2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s="17" customFormat="1" x14ac:dyDescent="0.2">
      <c r="A369" s="4"/>
      <c r="B369" s="48">
        <v>8</v>
      </c>
      <c r="C369" s="13" t="s">
        <v>268</v>
      </c>
      <c r="D369" s="44"/>
      <c r="E369" s="71"/>
      <c r="F369" s="30"/>
      <c r="G369" s="15"/>
      <c r="H369" s="15"/>
    </row>
    <row r="370" spans="1:40" x14ac:dyDescent="0.2">
      <c r="B370" s="50"/>
      <c r="C370" s="52" t="s">
        <v>269</v>
      </c>
      <c r="D370" s="43"/>
      <c r="E370" s="72" t="s">
        <v>22</v>
      </c>
      <c r="F370" s="28"/>
      <c r="G370" s="19"/>
      <c r="H370" s="21" t="b">
        <f>IF(D371="x",H$2,H$1)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">
      <c r="B371" s="47"/>
      <c r="C371" s="53" t="s">
        <v>270</v>
      </c>
      <c r="D371" s="43"/>
      <c r="E371" s="72" t="s">
        <v>23</v>
      </c>
      <c r="F371" s="22" t="str">
        <f>IF(H372=1,IF(H370=H$2,H370,""),"")</f>
        <v/>
      </c>
      <c r="G371" s="19"/>
      <c r="H371" s="21" t="str">
        <f>IF(E$387="comprobar",COUNTIF(D370:D374,"x"),"")</f>
        <v/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">
      <c r="B372" s="47"/>
      <c r="C372" s="53" t="s">
        <v>271</v>
      </c>
      <c r="D372" s="43"/>
      <c r="E372" s="72" t="s">
        <v>24</v>
      </c>
      <c r="F372" s="23" t="str">
        <f>IF(H372=-0.33,IF(H370=H$1,H370,""),"")</f>
        <v/>
      </c>
      <c r="G372" s="19"/>
      <c r="H372" s="24">
        <f>IF(H371=1,IF(H370=H$2,1,-0.33),0)</f>
        <v>0</v>
      </c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x14ac:dyDescent="0.2">
      <c r="B373" s="47"/>
      <c r="C373" s="53" t="s">
        <v>272</v>
      </c>
      <c r="D373" s="43"/>
      <c r="E373" s="72" t="s">
        <v>25</v>
      </c>
      <c r="F373" s="28"/>
      <c r="G373" s="19"/>
      <c r="H373" s="2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1:40" x14ac:dyDescent="0.2">
      <c r="B374" s="47"/>
      <c r="C374" s="8"/>
      <c r="D374" s="43"/>
      <c r="E374" s="72" t="s">
        <v>26</v>
      </c>
      <c r="F374" s="20"/>
      <c r="G374" s="19"/>
      <c r="H374" s="2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s="17" customFormat="1" x14ac:dyDescent="0.2">
      <c r="A375" s="4"/>
      <c r="B375" s="48">
        <v>9</v>
      </c>
      <c r="C375" s="13" t="s">
        <v>273</v>
      </c>
      <c r="D375" s="44"/>
      <c r="E375" s="71"/>
      <c r="F375" s="30"/>
      <c r="G375" s="15"/>
      <c r="H375" s="15"/>
    </row>
    <row r="376" spans="1:40" x14ac:dyDescent="0.2">
      <c r="B376" s="50"/>
      <c r="C376" s="52" t="s">
        <v>274</v>
      </c>
      <c r="D376" s="43"/>
      <c r="E376" s="72" t="s">
        <v>22</v>
      </c>
      <c r="F376" s="28"/>
      <c r="G376" s="19"/>
      <c r="H376" s="21" t="b">
        <f>IF(D379="x",H$2,H$1)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">
      <c r="B377" s="47"/>
      <c r="C377" s="53" t="s">
        <v>275</v>
      </c>
      <c r="D377" s="43"/>
      <c r="E377" s="72" t="s">
        <v>23</v>
      </c>
      <c r="F377" s="22" t="str">
        <f>IF(H378=1,IF(H376=H$2,H376,""),"")</f>
        <v/>
      </c>
      <c r="G377" s="19"/>
      <c r="H377" s="21" t="str">
        <f>IF(E$387="comprobar",COUNTIF(D376:D380,"x"),"")</f>
        <v/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">
      <c r="B378" s="47"/>
      <c r="C378" s="53" t="s">
        <v>276</v>
      </c>
      <c r="D378" s="43"/>
      <c r="E378" s="72" t="s">
        <v>24</v>
      </c>
      <c r="F378" s="23" t="str">
        <f>IF(H378=-0.33,IF(H376=H$1,H376,""),"")</f>
        <v/>
      </c>
      <c r="G378" s="19"/>
      <c r="H378" s="24">
        <f>IF(H377=1,IF(H376=H$2,1,-0.33),0)</f>
        <v>0</v>
      </c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x14ac:dyDescent="0.2">
      <c r="B379" s="47"/>
      <c r="C379" s="53" t="s">
        <v>277</v>
      </c>
      <c r="D379" s="43"/>
      <c r="E379" s="72" t="s">
        <v>25</v>
      </c>
      <c r="F379" s="28"/>
      <c r="G379" s="19"/>
      <c r="H379" s="2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1:40" x14ac:dyDescent="0.2">
      <c r="B380" s="47"/>
      <c r="C380" s="8"/>
      <c r="D380" s="43"/>
      <c r="E380" s="72" t="s">
        <v>26</v>
      </c>
      <c r="F380" s="20"/>
      <c r="G380" s="19"/>
      <c r="H380" s="2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s="17" customFormat="1" x14ac:dyDescent="0.2">
      <c r="A381" s="4"/>
      <c r="B381" s="48">
        <v>10</v>
      </c>
      <c r="C381" s="13" t="s">
        <v>278</v>
      </c>
      <c r="D381" s="44"/>
      <c r="E381" s="71"/>
      <c r="F381" s="30"/>
      <c r="G381" s="29"/>
      <c r="H381" s="15"/>
    </row>
    <row r="382" spans="1:40" x14ac:dyDescent="0.2">
      <c r="B382" s="50"/>
      <c r="C382" s="52" t="s">
        <v>279</v>
      </c>
      <c r="D382" s="43"/>
      <c r="E382" s="72" t="s">
        <v>22</v>
      </c>
      <c r="F382" s="28"/>
      <c r="G382" s="26"/>
      <c r="H382" s="21" t="b">
        <f>IF(D385="x",H$2,H$1)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">
      <c r="B383" s="47"/>
      <c r="C383" s="53" t="s">
        <v>280</v>
      </c>
      <c r="D383" s="43"/>
      <c r="E383" s="72" t="s">
        <v>23</v>
      </c>
      <c r="F383" s="22" t="str">
        <f>IF(H384=1,IF(H382=H$2,H382,""),"")</f>
        <v/>
      </c>
      <c r="G383" s="26"/>
      <c r="H383" s="21" t="str">
        <f>IF(E$387="comprobar",COUNTIF(D382:D386,"x"),"")</f>
        <v/>
      </c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">
      <c r="B384" s="47"/>
      <c r="C384" s="53" t="s">
        <v>281</v>
      </c>
      <c r="D384" s="43"/>
      <c r="E384" s="72" t="s">
        <v>24</v>
      </c>
      <c r="F384" s="23" t="str">
        <f>IF(H384=-0.33,IF(H382=H$1,H382,""),"")</f>
        <v/>
      </c>
      <c r="G384" s="26"/>
      <c r="H384" s="24">
        <f>IF(H383=1,IF(H382=H$2,1,-0.33),0)</f>
        <v>0</v>
      </c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">
      <c r="B385" s="47"/>
      <c r="C385" s="53" t="s">
        <v>282</v>
      </c>
      <c r="D385" s="43"/>
      <c r="E385" s="72" t="s">
        <v>25</v>
      </c>
      <c r="F385" s="28"/>
      <c r="G385" s="26"/>
      <c r="H385" s="2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">
      <c r="B386" s="47"/>
      <c r="C386" s="8"/>
      <c r="D386" s="43"/>
      <c r="E386" s="72" t="s">
        <v>26</v>
      </c>
      <c r="F386" s="20"/>
      <c r="G386" s="26"/>
      <c r="H386" s="2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">
      <c r="B387" s="50"/>
      <c r="C387" s="46"/>
      <c r="D387" s="65"/>
      <c r="E387" s="73"/>
      <c r="F387" s="20"/>
      <c r="G387" s="19"/>
      <c r="H387" s="19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">
      <c r="B388" s="50"/>
      <c r="C388" s="18"/>
      <c r="D388" s="65"/>
      <c r="E388" s="78"/>
      <c r="F388" s="31" t="s">
        <v>8</v>
      </c>
      <c r="G388" s="19" t="s">
        <v>6</v>
      </c>
      <c r="H388" s="19" t="s">
        <v>7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20" x14ac:dyDescent="0.2">
      <c r="B389" s="50"/>
      <c r="C389" s="18"/>
      <c r="D389" s="63"/>
      <c r="E389" s="70"/>
      <c r="F389" s="32" t="str">
        <f>IF(E387="comprobar",H384+H378+H372+H366+H360+H354+H348+H342+H336+H330,"")</f>
        <v/>
      </c>
      <c r="G389" s="19">
        <f>10/2</f>
        <v>5</v>
      </c>
      <c r="H389" s="19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ht="17" thickBot="1" x14ac:dyDescent="0.25">
      <c r="B390" s="51"/>
      <c r="C390" s="33"/>
      <c r="D390" s="34"/>
      <c r="E390" s="74"/>
      <c r="F390" s="35" t="str">
        <f>IF(F389&gt;G389,G388,H388)</f>
        <v>APROBADO</v>
      </c>
      <c r="G390" s="19"/>
      <c r="H390" s="19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s="104" customFormat="1" ht="29" x14ac:dyDescent="0.35">
      <c r="A391" s="102"/>
      <c r="B391" s="103" t="s">
        <v>78</v>
      </c>
      <c r="C391" s="84" t="s">
        <v>13</v>
      </c>
      <c r="D391" s="84"/>
      <c r="E391" s="84"/>
      <c r="F391" s="85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  <c r="AA391" s="102"/>
      <c r="AB391" s="102"/>
      <c r="AC391" s="102"/>
      <c r="AD391" s="102"/>
      <c r="AE391" s="102"/>
      <c r="AF391" s="102"/>
      <c r="AG391" s="102"/>
      <c r="AH391" s="102"/>
      <c r="AI391" s="102"/>
      <c r="AJ391" s="102"/>
      <c r="AK391" s="102"/>
      <c r="AL391" s="102"/>
      <c r="AM391" s="102"/>
      <c r="AN391" s="102"/>
    </row>
    <row r="392" spans="1:40" s="17" customFormat="1" x14ac:dyDescent="0.2">
      <c r="A392" s="4"/>
      <c r="B392" s="48">
        <v>1</v>
      </c>
      <c r="C392" s="13" t="s">
        <v>283</v>
      </c>
      <c r="D392" s="44"/>
      <c r="E392" s="71"/>
      <c r="F392" s="30"/>
      <c r="G392" s="15"/>
      <c r="H392" s="15"/>
    </row>
    <row r="393" spans="1:40" x14ac:dyDescent="0.2">
      <c r="B393" s="50"/>
      <c r="C393" s="52" t="s">
        <v>284</v>
      </c>
      <c r="D393" s="43"/>
      <c r="E393" s="72" t="s">
        <v>22</v>
      </c>
      <c r="F393" s="28"/>
      <c r="G393" s="19"/>
      <c r="H393" s="21" t="b">
        <f>IF(D396="x",H$2,H$1)</f>
        <v>0</v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">
      <c r="B394" s="47"/>
      <c r="C394" s="53" t="s">
        <v>191</v>
      </c>
      <c r="D394" s="43"/>
      <c r="E394" s="72" t="s">
        <v>23</v>
      </c>
      <c r="F394" s="22" t="str">
        <f>IF(H395=1,IF(H393=H$2,H393,""),"")</f>
        <v/>
      </c>
      <c r="G394" s="19"/>
      <c r="H394" s="21" t="str">
        <f>IF(E452="comprobar",COUNTIF(D393:D397,"x"),"")</f>
        <v/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">
      <c r="B395" s="47"/>
      <c r="C395" s="53" t="s">
        <v>215</v>
      </c>
      <c r="D395" s="43"/>
      <c r="E395" s="72" t="s">
        <v>24</v>
      </c>
      <c r="F395" s="23" t="str">
        <f>IF(H395=-0.33,IF(H393=H$1,H393,""),"")</f>
        <v/>
      </c>
      <c r="G395" s="19"/>
      <c r="H395" s="24">
        <f>IF(H394=1,IF(H393=H$2,1,-0.33),0)</f>
        <v>0</v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">
      <c r="B396" s="47"/>
      <c r="C396" s="53" t="s">
        <v>285</v>
      </c>
      <c r="D396" s="43"/>
      <c r="E396" s="72" t="s">
        <v>25</v>
      </c>
      <c r="F396" s="28"/>
      <c r="G396" s="19"/>
      <c r="H396" s="2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">
      <c r="B397" s="47"/>
      <c r="C397" s="8"/>
      <c r="D397" s="43"/>
      <c r="E397" s="72" t="s">
        <v>26</v>
      </c>
      <c r="F397" s="20"/>
      <c r="G397" s="19"/>
      <c r="H397" s="2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7" customFormat="1" x14ac:dyDescent="0.2">
      <c r="A398" s="4"/>
      <c r="B398" s="48">
        <v>2</v>
      </c>
      <c r="C398" s="13" t="s">
        <v>286</v>
      </c>
      <c r="D398" s="44"/>
      <c r="E398" s="71"/>
      <c r="F398" s="30"/>
      <c r="G398" s="15"/>
      <c r="H398" s="15"/>
    </row>
    <row r="399" spans="1:40" x14ac:dyDescent="0.2">
      <c r="B399" s="50"/>
      <c r="C399" s="52" t="s">
        <v>287</v>
      </c>
      <c r="D399" s="43"/>
      <c r="E399" s="72" t="s">
        <v>22</v>
      </c>
      <c r="F399" s="28"/>
      <c r="G399" s="19"/>
      <c r="H399" s="21" t="b">
        <f>IF(D400="x",H$2,H$1)</f>
        <v>0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x14ac:dyDescent="0.2">
      <c r="B400" s="47"/>
      <c r="C400" s="53" t="s">
        <v>288</v>
      </c>
      <c r="D400" s="43"/>
      <c r="E400" s="72" t="s">
        <v>23</v>
      </c>
      <c r="F400" s="22" t="str">
        <f>IF(H401=1,IF(H399=H$2,H399,""),"")</f>
        <v/>
      </c>
      <c r="G400" s="19"/>
      <c r="H400" s="21" t="str">
        <f>IF(E$452="comprobar",COUNTIF(D399:D403,"x"),"")</f>
        <v/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x14ac:dyDescent="0.2">
      <c r="B401" s="47"/>
      <c r="C401" s="53" t="s">
        <v>289</v>
      </c>
      <c r="D401" s="43"/>
      <c r="E401" s="72" t="s">
        <v>24</v>
      </c>
      <c r="F401" s="23" t="str">
        <f>IF(H401=-0.33,IF(H399=H$1,H399,""),"")</f>
        <v/>
      </c>
      <c r="G401" s="19"/>
      <c r="H401" s="24">
        <f>IF(H400=1,IF(H399=H$2,1,-0.33),0)</f>
        <v>0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">
      <c r="B402" s="47"/>
      <c r="C402" s="53" t="s">
        <v>290</v>
      </c>
      <c r="D402" s="43"/>
      <c r="E402" s="72" t="s">
        <v>25</v>
      </c>
      <c r="F402" s="28"/>
      <c r="G402" s="19"/>
      <c r="H402" s="2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">
      <c r="B403" s="47"/>
      <c r="C403" s="8"/>
      <c r="D403" s="43"/>
      <c r="E403" s="72" t="s">
        <v>26</v>
      </c>
      <c r="F403" s="20"/>
      <c r="G403" s="19"/>
      <c r="H403" s="2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7" customFormat="1" x14ac:dyDescent="0.2">
      <c r="A404" s="4"/>
      <c r="B404" s="48">
        <v>3</v>
      </c>
      <c r="C404" s="36" t="s">
        <v>291</v>
      </c>
      <c r="D404" s="44"/>
      <c r="E404" s="71"/>
      <c r="F404" s="30"/>
      <c r="G404" s="15"/>
      <c r="H404" s="15"/>
    </row>
    <row r="405" spans="1:40" x14ac:dyDescent="0.2">
      <c r="B405" s="50"/>
      <c r="C405" s="52" t="s">
        <v>292</v>
      </c>
      <c r="D405" s="43"/>
      <c r="E405" s="72" t="s">
        <v>22</v>
      </c>
      <c r="F405" s="28"/>
      <c r="G405" s="19"/>
      <c r="H405" s="21" t="b">
        <f>IF(D407="x",H$2,H$1)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">
      <c r="B406" s="47"/>
      <c r="C406" s="53" t="s">
        <v>293</v>
      </c>
      <c r="D406" s="43"/>
      <c r="E406" s="72" t="s">
        <v>23</v>
      </c>
      <c r="F406" s="22" t="str">
        <f>IF(H407=1,IF(H405=H$2,H405,""),"")</f>
        <v/>
      </c>
      <c r="G406" s="19"/>
      <c r="H406" s="21" t="str">
        <f>IF(E$452="comprobar",COUNTIF(D405:D409,"x"),"")</f>
        <v/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">
      <c r="B407" s="47"/>
      <c r="C407" s="53" t="s">
        <v>294</v>
      </c>
      <c r="D407" s="43"/>
      <c r="E407" s="72" t="s">
        <v>24</v>
      </c>
      <c r="F407" s="23" t="str">
        <f>IF(H407=-0.33,IF(H405=H$1,H405,""),"")</f>
        <v/>
      </c>
      <c r="G407" s="19"/>
      <c r="H407" s="24">
        <f>IF(H406=1,IF(H405=H$2,1,-0.33),0)</f>
        <v>0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">
      <c r="B408" s="47"/>
      <c r="C408" s="53" t="s">
        <v>295</v>
      </c>
      <c r="D408" s="43"/>
      <c r="E408" s="72" t="s">
        <v>25</v>
      </c>
      <c r="F408" s="28"/>
      <c r="G408" s="19"/>
      <c r="H408" s="2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">
      <c r="B409" s="47"/>
      <c r="C409" s="8"/>
      <c r="D409" s="43"/>
      <c r="E409" s="72" t="s">
        <v>26</v>
      </c>
      <c r="F409" s="20"/>
      <c r="G409" s="19"/>
      <c r="H409" s="2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7" customFormat="1" x14ac:dyDescent="0.2">
      <c r="A410" s="4"/>
      <c r="B410" s="48">
        <v>4</v>
      </c>
      <c r="C410" s="13" t="s">
        <v>296</v>
      </c>
      <c r="D410" s="44"/>
      <c r="E410" s="71"/>
      <c r="F410" s="30"/>
      <c r="G410" s="15"/>
      <c r="H410" s="15"/>
    </row>
    <row r="411" spans="1:40" x14ac:dyDescent="0.2">
      <c r="B411" s="50"/>
      <c r="C411" s="52" t="s">
        <v>297</v>
      </c>
      <c r="D411" s="43"/>
      <c r="E411" s="72" t="s">
        <v>22</v>
      </c>
      <c r="F411" s="28"/>
      <c r="G411" s="19"/>
      <c r="H411" s="21" t="b">
        <f>IF(D412="x",H$2,H$1)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">
      <c r="B412" s="47"/>
      <c r="C412" s="53" t="s">
        <v>298</v>
      </c>
      <c r="D412" s="43"/>
      <c r="E412" s="72" t="s">
        <v>23</v>
      </c>
      <c r="F412" s="22" t="str">
        <f>IF(H413=1,IF(H411=H$2,H411,""),"")</f>
        <v/>
      </c>
      <c r="G412" s="19"/>
      <c r="H412" s="21" t="str">
        <f>IF(E$452="comprobar",COUNTIF(D411:D415,"x"),"")</f>
        <v/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">
      <c r="B413" s="47"/>
      <c r="C413" s="53" t="s">
        <v>299</v>
      </c>
      <c r="D413" s="43"/>
      <c r="E413" s="72" t="s">
        <v>24</v>
      </c>
      <c r="F413" s="23" t="str">
        <f>IF(H413=-0.33,IF(H411=H$1,H411,""),"")</f>
        <v/>
      </c>
      <c r="G413" s="19"/>
      <c r="H413" s="24">
        <f>IF(H412=1,IF(H411=H$2,1,-0.33),0)</f>
        <v>0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">
      <c r="B414" s="47"/>
      <c r="C414" s="53" t="s">
        <v>300</v>
      </c>
      <c r="D414" s="43"/>
      <c r="E414" s="72" t="s">
        <v>25</v>
      </c>
      <c r="F414" s="28"/>
      <c r="G414" s="19"/>
      <c r="H414" s="2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">
      <c r="B415" s="47"/>
      <c r="C415" s="8"/>
      <c r="D415" s="43"/>
      <c r="E415" s="72" t="s">
        <v>26</v>
      </c>
      <c r="F415" s="20"/>
      <c r="G415" s="19"/>
      <c r="H415" s="2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7" customFormat="1" x14ac:dyDescent="0.2">
      <c r="A416" s="4"/>
      <c r="B416" s="48">
        <v>5</v>
      </c>
      <c r="C416" s="13" t="s">
        <v>301</v>
      </c>
      <c r="D416" s="44"/>
      <c r="E416" s="71"/>
      <c r="F416" s="30"/>
      <c r="G416" s="15"/>
      <c r="H416" s="15"/>
    </row>
    <row r="417" spans="1:40" x14ac:dyDescent="0.2">
      <c r="B417" s="50"/>
      <c r="C417" s="52" t="s">
        <v>302</v>
      </c>
      <c r="D417" s="43"/>
      <c r="E417" s="72" t="s">
        <v>22</v>
      </c>
      <c r="F417" s="28"/>
      <c r="G417" s="19"/>
      <c r="H417" s="21" t="b">
        <f>IF(D419="x",H$2,H$1)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">
      <c r="B418" s="47"/>
      <c r="C418" s="53" t="s">
        <v>303</v>
      </c>
      <c r="D418" s="43"/>
      <c r="E418" s="72" t="s">
        <v>23</v>
      </c>
      <c r="F418" s="22" t="str">
        <f>IF(H419=1,IF(H417=H$2,H417,""),"")</f>
        <v/>
      </c>
      <c r="G418" s="19"/>
      <c r="H418" s="21" t="str">
        <f>IF(E$452="comprobar",COUNTIF(D417:D421,"x"),"")</f>
        <v/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">
      <c r="B419" s="47"/>
      <c r="C419" s="53" t="s">
        <v>304</v>
      </c>
      <c r="D419" s="43"/>
      <c r="E419" s="72" t="s">
        <v>24</v>
      </c>
      <c r="F419" s="23" t="str">
        <f>IF(H419=-0.33,IF(H417=H$1,H417,""),"")</f>
        <v/>
      </c>
      <c r="G419" s="19"/>
      <c r="H419" s="24">
        <f>IF(H418=1,IF(H417=H$2,1,-0.33),0)</f>
        <v>0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">
      <c r="B420" s="47"/>
      <c r="C420" s="53" t="s">
        <v>305</v>
      </c>
      <c r="D420" s="43"/>
      <c r="E420" s="72" t="s">
        <v>25</v>
      </c>
      <c r="F420" s="28"/>
      <c r="G420" s="19"/>
      <c r="H420" s="2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x14ac:dyDescent="0.2">
      <c r="B421" s="47"/>
      <c r="C421" s="8"/>
      <c r="D421" s="43"/>
      <c r="E421" s="72" t="s">
        <v>26</v>
      </c>
      <c r="F421" s="20"/>
      <c r="G421" s="19"/>
      <c r="H421" s="2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7" customFormat="1" x14ac:dyDescent="0.2">
      <c r="A422" s="4"/>
      <c r="B422" s="48">
        <v>6</v>
      </c>
      <c r="C422" s="13" t="s">
        <v>306</v>
      </c>
      <c r="D422" s="44"/>
      <c r="E422" s="71"/>
      <c r="F422" s="30"/>
      <c r="G422" s="15"/>
      <c r="H422" s="15"/>
    </row>
    <row r="423" spans="1:40" x14ac:dyDescent="0.2">
      <c r="B423" s="50"/>
      <c r="C423" s="52" t="s">
        <v>307</v>
      </c>
      <c r="D423" s="43"/>
      <c r="E423" s="72" t="s">
        <v>22</v>
      </c>
      <c r="F423" s="28"/>
      <c r="G423" s="19"/>
      <c r="H423" s="21" t="b">
        <f>IF(D426="x",H$2,H$1)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">
      <c r="B424" s="47"/>
      <c r="C424" s="53" t="s">
        <v>308</v>
      </c>
      <c r="D424" s="43"/>
      <c r="E424" s="72" t="s">
        <v>23</v>
      </c>
      <c r="F424" s="22" t="str">
        <f>IF(H425=1,IF(H423=H$2,H423,""),"")</f>
        <v/>
      </c>
      <c r="G424" s="19"/>
      <c r="H424" s="21" t="str">
        <f>IF(E$452="comprobar",COUNTIF(D423:D427,"x"),"")</f>
        <v/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">
      <c r="B425" s="47"/>
      <c r="C425" s="53" t="s">
        <v>309</v>
      </c>
      <c r="D425" s="43"/>
      <c r="E425" s="72" t="s">
        <v>24</v>
      </c>
      <c r="F425" s="23" t="str">
        <f>IF(H425=-0.33,IF(H423=H$1,H423,""),"")</f>
        <v/>
      </c>
      <c r="G425" s="19"/>
      <c r="H425" s="24">
        <f>IF(H424=1,IF(H423=H$2,1,-0.33),0)</f>
        <v>0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">
      <c r="B426" s="47"/>
      <c r="C426" s="53" t="s">
        <v>310</v>
      </c>
      <c r="D426" s="43"/>
      <c r="E426" s="72" t="s">
        <v>25</v>
      </c>
      <c r="F426" s="28"/>
      <c r="G426" s="19"/>
      <c r="H426" s="2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">
      <c r="B427" s="47"/>
      <c r="C427" s="8"/>
      <c r="D427" s="43"/>
      <c r="E427" s="72" t="s">
        <v>26</v>
      </c>
      <c r="F427" s="20"/>
      <c r="G427" s="19"/>
      <c r="H427" s="2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7" customFormat="1" x14ac:dyDescent="0.2">
      <c r="A428" s="4"/>
      <c r="B428" s="48">
        <v>7</v>
      </c>
      <c r="C428" s="13" t="s">
        <v>311</v>
      </c>
      <c r="D428" s="44"/>
      <c r="E428" s="71"/>
      <c r="F428" s="30"/>
      <c r="G428" s="15"/>
      <c r="H428" s="15"/>
    </row>
    <row r="429" spans="1:40" x14ac:dyDescent="0.2">
      <c r="B429" s="50"/>
      <c r="C429" s="52" t="s">
        <v>312</v>
      </c>
      <c r="D429" s="43"/>
      <c r="E429" s="72" t="s">
        <v>22</v>
      </c>
      <c r="F429" s="28"/>
      <c r="G429" s="19"/>
      <c r="H429" s="21" t="b">
        <f>IF(D429="x",H$2,H$1)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">
      <c r="B430" s="47"/>
      <c r="C430" s="53" t="s">
        <v>313</v>
      </c>
      <c r="D430" s="43"/>
      <c r="E430" s="72" t="s">
        <v>23</v>
      </c>
      <c r="F430" s="22" t="str">
        <f>IF(H431=1,IF(H429=H$2,H429,""),"")</f>
        <v/>
      </c>
      <c r="G430" s="19"/>
      <c r="H430" s="21" t="str">
        <f>IF(E$452="comprobar",COUNTIF(D429:D433,"x"),"")</f>
        <v/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">
      <c r="B431" s="47"/>
      <c r="C431" s="53" t="s">
        <v>314</v>
      </c>
      <c r="D431" s="43"/>
      <c r="E431" s="72" t="s">
        <v>24</v>
      </c>
      <c r="F431" s="23" t="str">
        <f>IF(H431=-0.33,IF(H429=H$1,H429,""),"")</f>
        <v/>
      </c>
      <c r="G431" s="19"/>
      <c r="H431" s="24">
        <f>IF(H430=1,IF(H429=H$2,1,-0.33),0)</f>
        <v>0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">
      <c r="B432" s="47"/>
      <c r="C432" s="53" t="s">
        <v>315</v>
      </c>
      <c r="D432" s="43"/>
      <c r="E432" s="72" t="s">
        <v>25</v>
      </c>
      <c r="F432" s="28"/>
      <c r="G432" s="19"/>
      <c r="H432" s="2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">
      <c r="B433" s="47"/>
      <c r="C433" s="8"/>
      <c r="D433" s="43"/>
      <c r="E433" s="72" t="s">
        <v>26</v>
      </c>
      <c r="F433" s="20"/>
      <c r="G433" s="19"/>
      <c r="H433" s="2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7" customFormat="1" x14ac:dyDescent="0.2">
      <c r="A434" s="4"/>
      <c r="B434" s="48">
        <v>8</v>
      </c>
      <c r="C434" s="13" t="s">
        <v>316</v>
      </c>
      <c r="D434" s="44"/>
      <c r="E434" s="71"/>
      <c r="F434" s="30"/>
      <c r="G434" s="15"/>
      <c r="H434" s="15"/>
    </row>
    <row r="435" spans="1:40" x14ac:dyDescent="0.2">
      <c r="B435" s="50"/>
      <c r="C435" s="52" t="s">
        <v>317</v>
      </c>
      <c r="D435" s="43"/>
      <c r="E435" s="72" t="s">
        <v>22</v>
      </c>
      <c r="F435" s="28"/>
      <c r="G435" s="19"/>
      <c r="H435" s="21" t="b">
        <f>IF(D438="x",H$2,H$1)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">
      <c r="B436" s="47"/>
      <c r="C436" s="53" t="s">
        <v>318</v>
      </c>
      <c r="D436" s="43"/>
      <c r="E436" s="72" t="s">
        <v>23</v>
      </c>
      <c r="F436" s="22" t="str">
        <f>IF(H437=1,IF(H435=H$2,H435,""),"")</f>
        <v/>
      </c>
      <c r="G436" s="19"/>
      <c r="H436" s="21" t="str">
        <f>IF(E$452="comprobar",COUNTIF(D435:D439,"x"),"")</f>
        <v/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">
      <c r="B437" s="47"/>
      <c r="C437" s="53" t="s">
        <v>319</v>
      </c>
      <c r="D437" s="43"/>
      <c r="E437" s="72" t="s">
        <v>24</v>
      </c>
      <c r="F437" s="23" t="str">
        <f>IF(H437=-0.33,IF(H435=H$1,H435,""),"")</f>
        <v/>
      </c>
      <c r="G437" s="19"/>
      <c r="H437" s="24">
        <f>IF(H436=1,IF(H435=H$2,1,-0.33),0)</f>
        <v>0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">
      <c r="B438" s="47"/>
      <c r="C438" s="53" t="s">
        <v>320</v>
      </c>
      <c r="D438" s="43"/>
      <c r="E438" s="72" t="s">
        <v>25</v>
      </c>
      <c r="F438" s="28"/>
      <c r="G438" s="19"/>
      <c r="H438" s="2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">
      <c r="B439" s="47"/>
      <c r="C439" s="8"/>
      <c r="D439" s="43"/>
      <c r="E439" s="72" t="s">
        <v>26</v>
      </c>
      <c r="F439" s="20"/>
      <c r="G439" s="19"/>
      <c r="H439" s="2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7" customFormat="1" x14ac:dyDescent="0.2">
      <c r="A440" s="4"/>
      <c r="B440" s="48">
        <v>9</v>
      </c>
      <c r="C440" s="13" t="s">
        <v>321</v>
      </c>
      <c r="D440" s="44"/>
      <c r="E440" s="71"/>
      <c r="F440" s="30"/>
      <c r="G440" s="15"/>
      <c r="H440" s="15"/>
    </row>
    <row r="441" spans="1:40" x14ac:dyDescent="0.2">
      <c r="B441" s="50"/>
      <c r="C441" s="52" t="s">
        <v>322</v>
      </c>
      <c r="D441" s="43"/>
      <c r="E441" s="72" t="s">
        <v>22</v>
      </c>
      <c r="F441" s="28"/>
      <c r="G441" s="19"/>
      <c r="H441" s="21" t="b">
        <f>IF(D444="x",H$2,H$1)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">
      <c r="B442" s="47"/>
      <c r="C442" s="53" t="s">
        <v>323</v>
      </c>
      <c r="D442" s="43"/>
      <c r="E442" s="72" t="s">
        <v>23</v>
      </c>
      <c r="F442" s="22" t="str">
        <f>IF(H443=1,IF(H441=H$2,H441,""),"")</f>
        <v/>
      </c>
      <c r="G442" s="19"/>
      <c r="H442" s="21" t="str">
        <f>IF(E$452="comprobar",COUNTIF(D441:D445,"x"),"")</f>
        <v/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">
      <c r="B443" s="47"/>
      <c r="C443" s="53" t="s">
        <v>324</v>
      </c>
      <c r="D443" s="43"/>
      <c r="E443" s="72" t="s">
        <v>24</v>
      </c>
      <c r="F443" s="23" t="str">
        <f>IF(H443=-0.33,IF(H441=H$1,H441,""),"")</f>
        <v/>
      </c>
      <c r="G443" s="19"/>
      <c r="H443" s="24">
        <f>IF(H442=1,IF(H441=H$2,1,-0.33),0)</f>
        <v>0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">
      <c r="B444" s="47"/>
      <c r="C444" s="53" t="s">
        <v>192</v>
      </c>
      <c r="D444" s="43"/>
      <c r="E444" s="72" t="s">
        <v>25</v>
      </c>
      <c r="F444" s="28"/>
      <c r="G444" s="19"/>
      <c r="H444" s="2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s="39" customFormat="1" x14ac:dyDescent="0.2">
      <c r="A445" s="4"/>
      <c r="B445" s="47"/>
      <c r="C445" s="8"/>
      <c r="D445" s="43"/>
      <c r="E445" s="72" t="s">
        <v>26</v>
      </c>
      <c r="F445" s="20"/>
      <c r="G445" s="19"/>
      <c r="H445" s="24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</row>
    <row r="446" spans="1:40" s="17" customFormat="1" x14ac:dyDescent="0.2">
      <c r="A446" s="4"/>
      <c r="B446" s="48">
        <v>10</v>
      </c>
      <c r="C446" s="13" t="s">
        <v>325</v>
      </c>
      <c r="D446" s="44"/>
      <c r="E446" s="71"/>
      <c r="F446" s="30"/>
      <c r="G446" s="29"/>
      <c r="H446" s="15"/>
    </row>
    <row r="447" spans="1:40" x14ac:dyDescent="0.2">
      <c r="B447" s="50"/>
      <c r="C447" s="52" t="s">
        <v>326</v>
      </c>
      <c r="D447" s="43"/>
      <c r="E447" s="72" t="s">
        <v>22</v>
      </c>
      <c r="F447" s="28"/>
      <c r="G447" s="26"/>
      <c r="H447" s="21" t="b">
        <f>IF(D450="x",H$2,H$1)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">
      <c r="B448" s="47"/>
      <c r="C448" s="53" t="s">
        <v>327</v>
      </c>
      <c r="D448" s="43"/>
      <c r="E448" s="72" t="s">
        <v>23</v>
      </c>
      <c r="F448" s="22" t="str">
        <f>IF(H449=1,IF(H447=H$2,H447,""),"")</f>
        <v/>
      </c>
      <c r="G448" s="26"/>
      <c r="H448" s="21" t="str">
        <f>IF(E$452="comprobar",COUNTIF(D447:D451,"x"),"")</f>
        <v/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">
      <c r="B449" s="47"/>
      <c r="C449" s="53" t="s">
        <v>328</v>
      </c>
      <c r="D449" s="43"/>
      <c r="E449" s="72" t="s">
        <v>24</v>
      </c>
      <c r="F449" s="23" t="str">
        <f>IF(H449=-0.33,IF(H447=H$1,H447,""),"")</f>
        <v/>
      </c>
      <c r="G449" s="26"/>
      <c r="H449" s="24">
        <f>IF(H448=1,IF(H447=H$2,1,-0.33),0)</f>
        <v>0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">
      <c r="B450" s="47"/>
      <c r="C450" s="53" t="s">
        <v>329</v>
      </c>
      <c r="D450" s="43"/>
      <c r="E450" s="72" t="s">
        <v>25</v>
      </c>
      <c r="F450" s="28"/>
      <c r="G450" s="26"/>
      <c r="H450" s="2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x14ac:dyDescent="0.2">
      <c r="B451" s="47"/>
      <c r="C451" s="8"/>
      <c r="D451" s="43"/>
      <c r="E451" s="72" t="s">
        <v>26</v>
      </c>
      <c r="F451" s="20"/>
      <c r="G451" s="26"/>
      <c r="H451" s="2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x14ac:dyDescent="0.2">
      <c r="B452" s="50"/>
      <c r="C452" s="46"/>
      <c r="D452" s="65"/>
      <c r="E452" s="73"/>
      <c r="F452" s="20"/>
      <c r="G452" s="19"/>
      <c r="H452" s="19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">
      <c r="B453" s="50"/>
      <c r="C453" s="18"/>
      <c r="D453" s="65"/>
      <c r="E453" s="78"/>
      <c r="F453" s="31" t="s">
        <v>8</v>
      </c>
      <c r="G453" s="19" t="s">
        <v>6</v>
      </c>
      <c r="H453" s="19" t="s">
        <v>7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20" x14ac:dyDescent="0.2">
      <c r="B454" s="50"/>
      <c r="C454" s="18"/>
      <c r="D454" s="63"/>
      <c r="E454" s="70"/>
      <c r="F454" s="32" t="str">
        <f>IF(E452="comprobar",H449+H443+H437+H431+H425+H419+H413+H407+H401+H395,"")</f>
        <v/>
      </c>
      <c r="G454" s="19">
        <f>10/2</f>
        <v>5</v>
      </c>
      <c r="H454" s="19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7" thickBot="1" x14ac:dyDescent="0.25">
      <c r="B455" s="51"/>
      <c r="C455" s="33"/>
      <c r="D455" s="34"/>
      <c r="E455" s="74"/>
      <c r="F455" s="35" t="str">
        <f>IF(F454&gt;G454,G453,H453)</f>
        <v>APROBADO</v>
      </c>
      <c r="G455" s="19"/>
      <c r="H455" s="19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04" customFormat="1" ht="29" x14ac:dyDescent="0.35">
      <c r="A456" s="102"/>
      <c r="B456" s="103" t="s">
        <v>78</v>
      </c>
      <c r="C456" s="84" t="s">
        <v>15</v>
      </c>
      <c r="D456" s="84"/>
      <c r="E456" s="84"/>
      <c r="F456" s="85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</row>
    <row r="457" spans="1:40" s="17" customFormat="1" x14ac:dyDescent="0.2">
      <c r="A457" s="4"/>
      <c r="B457" s="48">
        <v>1</v>
      </c>
      <c r="C457" s="13" t="s">
        <v>330</v>
      </c>
      <c r="D457" s="44"/>
      <c r="E457" s="71"/>
      <c r="F457" s="30"/>
      <c r="G457" s="15"/>
      <c r="H457" s="15"/>
    </row>
    <row r="458" spans="1:40" x14ac:dyDescent="0.2">
      <c r="B458" s="50"/>
      <c r="C458" s="52" t="s">
        <v>331</v>
      </c>
      <c r="D458" s="43"/>
      <c r="E458" s="72" t="s">
        <v>22</v>
      </c>
      <c r="F458" s="28"/>
      <c r="G458" s="19"/>
      <c r="H458" s="21" t="b">
        <f>IF(D460="x",H$2,H$1)</f>
        <v>0</v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">
      <c r="B459" s="47"/>
      <c r="C459" s="53" t="s">
        <v>332</v>
      </c>
      <c r="D459" s="43"/>
      <c r="E459" s="72" t="s">
        <v>23</v>
      </c>
      <c r="F459" s="22" t="str">
        <f>IF(H460=1,IF(H458=H$2,H458,""),"")</f>
        <v/>
      </c>
      <c r="G459" s="19"/>
      <c r="H459" s="21" t="str">
        <f>IF(E$517="comprobar",COUNTIF(D458:D462,"x"),"")</f>
        <v/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">
      <c r="B460" s="47"/>
      <c r="C460" s="53" t="s">
        <v>333</v>
      </c>
      <c r="D460" s="43"/>
      <c r="E460" s="72" t="s">
        <v>24</v>
      </c>
      <c r="F460" s="23" t="str">
        <f>IF(H460=-0.33,IF(H458=H$1,H458,""),"")</f>
        <v/>
      </c>
      <c r="G460" s="19"/>
      <c r="H460" s="24">
        <f>IF(H459=1,IF(H458=H$2,1,-0.33),0)</f>
        <v>0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x14ac:dyDescent="0.2">
      <c r="B461" s="47"/>
      <c r="C461" s="53" t="s">
        <v>334</v>
      </c>
      <c r="D461" s="43"/>
      <c r="E461" s="72" t="s">
        <v>25</v>
      </c>
      <c r="F461" s="28"/>
      <c r="G461" s="19"/>
      <c r="H461" s="2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">
      <c r="B462" s="47"/>
      <c r="C462" s="8"/>
      <c r="D462" s="43"/>
      <c r="E462" s="72" t="s">
        <v>26</v>
      </c>
      <c r="F462" s="20"/>
      <c r="G462" s="19"/>
      <c r="H462" s="2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7" customFormat="1" x14ac:dyDescent="0.2">
      <c r="A463" s="4"/>
      <c r="B463" s="48">
        <v>2</v>
      </c>
      <c r="C463" s="13" t="s">
        <v>335</v>
      </c>
      <c r="D463" s="44"/>
      <c r="E463" s="71"/>
      <c r="F463" s="30"/>
      <c r="G463" s="15"/>
      <c r="H463" s="15"/>
    </row>
    <row r="464" spans="1:40" x14ac:dyDescent="0.2">
      <c r="B464" s="50"/>
      <c r="C464" s="52" t="s">
        <v>336</v>
      </c>
      <c r="D464" s="43"/>
      <c r="E464" s="72" t="s">
        <v>22</v>
      </c>
      <c r="F464" s="28"/>
      <c r="G464" s="19"/>
      <c r="H464" s="21" t="b">
        <f>IF(D467="x",H$2,H$1)</f>
        <v>0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">
      <c r="B465" s="47"/>
      <c r="C465" s="53" t="s">
        <v>337</v>
      </c>
      <c r="D465" s="43"/>
      <c r="E465" s="72" t="s">
        <v>23</v>
      </c>
      <c r="F465" s="22" t="str">
        <f>IF(H466=1,IF(H464=H$2,H464,""),"")</f>
        <v/>
      </c>
      <c r="G465" s="19"/>
      <c r="H465" s="21" t="str">
        <f>IF(E$517="comprobar",COUNTIF(D464:D468,"x"),"")</f>
        <v/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">
      <c r="B466" s="47"/>
      <c r="C466" s="53" t="s">
        <v>338</v>
      </c>
      <c r="D466" s="43"/>
      <c r="E466" s="72" t="s">
        <v>24</v>
      </c>
      <c r="F466" s="23" t="str">
        <f>IF(H466=-0.33,IF(H464=H$1,H464,""),"")</f>
        <v/>
      </c>
      <c r="G466" s="19"/>
      <c r="H466" s="24">
        <f>IF(H465=1,IF(H464=H$2,1,-0.33),0)</f>
        <v>0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">
      <c r="B467" s="47"/>
      <c r="C467" s="53" t="s">
        <v>339</v>
      </c>
      <c r="D467" s="43"/>
      <c r="E467" s="72" t="s">
        <v>25</v>
      </c>
      <c r="F467" s="28"/>
      <c r="G467" s="19"/>
      <c r="H467" s="2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">
      <c r="B468" s="47"/>
      <c r="C468" s="8"/>
      <c r="D468" s="43"/>
      <c r="E468" s="72" t="s">
        <v>26</v>
      </c>
      <c r="F468" s="20"/>
      <c r="G468" s="19"/>
      <c r="H468" s="2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7" customFormat="1" x14ac:dyDescent="0.2">
      <c r="A469" s="4"/>
      <c r="B469" s="48">
        <v>3</v>
      </c>
      <c r="C469" s="36" t="s">
        <v>340</v>
      </c>
      <c r="D469" s="44"/>
      <c r="E469" s="71"/>
      <c r="F469" s="30"/>
      <c r="G469" s="15"/>
      <c r="H469" s="15"/>
    </row>
    <row r="470" spans="1:40" x14ac:dyDescent="0.2">
      <c r="B470" s="50"/>
      <c r="C470" s="52" t="s">
        <v>341</v>
      </c>
      <c r="D470" s="43"/>
      <c r="E470" s="72" t="s">
        <v>22</v>
      </c>
      <c r="F470" s="28"/>
      <c r="G470" s="19"/>
      <c r="H470" s="21" t="b">
        <f>IF(D471="x",H$2,H$1)</f>
        <v>0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">
      <c r="B471" s="47"/>
      <c r="C471" s="53" t="s">
        <v>342</v>
      </c>
      <c r="D471" s="43"/>
      <c r="E471" s="72" t="s">
        <v>23</v>
      </c>
      <c r="F471" s="22" t="str">
        <f>IF(H472=1,IF(H470=H$2,H470,""),"")</f>
        <v/>
      </c>
      <c r="G471" s="19"/>
      <c r="H471" s="21" t="str">
        <f>IF(E$517="comprobar",COUNTIF(D470:D474,"x"),"")</f>
        <v/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">
      <c r="B472" s="47"/>
      <c r="C472" s="53" t="s">
        <v>343</v>
      </c>
      <c r="D472" s="43"/>
      <c r="E472" s="72" t="s">
        <v>24</v>
      </c>
      <c r="F472" s="23" t="str">
        <f>IF(H472=-0.33,IF(H470=H$1,H470,""),"")</f>
        <v/>
      </c>
      <c r="G472" s="19"/>
      <c r="H472" s="24">
        <f>IF(H471=1,IF(H470=H$2,1,-0.33),0)</f>
        <v>0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">
      <c r="B473" s="47"/>
      <c r="C473" s="53" t="s">
        <v>344</v>
      </c>
      <c r="D473" s="43"/>
      <c r="E473" s="72" t="s">
        <v>25</v>
      </c>
      <c r="F473" s="28"/>
      <c r="G473" s="19"/>
      <c r="H473" s="2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">
      <c r="B474" s="47"/>
      <c r="C474" s="8"/>
      <c r="D474" s="43"/>
      <c r="E474" s="72" t="s">
        <v>26</v>
      </c>
      <c r="F474" s="20"/>
      <c r="G474" s="19"/>
      <c r="H474" s="2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7" customFormat="1" x14ac:dyDescent="0.2">
      <c r="A475" s="4"/>
      <c r="B475" s="48">
        <v>4</v>
      </c>
      <c r="C475" s="13" t="s">
        <v>345</v>
      </c>
      <c r="D475" s="44"/>
      <c r="E475" s="71"/>
      <c r="F475" s="30"/>
      <c r="G475" s="15"/>
      <c r="H475" s="15"/>
    </row>
    <row r="476" spans="1:40" x14ac:dyDescent="0.2">
      <c r="B476" s="50"/>
      <c r="C476" s="52" t="s">
        <v>346</v>
      </c>
      <c r="D476" s="43"/>
      <c r="E476" s="72" t="s">
        <v>22</v>
      </c>
      <c r="F476" s="28"/>
      <c r="G476" s="19"/>
      <c r="H476" s="21" t="b">
        <f>IF(D478="x",H$2,H$1)</f>
        <v>0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">
      <c r="B477" s="47"/>
      <c r="C477" s="53" t="s">
        <v>347</v>
      </c>
      <c r="D477" s="43"/>
      <c r="E477" s="72" t="s">
        <v>23</v>
      </c>
      <c r="F477" s="22" t="str">
        <f>IF(H478=1,IF(H476=H$2,H476,""),"")</f>
        <v/>
      </c>
      <c r="G477" s="19"/>
      <c r="H477" s="21" t="str">
        <f>IF(E$517="comprobar",COUNTIF(D476:D480,"x"),"")</f>
        <v/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">
      <c r="B478" s="47"/>
      <c r="C478" s="53" t="s">
        <v>337</v>
      </c>
      <c r="D478" s="43"/>
      <c r="E478" s="72" t="s">
        <v>24</v>
      </c>
      <c r="F478" s="23" t="str">
        <f>IF(H478=-0.33,IF(H476=H$1,H476,""),"")</f>
        <v/>
      </c>
      <c r="G478" s="19"/>
      <c r="H478" s="24">
        <f>IF(H477=1,IF(H476=H$2,1,-0.33),0)</f>
        <v>0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">
      <c r="B479" s="47"/>
      <c r="C479" s="53" t="s">
        <v>339</v>
      </c>
      <c r="D479" s="43"/>
      <c r="E479" s="72" t="s">
        <v>25</v>
      </c>
      <c r="F479" s="28"/>
      <c r="G479" s="19"/>
      <c r="H479" s="2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">
      <c r="B480" s="47"/>
      <c r="C480" s="8"/>
      <c r="D480" s="43"/>
      <c r="E480" s="72" t="s">
        <v>26</v>
      </c>
      <c r="F480" s="20"/>
      <c r="G480" s="19"/>
      <c r="H480" s="2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7" customFormat="1" x14ac:dyDescent="0.2">
      <c r="A481" s="4"/>
      <c r="B481" s="48">
        <v>5</v>
      </c>
      <c r="C481" s="13" t="s">
        <v>348</v>
      </c>
      <c r="D481" s="44"/>
      <c r="E481" s="71"/>
      <c r="F481" s="30"/>
      <c r="G481" s="15"/>
      <c r="H481" s="15"/>
    </row>
    <row r="482" spans="1:40" x14ac:dyDescent="0.2">
      <c r="B482" s="50"/>
      <c r="C482" s="52" t="s">
        <v>349</v>
      </c>
      <c r="D482" s="43"/>
      <c r="E482" s="72" t="s">
        <v>22</v>
      </c>
      <c r="F482" s="28"/>
      <c r="G482" s="19"/>
      <c r="H482" s="21" t="b">
        <f>IF(D485="x",H$2,H$1)</f>
        <v>0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">
      <c r="B483" s="47"/>
      <c r="C483" s="53" t="s">
        <v>350</v>
      </c>
      <c r="D483" s="43"/>
      <c r="E483" s="72" t="s">
        <v>23</v>
      </c>
      <c r="F483" s="22" t="str">
        <f>IF(H484=1,IF(H482=H$2,H482,""),"")</f>
        <v/>
      </c>
      <c r="G483" s="19"/>
      <c r="H483" s="21" t="str">
        <f>IF(E$517="comprobar",COUNTIF(D482:D486,"x"),"")</f>
        <v/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">
      <c r="B484" s="47"/>
      <c r="C484" s="53" t="s">
        <v>351</v>
      </c>
      <c r="D484" s="43"/>
      <c r="E484" s="72" t="s">
        <v>24</v>
      </c>
      <c r="F484" s="23" t="str">
        <f>IF(H484=-0.33,IF(H482=H$1,H482,""),"")</f>
        <v/>
      </c>
      <c r="G484" s="19"/>
      <c r="H484" s="24">
        <f>IF(H483=1,IF(H482=H$2,1,-0.33),0)</f>
        <v>0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">
      <c r="B485" s="47"/>
      <c r="C485" s="53" t="s">
        <v>352</v>
      </c>
      <c r="D485" s="43"/>
      <c r="E485" s="72" t="s">
        <v>25</v>
      </c>
      <c r="F485" s="28"/>
      <c r="G485" s="19"/>
      <c r="H485" s="2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">
      <c r="B486" s="47"/>
      <c r="C486" s="8"/>
      <c r="D486" s="43"/>
      <c r="E486" s="72" t="s">
        <v>26</v>
      </c>
      <c r="F486" s="20"/>
      <c r="G486" s="19"/>
      <c r="H486" s="2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7" customFormat="1" x14ac:dyDescent="0.2">
      <c r="A487" s="4"/>
      <c r="B487" s="48">
        <v>6</v>
      </c>
      <c r="C487" s="13" t="s">
        <v>353</v>
      </c>
      <c r="D487" s="44"/>
      <c r="E487" s="71"/>
      <c r="F487" s="30"/>
      <c r="G487" s="15"/>
      <c r="H487" s="15"/>
    </row>
    <row r="488" spans="1:40" x14ac:dyDescent="0.2">
      <c r="B488" s="50"/>
      <c r="C488" s="52" t="s">
        <v>354</v>
      </c>
      <c r="D488" s="43"/>
      <c r="E488" s="72" t="s">
        <v>22</v>
      </c>
      <c r="F488" s="28"/>
      <c r="G488" s="19"/>
      <c r="H488" s="21" t="b">
        <f>IF(D489="x",H$2,H$1)</f>
        <v>0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">
      <c r="B489" s="47"/>
      <c r="C489" s="53" t="s">
        <v>355</v>
      </c>
      <c r="D489" s="43"/>
      <c r="E489" s="72" t="s">
        <v>23</v>
      </c>
      <c r="F489" s="22" t="str">
        <f>IF(H490=1,IF(H488=H$2,H488,""),"")</f>
        <v/>
      </c>
      <c r="G489" s="19"/>
      <c r="H489" s="21" t="str">
        <f>IF(E$517="comprobar",COUNTIF(D488:D492,"x"),"")</f>
        <v/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">
      <c r="B490" s="47"/>
      <c r="C490" s="53" t="s">
        <v>356</v>
      </c>
      <c r="D490" s="43"/>
      <c r="E490" s="72" t="s">
        <v>24</v>
      </c>
      <c r="F490" s="23" t="str">
        <f>IF(H490=-0.33,IF(H488=H$1,H488,""),"")</f>
        <v/>
      </c>
      <c r="G490" s="19"/>
      <c r="H490" s="24">
        <f>IF(H489=1,IF(H488=H$2,1,-0.33),0)</f>
        <v>0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">
      <c r="B491" s="47"/>
      <c r="C491" s="53" t="s">
        <v>357</v>
      </c>
      <c r="D491" s="43"/>
      <c r="E491" s="72" t="s">
        <v>25</v>
      </c>
      <c r="F491" s="28"/>
      <c r="G491" s="19"/>
      <c r="H491" s="2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">
      <c r="B492" s="47"/>
      <c r="C492" s="8"/>
      <c r="D492" s="43"/>
      <c r="E492" s="72" t="s">
        <v>26</v>
      </c>
      <c r="F492" s="20"/>
      <c r="G492" s="19"/>
      <c r="H492" s="2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7" customFormat="1" x14ac:dyDescent="0.2">
      <c r="A493" s="4"/>
      <c r="B493" s="48">
        <v>7</v>
      </c>
      <c r="C493" s="13" t="s">
        <v>358</v>
      </c>
      <c r="D493" s="44"/>
      <c r="E493" s="71"/>
      <c r="F493" s="30"/>
      <c r="G493" s="15"/>
      <c r="H493" s="15"/>
    </row>
    <row r="494" spans="1:40" x14ac:dyDescent="0.2">
      <c r="B494" s="50"/>
      <c r="C494" s="52" t="s">
        <v>359</v>
      </c>
      <c r="D494" s="43"/>
      <c r="E494" s="72" t="s">
        <v>22</v>
      </c>
      <c r="F494" s="28"/>
      <c r="G494" s="19"/>
      <c r="H494" s="21" t="b">
        <f>IF(D497="x",H$2,H$1)</f>
        <v>0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">
      <c r="B495" s="47"/>
      <c r="C495" s="53" t="s">
        <v>360</v>
      </c>
      <c r="D495" s="43"/>
      <c r="E495" s="72" t="s">
        <v>23</v>
      </c>
      <c r="F495" s="22" t="str">
        <f>IF(H496=1,IF(H494=H$2,H494,""),"")</f>
        <v/>
      </c>
      <c r="G495" s="19"/>
      <c r="H495" s="21" t="str">
        <f>IF(E$517="comprobar",COUNTIF(D494:D498,"x"),"")</f>
        <v/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">
      <c r="B496" s="47"/>
      <c r="C496" s="53" t="s">
        <v>361</v>
      </c>
      <c r="D496" s="43"/>
      <c r="E496" s="72" t="s">
        <v>24</v>
      </c>
      <c r="F496" s="23" t="str">
        <f>IF(H496=-0.33,IF(H494=H$1,H494,""),"")</f>
        <v/>
      </c>
      <c r="G496" s="19"/>
      <c r="H496" s="24">
        <f>IF(H495=1,IF(H494=H$2,1,-0.33),0)</f>
        <v>0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">
      <c r="B497" s="47"/>
      <c r="C497" s="53" t="s">
        <v>362</v>
      </c>
      <c r="D497" s="43"/>
      <c r="E497" s="72" t="s">
        <v>25</v>
      </c>
      <c r="F497" s="28"/>
      <c r="G497" s="19"/>
      <c r="H497" s="2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">
      <c r="B498" s="47"/>
      <c r="C498" s="8"/>
      <c r="D498" s="43"/>
      <c r="E498" s="72" t="s">
        <v>26</v>
      </c>
      <c r="F498" s="20"/>
      <c r="G498" s="19"/>
      <c r="H498" s="2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7" customFormat="1" x14ac:dyDescent="0.2">
      <c r="A499" s="4"/>
      <c r="B499" s="48">
        <v>8</v>
      </c>
      <c r="C499" s="13" t="s">
        <v>363</v>
      </c>
      <c r="D499" s="44"/>
      <c r="E499" s="71"/>
      <c r="F499" s="30"/>
      <c r="G499" s="15"/>
      <c r="H499" s="15"/>
    </row>
    <row r="500" spans="1:40" x14ac:dyDescent="0.2">
      <c r="B500" s="50"/>
      <c r="C500" s="52" t="s">
        <v>364</v>
      </c>
      <c r="D500" s="43"/>
      <c r="E500" s="72" t="s">
        <v>22</v>
      </c>
      <c r="F500" s="28"/>
      <c r="G500" s="19"/>
      <c r="H500" s="21" t="b">
        <f>IF(D500="x",H$2,H$1)</f>
        <v>0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">
      <c r="B501" s="47"/>
      <c r="C501" s="53" t="s">
        <v>365</v>
      </c>
      <c r="D501" s="43"/>
      <c r="E501" s="72" t="s">
        <v>23</v>
      </c>
      <c r="F501" s="22" t="str">
        <f>IF(H502=1,IF(H500=H$2,H500,""),"")</f>
        <v/>
      </c>
      <c r="G501" s="19"/>
      <c r="H501" s="21" t="str">
        <f>IF(E$517="comprobar",COUNTIF(D500:D504,"x"),"")</f>
        <v/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">
      <c r="B502" s="47"/>
      <c r="C502" s="53" t="s">
        <v>366</v>
      </c>
      <c r="D502" s="43"/>
      <c r="E502" s="72" t="s">
        <v>24</v>
      </c>
      <c r="F502" s="23" t="str">
        <f>IF(H502=-0.33,IF(H500=H$1,H500,""),"")</f>
        <v/>
      </c>
      <c r="G502" s="19"/>
      <c r="H502" s="24">
        <f>IF(H501=1,IF(H500=H$2,1,-0.33),0)</f>
        <v>0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">
      <c r="B503" s="47"/>
      <c r="C503" s="53" t="s">
        <v>367</v>
      </c>
      <c r="D503" s="43"/>
      <c r="E503" s="72" t="s">
        <v>25</v>
      </c>
      <c r="F503" s="28"/>
      <c r="G503" s="19"/>
      <c r="H503" s="2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">
      <c r="B504" s="47"/>
      <c r="C504" s="8"/>
      <c r="D504" s="43"/>
      <c r="E504" s="72" t="s">
        <v>26</v>
      </c>
      <c r="F504" s="20"/>
      <c r="G504" s="19"/>
      <c r="H504" s="2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54" customFormat="1" x14ac:dyDescent="0.2">
      <c r="A505" s="100"/>
      <c r="B505" s="48">
        <v>9</v>
      </c>
      <c r="C505" s="13" t="s">
        <v>368</v>
      </c>
      <c r="D505" s="79"/>
      <c r="E505" s="75"/>
      <c r="F505" s="69"/>
      <c r="G505" s="55"/>
      <c r="H505" s="55"/>
    </row>
    <row r="506" spans="1:40" x14ac:dyDescent="0.2">
      <c r="B506" s="50"/>
      <c r="C506" s="52" t="s">
        <v>369</v>
      </c>
      <c r="D506" s="43"/>
      <c r="E506" s="72" t="s">
        <v>22</v>
      </c>
      <c r="F506" s="28"/>
      <c r="G506" s="19"/>
      <c r="H506" s="21" t="b">
        <f>IF(D508="x",H$2,H$1)</f>
        <v>0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">
      <c r="B507" s="47"/>
      <c r="C507" s="53" t="s">
        <v>370</v>
      </c>
      <c r="D507" s="43"/>
      <c r="E507" s="72" t="s">
        <v>23</v>
      </c>
      <c r="F507" s="22" t="str">
        <f>IF(H508=1,IF(H506=H$2,H506,""),"")</f>
        <v/>
      </c>
      <c r="G507" s="19"/>
      <c r="H507" s="21" t="str">
        <f>IF(E$517="comprobar",COUNTIF(D506:D510,"x"),"")</f>
        <v/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">
      <c r="B508" s="47"/>
      <c r="C508" s="53" t="s">
        <v>371</v>
      </c>
      <c r="D508" s="43"/>
      <c r="E508" s="72" t="s">
        <v>24</v>
      </c>
      <c r="F508" s="23" t="str">
        <f>IF(H508=-0.33,IF(H506=H$1,H506,""),"")</f>
        <v/>
      </c>
      <c r="G508" s="19"/>
      <c r="H508" s="24">
        <f>IF(H507=1,IF(H506=H$2,1,-0.33),0)</f>
        <v>0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">
      <c r="B509" s="47"/>
      <c r="C509" s="53" t="s">
        <v>372</v>
      </c>
      <c r="D509" s="43"/>
      <c r="E509" s="72" t="s">
        <v>25</v>
      </c>
      <c r="F509" s="28"/>
      <c r="G509" s="19"/>
      <c r="H509" s="2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">
      <c r="B510" s="47"/>
      <c r="C510" s="8"/>
      <c r="D510" s="43"/>
      <c r="E510" s="72" t="s">
        <v>26</v>
      </c>
      <c r="F510" s="20"/>
      <c r="G510" s="19"/>
      <c r="H510" s="2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7" customFormat="1" x14ac:dyDescent="0.2">
      <c r="A511" s="4"/>
      <c r="B511" s="48">
        <v>10</v>
      </c>
      <c r="C511" s="13" t="s">
        <v>373</v>
      </c>
      <c r="D511" s="44"/>
      <c r="E511" s="71"/>
      <c r="F511" s="30"/>
      <c r="G511" s="29"/>
      <c r="H511" s="15"/>
    </row>
    <row r="512" spans="1:40" x14ac:dyDescent="0.2">
      <c r="B512" s="50"/>
      <c r="C512" s="52" t="s">
        <v>182</v>
      </c>
      <c r="D512" s="43"/>
      <c r="E512" s="72" t="s">
        <v>22</v>
      </c>
      <c r="F512" s="28"/>
      <c r="G512" s="26"/>
      <c r="H512" s="21" t="b">
        <f>IF(D514="x",H$2,H$1)</f>
        <v>0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">
      <c r="B513" s="47"/>
      <c r="C513" s="53" t="s">
        <v>374</v>
      </c>
      <c r="D513" s="43"/>
      <c r="E513" s="72" t="s">
        <v>23</v>
      </c>
      <c r="F513" s="22" t="str">
        <f>IF(H514=1,IF(H512=H$2,H512,""),"")</f>
        <v/>
      </c>
      <c r="G513" s="26"/>
      <c r="H513" s="21" t="str">
        <f>IF(E$517="comprobar",COUNTIF(D512:D516,"x"),"")</f>
        <v/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">
      <c r="B514" s="47"/>
      <c r="C514" s="53" t="s">
        <v>375</v>
      </c>
      <c r="D514" s="43"/>
      <c r="E514" s="72" t="s">
        <v>24</v>
      </c>
      <c r="F514" s="23" t="str">
        <f>IF(H514=-0.33,IF(H512=H$1,H512,""),"")</f>
        <v/>
      </c>
      <c r="G514" s="26"/>
      <c r="H514" s="24">
        <f>IF(H513=1,IF(H512=H$2,1,-0.33),0)</f>
        <v>0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">
      <c r="B515" s="47"/>
      <c r="C515" s="53" t="s">
        <v>376</v>
      </c>
      <c r="D515" s="43"/>
      <c r="E515" s="72" t="s">
        <v>25</v>
      </c>
      <c r="F515" s="28"/>
      <c r="G515" s="26"/>
      <c r="H515" s="2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">
      <c r="B516" s="47"/>
      <c r="C516" s="8"/>
      <c r="D516" s="43"/>
      <c r="E516" s="72" t="s">
        <v>26</v>
      </c>
      <c r="F516" s="20"/>
      <c r="G516" s="26"/>
      <c r="H516" s="2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x14ac:dyDescent="0.2">
      <c r="B517" s="50"/>
      <c r="C517" s="45"/>
      <c r="D517" s="65"/>
      <c r="E517" s="73"/>
      <c r="F517" s="20"/>
      <c r="H517" s="19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</row>
    <row r="518" spans="1:40" x14ac:dyDescent="0.2">
      <c r="B518" s="50"/>
      <c r="C518" s="18"/>
      <c r="D518" s="65"/>
      <c r="E518" s="78"/>
      <c r="F518" s="31" t="s">
        <v>8</v>
      </c>
      <c r="G518" s="19" t="s">
        <v>6</v>
      </c>
      <c r="H518" s="19" t="s">
        <v>7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ht="20" x14ac:dyDescent="0.2">
      <c r="B519" s="50"/>
      <c r="C519" s="18"/>
      <c r="D519" s="63"/>
      <c r="E519" s="70"/>
      <c r="F519" s="32" t="str">
        <f>IF(E517="comprobar",H514+H508+H502+H496+H490+H484+H478+H472+H466+H460,"")</f>
        <v/>
      </c>
      <c r="G519" s="19">
        <f>10/2</f>
        <v>5</v>
      </c>
      <c r="H519" s="19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ht="17" thickBot="1" x14ac:dyDescent="0.25">
      <c r="B520" s="51"/>
      <c r="C520" s="33"/>
      <c r="D520" s="34"/>
      <c r="E520" s="74"/>
      <c r="F520" s="35" t="str">
        <f>IF(F519&gt;G519,G518,H518)</f>
        <v>APROBADO</v>
      </c>
      <c r="G520" s="19"/>
      <c r="H520" s="19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ht="29" x14ac:dyDescent="0.35">
      <c r="B521" s="87" t="s">
        <v>78</v>
      </c>
      <c r="C521" s="112" t="s">
        <v>17</v>
      </c>
      <c r="D521" s="112"/>
      <c r="E521" s="112"/>
      <c r="F521" s="113"/>
      <c r="G521" s="19"/>
      <c r="H521" s="19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">
      <c r="B522" s="48">
        <v>1</v>
      </c>
      <c r="C522" s="13" t="s">
        <v>377</v>
      </c>
      <c r="D522" s="14"/>
      <c r="E522" s="71"/>
      <c r="F522" s="16"/>
      <c r="G522" s="15"/>
      <c r="H522" s="15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">
      <c r="B523" s="50"/>
      <c r="C523" s="52" t="s">
        <v>378</v>
      </c>
      <c r="D523" s="43"/>
      <c r="E523" s="72" t="s">
        <v>22</v>
      </c>
      <c r="F523" s="20"/>
      <c r="G523" s="19"/>
      <c r="H523" s="21" t="b">
        <f>IF(D524="x",H$2,H$1)</f>
        <v>0</v>
      </c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">
      <c r="B524" s="47"/>
      <c r="C524" s="53" t="s">
        <v>379</v>
      </c>
      <c r="D524" s="43"/>
      <c r="E524" s="72" t="s">
        <v>23</v>
      </c>
      <c r="F524" s="22" t="str">
        <f>IF(H525=1,IF(H523=H$2,H523,""),"")</f>
        <v/>
      </c>
      <c r="G524" s="19"/>
      <c r="H524" s="21" t="str">
        <f>IF(E$582="comprobar",COUNTIF(D523:D527,"x"),"")</f>
        <v/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x14ac:dyDescent="0.2">
      <c r="B525" s="47"/>
      <c r="C525" s="53" t="s">
        <v>380</v>
      </c>
      <c r="D525" s="43"/>
      <c r="E525" s="72" t="s">
        <v>24</v>
      </c>
      <c r="F525" s="23" t="str">
        <f>IF(H525=-0.33,IF(H523=H$1,H523,""),"")</f>
        <v/>
      </c>
      <c r="G525" s="19"/>
      <c r="H525" s="24">
        <f>IF(H524=1,IF(H523=H$2,1,-0.33),0)</f>
        <v>0</v>
      </c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x14ac:dyDescent="0.2">
      <c r="B526" s="47"/>
      <c r="C526" s="53" t="s">
        <v>381</v>
      </c>
      <c r="D526" s="43"/>
      <c r="E526" s="72" t="s">
        <v>25</v>
      </c>
      <c r="F526" s="20"/>
      <c r="G526" s="19"/>
      <c r="H526" s="2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x14ac:dyDescent="0.2">
      <c r="B527" s="47"/>
      <c r="C527" s="8"/>
      <c r="D527" s="43"/>
      <c r="E527" s="72" t="s">
        <v>26</v>
      </c>
      <c r="F527" s="20"/>
      <c r="G527" s="19"/>
      <c r="H527" s="2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</row>
    <row r="528" spans="1:40" s="17" customFormat="1" x14ac:dyDescent="0.2">
      <c r="A528" s="4"/>
      <c r="B528" s="48">
        <v>2</v>
      </c>
      <c r="C528" s="13" t="s">
        <v>382</v>
      </c>
      <c r="D528" s="44"/>
      <c r="E528" s="71"/>
      <c r="F528" s="16"/>
      <c r="G528" s="15"/>
      <c r="H528" s="15"/>
    </row>
    <row r="529" spans="1:40" s="4" customFormat="1" x14ac:dyDescent="0.2">
      <c r="B529" s="50"/>
      <c r="C529" s="52" t="s">
        <v>383</v>
      </c>
      <c r="D529" s="43"/>
      <c r="E529" s="72" t="s">
        <v>22</v>
      </c>
      <c r="F529" s="20"/>
      <c r="G529" s="19"/>
      <c r="H529" s="21" t="b">
        <f>IF(D531="x",H$2,H$1)</f>
        <v>0</v>
      </c>
    </row>
    <row r="530" spans="1:40" x14ac:dyDescent="0.2">
      <c r="B530" s="47"/>
      <c r="C530" s="53" t="s">
        <v>384</v>
      </c>
      <c r="D530" s="43"/>
      <c r="E530" s="72" t="s">
        <v>23</v>
      </c>
      <c r="F530" s="22" t="str">
        <f>IF(H531=1,IF(H529=H$2,H529,""),"")</f>
        <v/>
      </c>
      <c r="G530" s="19"/>
      <c r="H530" s="21" t="str">
        <f>IF(E$582="comprobar",COUNTIF(D529:D533,"x"),"")</f>
        <v/>
      </c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</row>
    <row r="531" spans="1:40" x14ac:dyDescent="0.2">
      <c r="B531" s="47"/>
      <c r="C531" s="53" t="s">
        <v>385</v>
      </c>
      <c r="D531" s="43"/>
      <c r="E531" s="72" t="s">
        <v>24</v>
      </c>
      <c r="F531" s="23" t="str">
        <f>IF(H531=-0.33,IF(H529=H$1,H529,""),"")</f>
        <v/>
      </c>
      <c r="G531" s="19"/>
      <c r="H531" s="24">
        <f>IF(H530=1,IF(H529=H$2,1,-0.33),0)</f>
        <v>0</v>
      </c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</row>
    <row r="532" spans="1:40" x14ac:dyDescent="0.2">
      <c r="B532" s="47"/>
      <c r="C532" s="53" t="s">
        <v>386</v>
      </c>
      <c r="D532" s="43"/>
      <c r="E532" s="72" t="s">
        <v>25</v>
      </c>
      <c r="F532" s="20"/>
      <c r="G532" s="19"/>
      <c r="H532" s="2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</row>
    <row r="533" spans="1:40" x14ac:dyDescent="0.2">
      <c r="B533" s="47"/>
      <c r="C533" s="8"/>
      <c r="D533" s="43"/>
      <c r="E533" s="72" t="s">
        <v>26</v>
      </c>
      <c r="F533" s="20"/>
      <c r="G533" s="19"/>
      <c r="H533" s="2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</row>
    <row r="534" spans="1:40" s="17" customFormat="1" x14ac:dyDescent="0.2">
      <c r="A534" s="4"/>
      <c r="B534" s="48">
        <v>3</v>
      </c>
      <c r="C534" s="36" t="s">
        <v>387</v>
      </c>
      <c r="D534" s="44"/>
      <c r="E534" s="71"/>
      <c r="F534" s="16"/>
      <c r="G534" s="15"/>
      <c r="H534" s="15"/>
    </row>
    <row r="535" spans="1:40" x14ac:dyDescent="0.2">
      <c r="B535" s="50"/>
      <c r="C535" s="52" t="s">
        <v>388</v>
      </c>
      <c r="D535" s="43"/>
      <c r="E535" s="72" t="s">
        <v>22</v>
      </c>
      <c r="F535" s="20"/>
      <c r="G535" s="19"/>
      <c r="H535" s="21" t="b">
        <f>IF(D536="x",H$2,H$1)</f>
        <v>0</v>
      </c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</row>
    <row r="536" spans="1:40" x14ac:dyDescent="0.2">
      <c r="B536" s="47"/>
      <c r="C536" s="53" t="s">
        <v>389</v>
      </c>
      <c r="D536" s="43"/>
      <c r="E536" s="72" t="s">
        <v>23</v>
      </c>
      <c r="F536" s="22" t="str">
        <f>IF(H537=1,IF(H535=H$2,H535,""),"")</f>
        <v/>
      </c>
      <c r="G536" s="19"/>
      <c r="H536" s="21" t="str">
        <f>IF(E$582="comprobar",COUNTIF(D535:D539,"x"),"")</f>
        <v/>
      </c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</row>
    <row r="537" spans="1:40" x14ac:dyDescent="0.2">
      <c r="B537" s="47"/>
      <c r="C537" s="53" t="s">
        <v>390</v>
      </c>
      <c r="D537" s="43"/>
      <c r="E537" s="72" t="s">
        <v>24</v>
      </c>
      <c r="F537" s="23" t="str">
        <f>IF(H537=-0.33,IF(H535=H$1,H535,""),"")</f>
        <v/>
      </c>
      <c r="G537" s="19"/>
      <c r="H537" s="24">
        <f>IF(H536=1,IF(H535=H$2,1,-0.33),0)</f>
        <v>0</v>
      </c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</row>
    <row r="538" spans="1:40" x14ac:dyDescent="0.2">
      <c r="B538" s="47"/>
      <c r="C538" s="53" t="s">
        <v>391</v>
      </c>
      <c r="D538" s="43"/>
      <c r="E538" s="72" t="s">
        <v>25</v>
      </c>
      <c r="F538" s="20"/>
      <c r="G538" s="19"/>
      <c r="H538" s="2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</row>
    <row r="539" spans="1:40" x14ac:dyDescent="0.2">
      <c r="B539" s="47"/>
      <c r="C539" s="8"/>
      <c r="D539" s="43"/>
      <c r="E539" s="72" t="s">
        <v>26</v>
      </c>
      <c r="F539" s="20"/>
      <c r="G539" s="19"/>
      <c r="H539" s="2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</row>
    <row r="540" spans="1:40" s="17" customFormat="1" x14ac:dyDescent="0.2">
      <c r="A540" s="4"/>
      <c r="B540" s="48">
        <v>4</v>
      </c>
      <c r="C540" s="13" t="s">
        <v>392</v>
      </c>
      <c r="D540" s="44"/>
      <c r="E540" s="71"/>
      <c r="F540" s="16"/>
      <c r="G540" s="15"/>
      <c r="H540" s="15"/>
    </row>
    <row r="541" spans="1:40" x14ac:dyDescent="0.2">
      <c r="B541" s="50"/>
      <c r="C541" s="52" t="s">
        <v>393</v>
      </c>
      <c r="D541" s="43"/>
      <c r="E541" s="72" t="s">
        <v>22</v>
      </c>
      <c r="F541" s="20"/>
      <c r="G541" s="19"/>
      <c r="H541" s="21" t="b">
        <f>IF(D542="x",H$2,H$1)</f>
        <v>0</v>
      </c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</row>
    <row r="542" spans="1:40" x14ac:dyDescent="0.2">
      <c r="B542" s="47"/>
      <c r="C542" s="53" t="s">
        <v>394</v>
      </c>
      <c r="D542" s="43"/>
      <c r="E542" s="72" t="s">
        <v>23</v>
      </c>
      <c r="F542" s="22" t="str">
        <f>IF(H543=1,IF(H541=H$2,H541,""),"")</f>
        <v/>
      </c>
      <c r="G542" s="19"/>
      <c r="H542" s="21" t="str">
        <f>IF(E$582="comprobar",COUNTIF(D541:D545,"x"),"")</f>
        <v/>
      </c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</row>
    <row r="543" spans="1:40" x14ac:dyDescent="0.2">
      <c r="B543" s="47"/>
      <c r="C543" s="53" t="s">
        <v>395</v>
      </c>
      <c r="D543" s="43"/>
      <c r="E543" s="72" t="s">
        <v>24</v>
      </c>
      <c r="F543" s="23" t="str">
        <f>IF(H543=-0.33,IF(H541=H$1,H541,""),"")</f>
        <v/>
      </c>
      <c r="G543" s="19"/>
      <c r="H543" s="24">
        <f>IF(H542=1,IF(H541=H$2,1,-0.33),0)</f>
        <v>0</v>
      </c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</row>
    <row r="544" spans="1:40" x14ac:dyDescent="0.2">
      <c r="B544" s="47"/>
      <c r="C544" s="53" t="s">
        <v>396</v>
      </c>
      <c r="D544" s="43"/>
      <c r="E544" s="72" t="s">
        <v>25</v>
      </c>
      <c r="F544" s="20"/>
      <c r="G544" s="19"/>
      <c r="H544" s="2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</row>
    <row r="545" spans="1:40" x14ac:dyDescent="0.2">
      <c r="B545" s="47"/>
      <c r="C545" s="8"/>
      <c r="D545" s="43"/>
      <c r="E545" s="72" t="s">
        <v>26</v>
      </c>
      <c r="F545" s="20"/>
      <c r="G545" s="19"/>
      <c r="H545" s="2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</row>
    <row r="546" spans="1:40" s="17" customFormat="1" x14ac:dyDescent="0.2">
      <c r="A546" s="4"/>
      <c r="B546" s="48">
        <v>5</v>
      </c>
      <c r="C546" s="13" t="s">
        <v>397</v>
      </c>
      <c r="D546" s="44"/>
      <c r="E546" s="71"/>
      <c r="F546" s="16"/>
      <c r="G546" s="15"/>
      <c r="H546" s="15"/>
    </row>
    <row r="547" spans="1:40" x14ac:dyDescent="0.2">
      <c r="B547" s="50"/>
      <c r="C547" s="52" t="s">
        <v>398</v>
      </c>
      <c r="D547" s="43"/>
      <c r="E547" s="72" t="s">
        <v>22</v>
      </c>
      <c r="F547" s="20"/>
      <c r="G547" s="19"/>
      <c r="H547" s="21" t="b">
        <f>IF(D549="x",H$2,H$1)</f>
        <v>0</v>
      </c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</row>
    <row r="548" spans="1:40" x14ac:dyDescent="0.2">
      <c r="B548" s="47"/>
      <c r="C548" s="53" t="s">
        <v>399</v>
      </c>
      <c r="D548" s="43"/>
      <c r="E548" s="72" t="s">
        <v>23</v>
      </c>
      <c r="F548" s="22" t="str">
        <f>IF(H549=1,IF(H547=H$2,H547,""),"")</f>
        <v/>
      </c>
      <c r="G548" s="19"/>
      <c r="H548" s="21" t="str">
        <f>IF(E$582="comprobar",COUNTIF(D547:D551,"x"),"")</f>
        <v/>
      </c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</row>
    <row r="549" spans="1:40" x14ac:dyDescent="0.2">
      <c r="B549" s="47"/>
      <c r="C549" s="53" t="s">
        <v>400</v>
      </c>
      <c r="D549" s="43"/>
      <c r="E549" s="72" t="s">
        <v>24</v>
      </c>
      <c r="F549" s="23" t="str">
        <f>IF(H549=-0.33,IF(H547=H$1,H547,""),"")</f>
        <v/>
      </c>
      <c r="G549" s="19"/>
      <c r="H549" s="24">
        <f>IF(H548=1,IF(H547=H$2,1,-0.33),0)</f>
        <v>0</v>
      </c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</row>
    <row r="550" spans="1:40" s="4" customFormat="1" x14ac:dyDescent="0.2">
      <c r="B550" s="47"/>
      <c r="C550" s="53" t="s">
        <v>401</v>
      </c>
      <c r="D550" s="43"/>
      <c r="E550" s="72" t="s">
        <v>25</v>
      </c>
      <c r="F550" s="20"/>
      <c r="G550" s="19"/>
      <c r="H550" s="24"/>
    </row>
    <row r="551" spans="1:40" x14ac:dyDescent="0.2">
      <c r="B551" s="47"/>
      <c r="C551" s="8"/>
      <c r="D551" s="43"/>
      <c r="E551" s="72" t="s">
        <v>26</v>
      </c>
      <c r="F551" s="20"/>
      <c r="G551" s="19"/>
      <c r="H551" s="2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</row>
    <row r="552" spans="1:40" s="17" customFormat="1" x14ac:dyDescent="0.2">
      <c r="A552" s="4"/>
      <c r="B552" s="48">
        <v>6</v>
      </c>
      <c r="C552" s="13" t="s">
        <v>402</v>
      </c>
      <c r="D552" s="44"/>
      <c r="E552" s="71"/>
      <c r="F552" s="16"/>
      <c r="G552" s="15"/>
      <c r="H552" s="15"/>
    </row>
    <row r="553" spans="1:40" x14ac:dyDescent="0.2">
      <c r="B553" s="50"/>
      <c r="C553" s="52" t="s">
        <v>403</v>
      </c>
      <c r="D553" s="43"/>
      <c r="E553" s="72" t="s">
        <v>22</v>
      </c>
      <c r="F553" s="20"/>
      <c r="G553" s="19"/>
      <c r="H553" s="21" t="b">
        <f>IF(D553="x",H$2,H$1)</f>
        <v>0</v>
      </c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</row>
    <row r="554" spans="1:40" x14ac:dyDescent="0.2">
      <c r="B554" s="47"/>
      <c r="C554" s="53" t="s">
        <v>404</v>
      </c>
      <c r="D554" s="43"/>
      <c r="E554" s="72" t="s">
        <v>23</v>
      </c>
      <c r="F554" s="22" t="str">
        <f>IF(H555=1,IF(H553=H$2,H553,""),"")</f>
        <v/>
      </c>
      <c r="G554" s="19"/>
      <c r="H554" s="21" t="str">
        <f>IF(E$582="comprobar",COUNTIF(D553:D557,"x"),"")</f>
        <v/>
      </c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</row>
    <row r="555" spans="1:40" x14ac:dyDescent="0.2">
      <c r="B555" s="47"/>
      <c r="C555" s="53" t="s">
        <v>405</v>
      </c>
      <c r="D555" s="43"/>
      <c r="E555" s="72" t="s">
        <v>24</v>
      </c>
      <c r="F555" s="23" t="str">
        <f>IF(H555=-0.33,IF(H553=H$1,H553,""),"")</f>
        <v/>
      </c>
      <c r="G555" s="19"/>
      <c r="H555" s="24">
        <f>IF(H554=1,IF(H553=H$2,1,-0.33),0)</f>
        <v>0</v>
      </c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</row>
    <row r="556" spans="1:40" x14ac:dyDescent="0.2">
      <c r="B556" s="47"/>
      <c r="C556" s="53" t="s">
        <v>406</v>
      </c>
      <c r="D556" s="43"/>
      <c r="E556" s="72" t="s">
        <v>25</v>
      </c>
      <c r="F556" s="20"/>
      <c r="G556" s="19"/>
      <c r="H556" s="2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</row>
    <row r="557" spans="1:40" x14ac:dyDescent="0.2">
      <c r="B557" s="47"/>
      <c r="C557" s="8"/>
      <c r="D557" s="43"/>
      <c r="E557" s="72" t="s">
        <v>26</v>
      </c>
      <c r="F557" s="20"/>
      <c r="G557" s="19"/>
      <c r="H557" s="2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</row>
    <row r="558" spans="1:40" s="54" customFormat="1" ht="16" customHeight="1" x14ac:dyDescent="0.2">
      <c r="A558" s="100"/>
      <c r="B558" s="48">
        <v>7</v>
      </c>
      <c r="C558" s="13" t="s">
        <v>407</v>
      </c>
      <c r="D558" s="81"/>
      <c r="E558" s="71"/>
      <c r="F558" s="68"/>
      <c r="G558" s="55"/>
      <c r="H558" s="55"/>
    </row>
    <row r="559" spans="1:40" x14ac:dyDescent="0.2">
      <c r="B559" s="50"/>
      <c r="C559" s="52" t="s">
        <v>408</v>
      </c>
      <c r="D559" s="43"/>
      <c r="E559" s="72" t="s">
        <v>22</v>
      </c>
      <c r="F559" s="20"/>
      <c r="G559" s="19"/>
      <c r="H559" s="21" t="b">
        <f>IF(D560="x",H$2,H$1)</f>
        <v>0</v>
      </c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</row>
    <row r="560" spans="1:40" x14ac:dyDescent="0.2">
      <c r="B560" s="47"/>
      <c r="C560" s="53" t="s">
        <v>409</v>
      </c>
      <c r="D560" s="43"/>
      <c r="E560" s="72" t="s">
        <v>23</v>
      </c>
      <c r="F560" s="22" t="str">
        <f>IF(H561=1,IF(H559=H$2,H559,""),"")</f>
        <v/>
      </c>
      <c r="G560" s="19"/>
      <c r="H560" s="21" t="str">
        <f>IF(E$582="comprobar",COUNTIF(D559:D563,"x"),"")</f>
        <v/>
      </c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</row>
    <row r="561" spans="1:40" x14ac:dyDescent="0.2">
      <c r="B561" s="47"/>
      <c r="C561" s="53" t="s">
        <v>410</v>
      </c>
      <c r="D561" s="43"/>
      <c r="E561" s="72" t="s">
        <v>24</v>
      </c>
      <c r="F561" s="23" t="str">
        <f>IF(H561=-0.33,IF(H559=H$1,H559,""),"")</f>
        <v/>
      </c>
      <c r="G561" s="19"/>
      <c r="H561" s="24">
        <f>IF(H560=1,IF(H559=H$2,1,-0.33),0)</f>
        <v>0</v>
      </c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</row>
    <row r="562" spans="1:40" x14ac:dyDescent="0.2">
      <c r="B562" s="47"/>
      <c r="C562" s="53" t="s">
        <v>411</v>
      </c>
      <c r="D562" s="43"/>
      <c r="E562" s="72" t="s">
        <v>25</v>
      </c>
      <c r="F562" s="20"/>
      <c r="G562" s="19"/>
      <c r="H562" s="2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</row>
    <row r="563" spans="1:40" x14ac:dyDescent="0.2">
      <c r="B563" s="47"/>
      <c r="C563" s="8"/>
      <c r="D563" s="43"/>
      <c r="E563" s="72" t="s">
        <v>26</v>
      </c>
      <c r="F563" s="20"/>
      <c r="G563" s="19"/>
      <c r="H563" s="2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</row>
    <row r="564" spans="1:40" s="17" customFormat="1" x14ac:dyDescent="0.2">
      <c r="A564" s="4"/>
      <c r="B564" s="48">
        <v>8</v>
      </c>
      <c r="C564" s="13" t="s">
        <v>412</v>
      </c>
      <c r="D564" s="44"/>
      <c r="E564" s="71"/>
      <c r="F564" s="16"/>
      <c r="G564" s="15"/>
      <c r="H564" s="15"/>
    </row>
    <row r="565" spans="1:40" x14ac:dyDescent="0.2">
      <c r="B565" s="50"/>
      <c r="C565" s="52" t="s">
        <v>413</v>
      </c>
      <c r="D565" s="43"/>
      <c r="E565" s="72" t="s">
        <v>22</v>
      </c>
      <c r="F565" s="20"/>
      <c r="G565" s="19"/>
      <c r="H565" s="21" t="b">
        <f>IF(D567="x",H$2,H$1)</f>
        <v>0</v>
      </c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</row>
    <row r="566" spans="1:40" x14ac:dyDescent="0.2">
      <c r="B566" s="47"/>
      <c r="C566" s="53" t="s">
        <v>414</v>
      </c>
      <c r="D566" s="43"/>
      <c r="E566" s="72" t="s">
        <v>23</v>
      </c>
      <c r="F566" s="22" t="str">
        <f>IF(H567=1,IF(H565=H$2,H565,""),"")</f>
        <v/>
      </c>
      <c r="G566" s="19"/>
      <c r="H566" s="21" t="str">
        <f>IF(E$582="comprobar",COUNTIF(D565:D569,"x"),"")</f>
        <v/>
      </c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</row>
    <row r="567" spans="1:40" x14ac:dyDescent="0.2">
      <c r="B567" s="47"/>
      <c r="C567" s="53" t="s">
        <v>415</v>
      </c>
      <c r="D567" s="43"/>
      <c r="E567" s="72" t="s">
        <v>24</v>
      </c>
      <c r="F567" s="23" t="str">
        <f>IF(H567=-0.33,IF(H565=H$1,H565,""),"")</f>
        <v/>
      </c>
      <c r="G567" s="19"/>
      <c r="H567" s="24">
        <f>IF(H566=1,IF(H565=H$2,1,-0.33),0)</f>
        <v>0</v>
      </c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</row>
    <row r="568" spans="1:40" x14ac:dyDescent="0.2">
      <c r="B568" s="47"/>
      <c r="C568" s="53" t="s">
        <v>416</v>
      </c>
      <c r="D568" s="43"/>
      <c r="E568" s="72" t="s">
        <v>25</v>
      </c>
      <c r="F568" s="20"/>
      <c r="G568" s="19"/>
      <c r="H568" s="2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</row>
    <row r="569" spans="1:40" x14ac:dyDescent="0.2">
      <c r="B569" s="47"/>
      <c r="C569" s="8"/>
      <c r="D569" s="43"/>
      <c r="E569" s="72" t="s">
        <v>26</v>
      </c>
      <c r="F569" s="20"/>
      <c r="G569" s="19"/>
      <c r="H569" s="2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</row>
    <row r="570" spans="1:40" s="17" customFormat="1" x14ac:dyDescent="0.2">
      <c r="A570" s="4"/>
      <c r="B570" s="48">
        <v>9</v>
      </c>
      <c r="C570" s="13" t="s">
        <v>417</v>
      </c>
      <c r="D570" s="44"/>
      <c r="E570" s="71"/>
      <c r="F570" s="16"/>
      <c r="G570" s="15"/>
      <c r="H570" s="15"/>
    </row>
    <row r="571" spans="1:40" s="4" customFormat="1" x14ac:dyDescent="0.2">
      <c r="B571" s="50"/>
      <c r="C571" s="52" t="s">
        <v>418</v>
      </c>
      <c r="D571" s="43"/>
      <c r="E571" s="72" t="s">
        <v>22</v>
      </c>
      <c r="F571" s="20"/>
      <c r="G571" s="19"/>
      <c r="H571" s="21" t="b">
        <f>IF(D574="x",H$2,H$1)</f>
        <v>0</v>
      </c>
    </row>
    <row r="572" spans="1:40" x14ac:dyDescent="0.2">
      <c r="B572" s="47"/>
      <c r="C572" s="53" t="s">
        <v>419</v>
      </c>
      <c r="D572" s="43"/>
      <c r="E572" s="72" t="s">
        <v>23</v>
      </c>
      <c r="F572" s="22" t="str">
        <f>IF(H573=1,IF(H571=H$2,H571,""),"")</f>
        <v/>
      </c>
      <c r="G572" s="19"/>
      <c r="H572" s="21" t="str">
        <f>IF(E$582="comprobar",COUNTIF(D571:D575,"x"),"")</f>
        <v/>
      </c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</row>
    <row r="573" spans="1:40" x14ac:dyDescent="0.2">
      <c r="B573" s="47"/>
      <c r="C573" s="53" t="s">
        <v>420</v>
      </c>
      <c r="D573" s="43"/>
      <c r="E573" s="72" t="s">
        <v>24</v>
      </c>
      <c r="F573" s="23" t="str">
        <f>IF(H573=-0.33,IF(H571=H$1,H571,""),"")</f>
        <v/>
      </c>
      <c r="G573" s="19"/>
      <c r="H573" s="24">
        <f>IF(H572=1,IF(H571=H$2,1,-0.33),0)</f>
        <v>0</v>
      </c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</row>
    <row r="574" spans="1:40" x14ac:dyDescent="0.2">
      <c r="B574" s="47"/>
      <c r="C574" s="53" t="s">
        <v>421</v>
      </c>
      <c r="D574" s="43"/>
      <c r="E574" s="72" t="s">
        <v>25</v>
      </c>
      <c r="F574" s="20"/>
      <c r="G574" s="19"/>
      <c r="H574" s="2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</row>
    <row r="575" spans="1:40" x14ac:dyDescent="0.2">
      <c r="B575" s="47"/>
      <c r="C575" s="8"/>
      <c r="D575" s="43"/>
      <c r="E575" s="72" t="s">
        <v>26</v>
      </c>
      <c r="F575" s="12"/>
      <c r="G575" s="19"/>
      <c r="H575" s="2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</row>
    <row r="576" spans="1:40" s="17" customFormat="1" x14ac:dyDescent="0.2">
      <c r="A576" s="4"/>
      <c r="B576" s="48">
        <v>10</v>
      </c>
      <c r="C576" s="13" t="s">
        <v>422</v>
      </c>
      <c r="D576" s="44"/>
      <c r="E576" s="71"/>
      <c r="F576" s="30"/>
      <c r="G576" s="29"/>
      <c r="H576" s="15"/>
    </row>
    <row r="577" spans="1:40" x14ac:dyDescent="0.2">
      <c r="B577" s="50"/>
      <c r="C577" s="52" t="s">
        <v>423</v>
      </c>
      <c r="D577" s="43"/>
      <c r="E577" s="72" t="s">
        <v>22</v>
      </c>
      <c r="F577" s="27"/>
      <c r="G577" s="26"/>
      <c r="H577" s="21" t="b">
        <f>IF(D577="x",H$2,H$1)</f>
        <v>0</v>
      </c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</row>
    <row r="578" spans="1:40" x14ac:dyDescent="0.2">
      <c r="B578" s="47"/>
      <c r="C578" s="53" t="s">
        <v>424</v>
      </c>
      <c r="D578" s="43"/>
      <c r="E578" s="72" t="s">
        <v>23</v>
      </c>
      <c r="F578" s="22" t="str">
        <f>IF(H579=1,IF(H577=H$2,H577,""),"")</f>
        <v/>
      </c>
      <c r="G578" s="26"/>
      <c r="H578" s="21" t="str">
        <f>IF(E$582="comprobar",COUNTIF(D577:D581,"x"),"")</f>
        <v/>
      </c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</row>
    <row r="579" spans="1:40" x14ac:dyDescent="0.2">
      <c r="B579" s="47"/>
      <c r="C579" s="53" t="s">
        <v>425</v>
      </c>
      <c r="D579" s="43"/>
      <c r="E579" s="72" t="s">
        <v>24</v>
      </c>
      <c r="F579" s="23" t="str">
        <f>IF(H579=-0.33,IF(H577=H$1,H577,""),"")</f>
        <v/>
      </c>
      <c r="G579" s="26"/>
      <c r="H579" s="24">
        <f>IF(H578=1,IF(H577=H$2,1,-0.33),0)</f>
        <v>0</v>
      </c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</row>
    <row r="580" spans="1:40" x14ac:dyDescent="0.2">
      <c r="B580" s="47"/>
      <c r="C580" s="53" t="s">
        <v>14</v>
      </c>
      <c r="D580" s="43"/>
      <c r="E580" s="72" t="s">
        <v>25</v>
      </c>
      <c r="F580" s="28"/>
      <c r="G580" s="26"/>
      <c r="H580" s="2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</row>
    <row r="581" spans="1:40" x14ac:dyDescent="0.2">
      <c r="B581" s="47"/>
      <c r="C581" s="8"/>
      <c r="D581" s="43"/>
      <c r="E581" s="72" t="s">
        <v>26</v>
      </c>
      <c r="F581" s="28"/>
      <c r="G581" s="26"/>
      <c r="H581" s="2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</row>
    <row r="582" spans="1:40" x14ac:dyDescent="0.2">
      <c r="B582" s="50"/>
      <c r="C582" s="46"/>
      <c r="D582" s="65"/>
      <c r="E582" s="73"/>
      <c r="F582" s="20"/>
      <c r="G582" s="19"/>
      <c r="H582" s="19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</row>
    <row r="583" spans="1:40" x14ac:dyDescent="0.2">
      <c r="B583" s="50"/>
      <c r="C583" s="18"/>
      <c r="D583" s="65"/>
      <c r="E583" s="78"/>
      <c r="F583" s="31" t="s">
        <v>8</v>
      </c>
      <c r="G583" s="19" t="s">
        <v>6</v>
      </c>
      <c r="H583" s="19" t="s">
        <v>7</v>
      </c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</row>
    <row r="584" spans="1:40" ht="20" x14ac:dyDescent="0.2">
      <c r="B584" s="50"/>
      <c r="C584" s="18"/>
      <c r="D584" s="63"/>
      <c r="E584" s="70"/>
      <c r="F584" s="32" t="str">
        <f>IF(E582="comprobar",H579+H573+H567+H561+H555+H549+H543+H537+H531+H525,"")</f>
        <v/>
      </c>
      <c r="G584" s="19">
        <f>10/2</f>
        <v>5</v>
      </c>
      <c r="H584" s="19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</row>
    <row r="585" spans="1:40" ht="17" thickBot="1" x14ac:dyDescent="0.25">
      <c r="B585" s="51"/>
      <c r="C585" s="33"/>
      <c r="D585" s="34"/>
      <c r="E585" s="74"/>
      <c r="F585" s="35" t="str">
        <f>IF(F584&gt;G584,G583,H583)</f>
        <v>APROBADO</v>
      </c>
      <c r="G585" s="19"/>
      <c r="H585" s="19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</row>
    <row r="586" spans="1:40" ht="29" x14ac:dyDescent="0.35">
      <c r="B586" s="87" t="s">
        <v>78</v>
      </c>
      <c r="C586" s="112" t="s">
        <v>19</v>
      </c>
      <c r="D586" s="112"/>
      <c r="E586" s="112"/>
      <c r="F586" s="113"/>
      <c r="G586" s="19"/>
      <c r="H586" s="19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</row>
    <row r="587" spans="1:40" s="17" customFormat="1" x14ac:dyDescent="0.2">
      <c r="A587" s="4"/>
      <c r="B587" s="48">
        <v>1</v>
      </c>
      <c r="C587" s="13" t="s">
        <v>426</v>
      </c>
      <c r="D587" s="14"/>
      <c r="E587" s="71"/>
      <c r="F587" s="16"/>
      <c r="G587" s="15"/>
      <c r="H587" s="15"/>
    </row>
    <row r="588" spans="1:40" x14ac:dyDescent="0.2">
      <c r="B588" s="50"/>
      <c r="C588" s="52" t="s">
        <v>427</v>
      </c>
      <c r="D588" s="43"/>
      <c r="E588" s="76" t="s">
        <v>22</v>
      </c>
      <c r="F588" s="20"/>
      <c r="G588" s="19"/>
      <c r="H588" s="21" t="b">
        <f>IF(D591="x",H$2,H$1)</f>
        <v>0</v>
      </c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</row>
    <row r="589" spans="1:40" x14ac:dyDescent="0.2">
      <c r="B589" s="47"/>
      <c r="C589" s="53" t="s">
        <v>428</v>
      </c>
      <c r="D589" s="43"/>
      <c r="E589" s="76" t="s">
        <v>23</v>
      </c>
      <c r="F589" s="22" t="str">
        <f>IF(H590=1,IF(H588=H$2,H588,""),"")</f>
        <v/>
      </c>
      <c r="G589" s="19"/>
      <c r="H589" s="21" t="str">
        <f>IF(E$647="comprobar",COUNTIF(D588:D592,"x"),"")</f>
        <v/>
      </c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</row>
    <row r="590" spans="1:40" x14ac:dyDescent="0.2">
      <c r="B590" s="47"/>
      <c r="C590" s="53" t="s">
        <v>429</v>
      </c>
      <c r="D590" s="43"/>
      <c r="E590" s="76" t="s">
        <v>24</v>
      </c>
      <c r="F590" s="23" t="str">
        <f>IF(H590=-0.33,IF(H588=H$1,H588,""),"")</f>
        <v/>
      </c>
      <c r="G590" s="19"/>
      <c r="H590" s="24">
        <f>IF(H589=1,IF(H588=H$2,1,-0.33),0)</f>
        <v>0</v>
      </c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</row>
    <row r="591" spans="1:40" x14ac:dyDescent="0.2">
      <c r="B591" s="47"/>
      <c r="C591" s="53" t="s">
        <v>430</v>
      </c>
      <c r="D591" s="43"/>
      <c r="E591" s="76" t="s">
        <v>25</v>
      </c>
      <c r="F591" s="20"/>
      <c r="G591" s="19"/>
      <c r="H591" s="2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</row>
    <row r="592" spans="1:40" x14ac:dyDescent="0.2">
      <c r="B592" s="47"/>
      <c r="C592" s="8"/>
      <c r="D592" s="43"/>
      <c r="E592" s="76" t="s">
        <v>26</v>
      </c>
      <c r="F592" s="20"/>
      <c r="G592" s="19"/>
      <c r="H592" s="2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</row>
    <row r="593" spans="1:40" s="17" customFormat="1" x14ac:dyDescent="0.2">
      <c r="A593" s="4"/>
      <c r="B593" s="48">
        <v>2</v>
      </c>
      <c r="C593" s="13" t="s">
        <v>431</v>
      </c>
      <c r="D593" s="44"/>
      <c r="E593" s="71"/>
      <c r="F593" s="16"/>
      <c r="G593" s="15"/>
      <c r="H593" s="15"/>
    </row>
    <row r="594" spans="1:40" x14ac:dyDescent="0.2">
      <c r="B594" s="50"/>
      <c r="C594" s="52" t="s">
        <v>432</v>
      </c>
      <c r="D594" s="43"/>
      <c r="E594" s="76" t="s">
        <v>22</v>
      </c>
      <c r="F594" s="20"/>
      <c r="G594" s="19"/>
      <c r="H594" s="21" t="b">
        <f>IF(D596="x",H$2,H$1)</f>
        <v>0</v>
      </c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</row>
    <row r="595" spans="1:40" x14ac:dyDescent="0.2">
      <c r="B595" s="47"/>
      <c r="C595" s="53" t="s">
        <v>433</v>
      </c>
      <c r="D595" s="43"/>
      <c r="E595" s="76" t="s">
        <v>23</v>
      </c>
      <c r="F595" s="22" t="str">
        <f>IF(H596=1,IF(H594=H$2,H594,""),"")</f>
        <v/>
      </c>
      <c r="G595" s="19"/>
      <c r="H595" s="21" t="str">
        <f>IF(E$647="comprobar",COUNTIF(D594:D598,"x"),"")</f>
        <v/>
      </c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</row>
    <row r="596" spans="1:40" x14ac:dyDescent="0.2">
      <c r="B596" s="47"/>
      <c r="C596" s="53" t="s">
        <v>434</v>
      </c>
      <c r="D596" s="43"/>
      <c r="E596" s="76" t="s">
        <v>24</v>
      </c>
      <c r="F596" s="23" t="str">
        <f>IF(H596=-0.33,IF(H594=H$1,H594,""),"")</f>
        <v/>
      </c>
      <c r="G596" s="19"/>
      <c r="H596" s="24">
        <f>IF(H595=1,IF(H594=H$2,1,-0.33),0)</f>
        <v>0</v>
      </c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</row>
    <row r="597" spans="1:40" x14ac:dyDescent="0.2">
      <c r="B597" s="47"/>
      <c r="C597" s="53" t="s">
        <v>435</v>
      </c>
      <c r="D597" s="43"/>
      <c r="E597" s="76" t="s">
        <v>25</v>
      </c>
      <c r="F597" s="20"/>
      <c r="G597" s="19"/>
      <c r="H597" s="2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</row>
    <row r="598" spans="1:40" x14ac:dyDescent="0.2">
      <c r="B598" s="47"/>
      <c r="C598" s="8"/>
      <c r="D598" s="43"/>
      <c r="E598" s="76" t="s">
        <v>26</v>
      </c>
      <c r="F598" s="20"/>
      <c r="G598" s="19"/>
      <c r="H598" s="2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</row>
    <row r="599" spans="1:40" s="17" customFormat="1" x14ac:dyDescent="0.2">
      <c r="A599" s="4"/>
      <c r="B599" s="48">
        <v>3</v>
      </c>
      <c r="C599" s="36" t="s">
        <v>436</v>
      </c>
      <c r="D599" s="44"/>
      <c r="E599" s="71"/>
      <c r="F599" s="16"/>
      <c r="G599" s="15"/>
      <c r="H599" s="15"/>
    </row>
    <row r="600" spans="1:40" x14ac:dyDescent="0.2">
      <c r="B600" s="50"/>
      <c r="C600" s="52" t="s">
        <v>437</v>
      </c>
      <c r="D600" s="43"/>
      <c r="E600" s="76" t="s">
        <v>22</v>
      </c>
      <c r="F600" s="20"/>
      <c r="G600" s="19"/>
      <c r="H600" s="21" t="b">
        <f>IF(D601="x",H$2,H$1)</f>
        <v>0</v>
      </c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</row>
    <row r="601" spans="1:40" x14ac:dyDescent="0.2">
      <c r="B601" s="47"/>
      <c r="C601" s="53" t="s">
        <v>438</v>
      </c>
      <c r="D601" s="43"/>
      <c r="E601" s="76" t="s">
        <v>23</v>
      </c>
      <c r="F601" s="22" t="str">
        <f>IF(H602=1,IF(H600=H$2,H600,""),"")</f>
        <v/>
      </c>
      <c r="G601" s="19"/>
      <c r="H601" s="21" t="str">
        <f>IF(E$647="comprobar",COUNTIF(D600:D604,"x"),"")</f>
        <v/>
      </c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</row>
    <row r="602" spans="1:40" x14ac:dyDescent="0.2">
      <c r="B602" s="47"/>
      <c r="C602" s="53" t="s">
        <v>439</v>
      </c>
      <c r="D602" s="43"/>
      <c r="E602" s="76" t="s">
        <v>24</v>
      </c>
      <c r="F602" s="23" t="str">
        <f>IF(H602=-0.33,IF(H600=H$1,H600,""),"")</f>
        <v/>
      </c>
      <c r="G602" s="19"/>
      <c r="H602" s="24">
        <f>IF(H601=1,IF(H600=H$2,1,-0.33),0)</f>
        <v>0</v>
      </c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</row>
    <row r="603" spans="1:40" x14ac:dyDescent="0.2">
      <c r="B603" s="47"/>
      <c r="C603" s="53" t="s">
        <v>440</v>
      </c>
      <c r="D603" s="43"/>
      <c r="E603" s="76" t="s">
        <v>25</v>
      </c>
      <c r="F603" s="20"/>
      <c r="G603" s="19"/>
      <c r="H603" s="2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</row>
    <row r="604" spans="1:40" x14ac:dyDescent="0.2">
      <c r="B604" s="47"/>
      <c r="C604" s="8"/>
      <c r="D604" s="43"/>
      <c r="E604" s="76" t="s">
        <v>26</v>
      </c>
      <c r="F604" s="20"/>
      <c r="G604" s="19"/>
      <c r="H604" s="2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</row>
    <row r="605" spans="1:40" s="17" customFormat="1" x14ac:dyDescent="0.2">
      <c r="A605" s="4"/>
      <c r="B605" s="48">
        <v>4</v>
      </c>
      <c r="C605" s="13" t="s">
        <v>441</v>
      </c>
      <c r="D605" s="44"/>
      <c r="E605" s="71"/>
      <c r="F605" s="16"/>
      <c r="G605" s="15"/>
      <c r="H605" s="15"/>
    </row>
    <row r="606" spans="1:40" x14ac:dyDescent="0.2">
      <c r="B606" s="50"/>
      <c r="C606" s="52" t="s">
        <v>442</v>
      </c>
      <c r="D606" s="43"/>
      <c r="E606" s="76" t="s">
        <v>22</v>
      </c>
      <c r="F606" s="20"/>
      <c r="G606" s="19"/>
      <c r="H606" s="21" t="b">
        <f>IF(D607="x",H$2,H$1)</f>
        <v>0</v>
      </c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</row>
    <row r="607" spans="1:40" x14ac:dyDescent="0.2">
      <c r="B607" s="47"/>
      <c r="C607" s="53" t="s">
        <v>443</v>
      </c>
      <c r="D607" s="43"/>
      <c r="E607" s="76" t="s">
        <v>23</v>
      </c>
      <c r="F607" s="22" t="str">
        <f>IF(H608=1,IF(H606=H$2,H606,""),"")</f>
        <v/>
      </c>
      <c r="G607" s="19"/>
      <c r="H607" s="21" t="str">
        <f>IF(E$647="comprobar",COUNTIF(D606:D610,"x"),"")</f>
        <v/>
      </c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</row>
    <row r="608" spans="1:40" x14ac:dyDescent="0.2">
      <c r="B608" s="47"/>
      <c r="C608" s="53" t="s">
        <v>444</v>
      </c>
      <c r="D608" s="43"/>
      <c r="E608" s="76" t="s">
        <v>24</v>
      </c>
      <c r="F608" s="23" t="str">
        <f>IF(H608=-0.33,IF(H606=H$1,H606,""),"")</f>
        <v/>
      </c>
      <c r="G608" s="19"/>
      <c r="H608" s="24">
        <f>IF(H607=1,IF(H606=H$2,1,-0.33),0)</f>
        <v>0</v>
      </c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</row>
    <row r="609" spans="1:40" x14ac:dyDescent="0.2">
      <c r="B609" s="47"/>
      <c r="C609" s="53" t="s">
        <v>406</v>
      </c>
      <c r="D609" s="43"/>
      <c r="E609" s="76" t="s">
        <v>25</v>
      </c>
      <c r="F609" s="20"/>
      <c r="G609" s="19"/>
      <c r="H609" s="2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</row>
    <row r="610" spans="1:40" x14ac:dyDescent="0.2">
      <c r="B610" s="47"/>
      <c r="C610" s="8"/>
      <c r="D610" s="43"/>
      <c r="E610" s="76" t="s">
        <v>26</v>
      </c>
      <c r="F610" s="20"/>
      <c r="G610" s="19"/>
      <c r="H610" s="2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</row>
    <row r="611" spans="1:40" s="17" customFormat="1" x14ac:dyDescent="0.2">
      <c r="A611" s="4"/>
      <c r="B611" s="48">
        <v>5</v>
      </c>
      <c r="C611" s="13" t="s">
        <v>445</v>
      </c>
      <c r="D611" s="44"/>
      <c r="E611" s="71"/>
      <c r="F611" s="16"/>
      <c r="G611" s="15"/>
      <c r="H611" s="15"/>
    </row>
    <row r="612" spans="1:40" x14ac:dyDescent="0.2">
      <c r="B612" s="50"/>
      <c r="C612" s="52" t="s">
        <v>446</v>
      </c>
      <c r="D612" s="43"/>
      <c r="E612" s="76" t="s">
        <v>22</v>
      </c>
      <c r="F612" s="20"/>
      <c r="G612" s="19"/>
      <c r="H612" s="21" t="b">
        <f>IF(D615="x",H$2,H$1)</f>
        <v>0</v>
      </c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</row>
    <row r="613" spans="1:40" x14ac:dyDescent="0.2">
      <c r="B613" s="47"/>
      <c r="C613" s="53" t="s">
        <v>447</v>
      </c>
      <c r="D613" s="43"/>
      <c r="E613" s="76" t="s">
        <v>23</v>
      </c>
      <c r="F613" s="22" t="str">
        <f>IF(H614=1,IF(H612=H$2,H612,""),"")</f>
        <v/>
      </c>
      <c r="G613" s="19"/>
      <c r="H613" s="21" t="str">
        <f>IF(E$647="comprobar",COUNTIF(D612:D616,"x"),"")</f>
        <v/>
      </c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</row>
    <row r="614" spans="1:40" x14ac:dyDescent="0.2">
      <c r="B614" s="47"/>
      <c r="C614" s="53" t="s">
        <v>448</v>
      </c>
      <c r="D614" s="43"/>
      <c r="E614" s="76" t="s">
        <v>24</v>
      </c>
      <c r="F614" s="23" t="str">
        <f>IF(H614=-0.33,IF(H612=H$1,H612,""),"")</f>
        <v/>
      </c>
      <c r="G614" s="19"/>
      <c r="H614" s="24">
        <f>IF(H613=1,IF(H612=H$2,1,-0.33),0)</f>
        <v>0</v>
      </c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</row>
    <row r="615" spans="1:40" x14ac:dyDescent="0.2">
      <c r="B615" s="47"/>
      <c r="C615" s="53" t="s">
        <v>449</v>
      </c>
      <c r="D615" s="43"/>
      <c r="E615" s="76" t="s">
        <v>25</v>
      </c>
      <c r="F615" s="20"/>
      <c r="G615" s="19"/>
      <c r="H615" s="2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</row>
    <row r="616" spans="1:40" x14ac:dyDescent="0.2">
      <c r="B616" s="47"/>
      <c r="C616" s="8"/>
      <c r="D616" s="43"/>
      <c r="E616" s="76" t="s">
        <v>26</v>
      </c>
      <c r="F616" s="20"/>
      <c r="G616" s="19"/>
      <c r="H616" s="2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</row>
    <row r="617" spans="1:40" s="17" customFormat="1" x14ac:dyDescent="0.2">
      <c r="A617" s="4"/>
      <c r="B617" s="48">
        <v>6</v>
      </c>
      <c r="C617" s="13" t="s">
        <v>450</v>
      </c>
      <c r="D617" s="44"/>
      <c r="E617" s="71"/>
      <c r="F617" s="16"/>
      <c r="G617" s="15"/>
      <c r="H617" s="15"/>
    </row>
    <row r="618" spans="1:40" s="4" customFormat="1" x14ac:dyDescent="0.2">
      <c r="B618" s="50"/>
      <c r="C618" s="52" t="s">
        <v>451</v>
      </c>
      <c r="D618" s="43"/>
      <c r="E618" s="76" t="s">
        <v>22</v>
      </c>
      <c r="F618" s="20"/>
      <c r="G618" s="19"/>
      <c r="H618" s="21" t="b">
        <f>IF(D620="x",H$2,H$1)</f>
        <v>0</v>
      </c>
    </row>
    <row r="619" spans="1:40" x14ac:dyDescent="0.2">
      <c r="B619" s="47"/>
      <c r="C619" s="53" t="s">
        <v>452</v>
      </c>
      <c r="D619" s="43"/>
      <c r="E619" s="76" t="s">
        <v>23</v>
      </c>
      <c r="F619" s="22" t="str">
        <f>IF(H620=1,IF(H618=H$2,H618,""),"")</f>
        <v/>
      </c>
      <c r="G619" s="19"/>
      <c r="H619" s="21" t="str">
        <f>IF(E$647="comprobar",COUNTIF(D618:D622,"x"),"")</f>
        <v/>
      </c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</row>
    <row r="620" spans="1:40" x14ac:dyDescent="0.2">
      <c r="B620" s="47"/>
      <c r="C620" s="53" t="s">
        <v>453</v>
      </c>
      <c r="D620" s="43"/>
      <c r="E620" s="76" t="s">
        <v>24</v>
      </c>
      <c r="F620" s="23" t="str">
        <f>IF(H620=-0.33,IF(H618=H$1,H618,""),"")</f>
        <v/>
      </c>
      <c r="G620" s="19"/>
      <c r="H620" s="24">
        <f>IF(H619=1,IF(H618=H$2,1,-0.33),0)</f>
        <v>0</v>
      </c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</row>
    <row r="621" spans="1:40" x14ac:dyDescent="0.2">
      <c r="B621" s="47"/>
      <c r="C621" s="53" t="s">
        <v>454</v>
      </c>
      <c r="D621" s="43"/>
      <c r="E621" s="76" t="s">
        <v>25</v>
      </c>
      <c r="F621" s="20"/>
      <c r="G621" s="19"/>
      <c r="H621" s="2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</row>
    <row r="622" spans="1:40" x14ac:dyDescent="0.2">
      <c r="B622" s="47"/>
      <c r="C622" s="8"/>
      <c r="D622" s="43"/>
      <c r="E622" s="76" t="s">
        <v>26</v>
      </c>
      <c r="F622" s="20"/>
      <c r="G622" s="19"/>
      <c r="H622" s="2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</row>
    <row r="623" spans="1:40" s="17" customFormat="1" x14ac:dyDescent="0.2">
      <c r="A623" s="4"/>
      <c r="B623" s="48">
        <v>7</v>
      </c>
      <c r="C623" s="13" t="s">
        <v>455</v>
      </c>
      <c r="D623" s="44"/>
      <c r="E623" s="71"/>
      <c r="F623" s="16"/>
      <c r="G623" s="15"/>
      <c r="H623" s="15"/>
    </row>
    <row r="624" spans="1:40" x14ac:dyDescent="0.2">
      <c r="B624" s="50"/>
      <c r="C624" s="52" t="s">
        <v>456</v>
      </c>
      <c r="D624" s="43"/>
      <c r="E624" s="76" t="s">
        <v>22</v>
      </c>
      <c r="F624" s="20"/>
      <c r="G624" s="19"/>
      <c r="H624" s="21" t="b">
        <f>IF(D627="x",H$2,H$1)</f>
        <v>0</v>
      </c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</row>
    <row r="625" spans="1:40" x14ac:dyDescent="0.2">
      <c r="B625" s="47"/>
      <c r="C625" s="53" t="s">
        <v>457</v>
      </c>
      <c r="D625" s="43"/>
      <c r="E625" s="76" t="s">
        <v>23</v>
      </c>
      <c r="F625" s="22" t="str">
        <f>IF(H626=1,IF(H624=H$2,H624,""),"")</f>
        <v/>
      </c>
      <c r="G625" s="19"/>
      <c r="H625" s="21" t="str">
        <f>IF(E$647="comprobar",COUNTIF(D624:D628,"x"),"")</f>
        <v/>
      </c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</row>
    <row r="626" spans="1:40" x14ac:dyDescent="0.2">
      <c r="B626" s="47"/>
      <c r="C626" s="53" t="s">
        <v>458</v>
      </c>
      <c r="D626" s="43"/>
      <c r="E626" s="76" t="s">
        <v>24</v>
      </c>
      <c r="F626" s="23" t="str">
        <f>IF(H626=-0.33,IF(H624=H$1,H624,""),"")</f>
        <v/>
      </c>
      <c r="G626" s="19"/>
      <c r="H626" s="24">
        <f>IF(H625=1,IF(H624=H$2,1,-0.33),0)</f>
        <v>0</v>
      </c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</row>
    <row r="627" spans="1:40" x14ac:dyDescent="0.2">
      <c r="B627" s="47"/>
      <c r="C627" s="53" t="s">
        <v>459</v>
      </c>
      <c r="D627" s="43"/>
      <c r="E627" s="76" t="s">
        <v>25</v>
      </c>
      <c r="F627" s="20"/>
      <c r="G627" s="19"/>
      <c r="H627" s="2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</row>
    <row r="628" spans="1:40" x14ac:dyDescent="0.2">
      <c r="B628" s="47"/>
      <c r="C628" s="8"/>
      <c r="D628" s="43"/>
      <c r="E628" s="76" t="s">
        <v>26</v>
      </c>
      <c r="F628" s="20"/>
      <c r="G628" s="19"/>
      <c r="H628" s="2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</row>
    <row r="629" spans="1:40" s="17" customFormat="1" x14ac:dyDescent="0.2">
      <c r="A629" s="4"/>
      <c r="B629" s="48">
        <v>8</v>
      </c>
      <c r="C629" s="13" t="s">
        <v>460</v>
      </c>
      <c r="D629" s="44"/>
      <c r="E629" s="71"/>
      <c r="F629" s="16"/>
      <c r="G629" s="15"/>
      <c r="H629" s="15"/>
    </row>
    <row r="630" spans="1:40" x14ac:dyDescent="0.2">
      <c r="B630" s="50"/>
      <c r="C630" s="52" t="s">
        <v>461</v>
      </c>
      <c r="D630" s="43"/>
      <c r="E630" s="76" t="s">
        <v>22</v>
      </c>
      <c r="F630" s="20"/>
      <c r="G630" s="19"/>
      <c r="H630" s="21" t="b">
        <f>IF(D631="x",H$2,H$1)</f>
        <v>0</v>
      </c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</row>
    <row r="631" spans="1:40" x14ac:dyDescent="0.2">
      <c r="B631" s="47"/>
      <c r="C631" s="53" t="s">
        <v>462</v>
      </c>
      <c r="D631" s="43"/>
      <c r="E631" s="76" t="s">
        <v>23</v>
      </c>
      <c r="F631" s="22" t="str">
        <f>IF(H632=1,IF(H630=H$2,H630,""),"")</f>
        <v/>
      </c>
      <c r="G631" s="19"/>
      <c r="H631" s="21" t="str">
        <f>IF(E$647="comprobar",COUNTIF(D630:D634,"x"),"")</f>
        <v/>
      </c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</row>
    <row r="632" spans="1:40" x14ac:dyDescent="0.2">
      <c r="B632" s="47"/>
      <c r="C632" s="53" t="s">
        <v>463</v>
      </c>
      <c r="D632" s="43"/>
      <c r="E632" s="76" t="s">
        <v>24</v>
      </c>
      <c r="F632" s="23" t="str">
        <f>IF(H632=-0.33,IF(H630=H$1,H630,""),"")</f>
        <v/>
      </c>
      <c r="G632" s="19"/>
      <c r="H632" s="24">
        <f>IF(H631=1,IF(H630=H$2,1,-0.33),0)</f>
        <v>0</v>
      </c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</row>
    <row r="633" spans="1:40" x14ac:dyDescent="0.2">
      <c r="B633" s="47"/>
      <c r="C633" s="53" t="s">
        <v>464</v>
      </c>
      <c r="D633" s="43"/>
      <c r="E633" s="76" t="s">
        <v>25</v>
      </c>
      <c r="F633" s="20"/>
      <c r="G633" s="19"/>
      <c r="H633" s="2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</row>
    <row r="634" spans="1:40" x14ac:dyDescent="0.2">
      <c r="B634" s="47"/>
      <c r="C634" s="8"/>
      <c r="D634" s="43"/>
      <c r="E634" s="76" t="s">
        <v>26</v>
      </c>
      <c r="F634" s="20"/>
      <c r="G634" s="19"/>
      <c r="H634" s="2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</row>
    <row r="635" spans="1:40" s="17" customFormat="1" x14ac:dyDescent="0.2">
      <c r="A635" s="4"/>
      <c r="B635" s="48">
        <v>9</v>
      </c>
      <c r="C635" s="13" t="s">
        <v>465</v>
      </c>
      <c r="D635" s="44"/>
      <c r="E635" s="71"/>
      <c r="F635" s="16"/>
      <c r="G635" s="15"/>
      <c r="H635" s="15"/>
    </row>
    <row r="636" spans="1:40" x14ac:dyDescent="0.2">
      <c r="B636" s="50"/>
      <c r="C636" s="52" t="s">
        <v>466</v>
      </c>
      <c r="D636" s="43"/>
      <c r="E636" s="76" t="s">
        <v>22</v>
      </c>
      <c r="F636" s="20"/>
      <c r="G636" s="19"/>
      <c r="H636" s="21" t="b">
        <f>IF(D639="x",H$2,H$1)</f>
        <v>0</v>
      </c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</row>
    <row r="637" spans="1:40" x14ac:dyDescent="0.2">
      <c r="B637" s="47"/>
      <c r="C637" s="53" t="s">
        <v>467</v>
      </c>
      <c r="D637" s="43"/>
      <c r="E637" s="76" t="s">
        <v>23</v>
      </c>
      <c r="F637" s="22" t="str">
        <f>IF(H638=1,IF(H636=H$2,H636,""),"")</f>
        <v/>
      </c>
      <c r="G637" s="19"/>
      <c r="H637" s="21" t="str">
        <f>IF(E$647="comprobar",COUNTIF(D636:D640,"x"),"")</f>
        <v/>
      </c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</row>
    <row r="638" spans="1:40" x14ac:dyDescent="0.2">
      <c r="B638" s="47"/>
      <c r="C638" s="53" t="s">
        <v>468</v>
      </c>
      <c r="D638" s="43"/>
      <c r="E638" s="76" t="s">
        <v>24</v>
      </c>
      <c r="F638" s="23" t="str">
        <f>IF(H638=-0.33,IF(H636=H$1,H636,""),"")</f>
        <v/>
      </c>
      <c r="G638" s="19"/>
      <c r="H638" s="24">
        <f>IF(H637=1,IF(H636=H$2,1,-0.33),0)</f>
        <v>0</v>
      </c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</row>
    <row r="639" spans="1:40" s="4" customFormat="1" x14ac:dyDescent="0.2">
      <c r="B639" s="47"/>
      <c r="C639" s="53" t="s">
        <v>406</v>
      </c>
      <c r="D639" s="43"/>
      <c r="E639" s="76" t="s">
        <v>25</v>
      </c>
      <c r="F639" s="20"/>
      <c r="G639" s="19"/>
      <c r="H639" s="24"/>
    </row>
    <row r="640" spans="1:40" x14ac:dyDescent="0.2">
      <c r="B640" s="47"/>
      <c r="C640" s="8"/>
      <c r="D640" s="43"/>
      <c r="E640" s="76" t="s">
        <v>26</v>
      </c>
      <c r="F640" s="12"/>
      <c r="G640" s="19"/>
      <c r="H640" s="2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</row>
    <row r="641" spans="1:40" s="17" customFormat="1" x14ac:dyDescent="0.2">
      <c r="A641" s="4"/>
      <c r="B641" s="48">
        <v>10</v>
      </c>
      <c r="C641" s="13" t="s">
        <v>469</v>
      </c>
      <c r="D641" s="44"/>
      <c r="E641" s="71"/>
      <c r="F641" s="30"/>
      <c r="G641" s="29"/>
      <c r="H641" s="15"/>
    </row>
    <row r="642" spans="1:40" x14ac:dyDescent="0.2">
      <c r="B642" s="50"/>
      <c r="C642" s="52" t="s">
        <v>470</v>
      </c>
      <c r="D642" s="43"/>
      <c r="E642" s="76" t="s">
        <v>22</v>
      </c>
      <c r="F642" s="27"/>
      <c r="G642" s="26"/>
      <c r="H642" s="21" t="b">
        <f>IF(D645="x",H$2,H$1)</f>
        <v>0</v>
      </c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</row>
    <row r="643" spans="1:40" x14ac:dyDescent="0.2">
      <c r="B643" s="47"/>
      <c r="C643" s="53" t="s">
        <v>471</v>
      </c>
      <c r="D643" s="43"/>
      <c r="E643" s="76" t="s">
        <v>23</v>
      </c>
      <c r="F643" s="22" t="str">
        <f>IF(H644=1,IF(H642=H$2,H642,""),"")</f>
        <v/>
      </c>
      <c r="G643" s="26"/>
      <c r="H643" s="21" t="str">
        <f>IF(E$647="comprobar",COUNTIF(D642:D646,"x"),"")</f>
        <v/>
      </c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</row>
    <row r="644" spans="1:40" x14ac:dyDescent="0.2">
      <c r="B644" s="47"/>
      <c r="C644" s="53" t="s">
        <v>472</v>
      </c>
      <c r="D644" s="43"/>
      <c r="E644" s="76" t="s">
        <v>24</v>
      </c>
      <c r="F644" s="23" t="str">
        <f>IF(H644=-0.33,IF(H642=H$1,H642,""),"")</f>
        <v/>
      </c>
      <c r="G644" s="26"/>
      <c r="H644" s="24">
        <f>IF(H643=1,IF(H642=H$2,1,-0.33),0)</f>
        <v>0</v>
      </c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</row>
    <row r="645" spans="1:40" x14ac:dyDescent="0.2">
      <c r="B645" s="47"/>
      <c r="C645" s="53" t="s">
        <v>406</v>
      </c>
      <c r="D645" s="43"/>
      <c r="E645" s="76" t="s">
        <v>25</v>
      </c>
      <c r="F645" s="28"/>
      <c r="G645" s="26"/>
      <c r="H645" s="2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</row>
    <row r="646" spans="1:40" x14ac:dyDescent="0.2">
      <c r="B646" s="47"/>
      <c r="C646" s="8"/>
      <c r="D646" s="43"/>
      <c r="E646" s="76" t="s">
        <v>26</v>
      </c>
      <c r="F646" s="28"/>
      <c r="G646" s="26"/>
      <c r="H646" s="2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</row>
    <row r="647" spans="1:40" x14ac:dyDescent="0.2">
      <c r="B647" s="50"/>
      <c r="C647" s="46"/>
      <c r="D647" s="65"/>
      <c r="E647" s="73"/>
      <c r="F647" s="20"/>
      <c r="G647" s="19"/>
      <c r="H647" s="19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</row>
    <row r="648" spans="1:40" x14ac:dyDescent="0.2">
      <c r="B648" s="50"/>
      <c r="C648" s="18"/>
      <c r="D648" s="65"/>
      <c r="E648" s="78"/>
      <c r="F648" s="31" t="s">
        <v>8</v>
      </c>
      <c r="G648" s="19" t="s">
        <v>6</v>
      </c>
      <c r="H648" s="19" t="s">
        <v>7</v>
      </c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</row>
    <row r="649" spans="1:40" ht="20" x14ac:dyDescent="0.2">
      <c r="B649" s="50"/>
      <c r="C649" s="18"/>
      <c r="D649" s="63"/>
      <c r="E649" s="70"/>
      <c r="F649" s="32" t="str">
        <f>IF(E647="comprobar",H644+H638+H632+H626+H620+H614+H608+H602+H596+H590,"")</f>
        <v/>
      </c>
      <c r="G649" s="19">
        <f>10/2</f>
        <v>5</v>
      </c>
      <c r="H649" s="19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</row>
    <row r="650" spans="1:40" ht="17" thickBot="1" x14ac:dyDescent="0.25">
      <c r="B650" s="51"/>
      <c r="C650" s="33"/>
      <c r="D650" s="34"/>
      <c r="E650" s="74"/>
      <c r="F650" s="35" t="str">
        <f>IF(F649&gt;G649,G648,H648)</f>
        <v>APROBADO</v>
      </c>
      <c r="G650" s="19"/>
      <c r="H650" s="19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</row>
    <row r="651" spans="1:40" ht="29" x14ac:dyDescent="0.35">
      <c r="B651" s="87" t="s">
        <v>78</v>
      </c>
      <c r="C651" s="112" t="s">
        <v>20</v>
      </c>
      <c r="D651" s="112"/>
      <c r="E651" s="112"/>
      <c r="F651" s="113"/>
      <c r="G651" s="19"/>
      <c r="H651" s="19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</row>
    <row r="652" spans="1:40" s="17" customFormat="1" x14ac:dyDescent="0.2">
      <c r="A652" s="4"/>
      <c r="B652" s="48">
        <v>1</v>
      </c>
      <c r="C652" s="13" t="s">
        <v>473</v>
      </c>
      <c r="D652" s="14"/>
      <c r="E652" s="71"/>
      <c r="F652" s="16"/>
      <c r="G652" s="15"/>
      <c r="H652" s="15"/>
    </row>
    <row r="653" spans="1:40" x14ac:dyDescent="0.2">
      <c r="B653" s="50"/>
      <c r="C653" s="52" t="s">
        <v>474</v>
      </c>
      <c r="D653" s="43"/>
      <c r="E653" s="76" t="s">
        <v>22</v>
      </c>
      <c r="F653" s="20"/>
      <c r="G653" s="19"/>
      <c r="H653" s="21" t="b">
        <f>IF(D655="x",H$2,H$1)</f>
        <v>0</v>
      </c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</row>
    <row r="654" spans="1:40" x14ac:dyDescent="0.2">
      <c r="B654" s="47"/>
      <c r="C654" s="53" t="s">
        <v>475</v>
      </c>
      <c r="D654" s="43"/>
      <c r="E654" s="76" t="s">
        <v>23</v>
      </c>
      <c r="F654" s="22" t="str">
        <f>IF(H655=1,IF(H653=H$2,H653,""),"")</f>
        <v/>
      </c>
      <c r="G654" s="19"/>
      <c r="H654" s="21" t="str">
        <f>IF(E$712="comprobar",COUNTIF(D653:D657,"x"),"")</f>
        <v/>
      </c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</row>
    <row r="655" spans="1:40" x14ac:dyDescent="0.2">
      <c r="B655" s="47"/>
      <c r="C655" s="53" t="s">
        <v>476</v>
      </c>
      <c r="D655" s="43"/>
      <c r="E655" s="76" t="s">
        <v>24</v>
      </c>
      <c r="F655" s="23" t="str">
        <f>IF(H655=-0.33,IF(H653=H$1,H653,""),"")</f>
        <v/>
      </c>
      <c r="G655" s="19"/>
      <c r="H655" s="24">
        <f>IF(H654=1,IF(H653=H$2,1,-0.33),0)</f>
        <v>0</v>
      </c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</row>
    <row r="656" spans="1:40" x14ac:dyDescent="0.2">
      <c r="B656" s="47"/>
      <c r="C656" s="53" t="s">
        <v>477</v>
      </c>
      <c r="D656" s="43"/>
      <c r="E656" s="76" t="s">
        <v>25</v>
      </c>
      <c r="F656" s="20"/>
      <c r="G656" s="19"/>
      <c r="H656" s="2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</row>
    <row r="657" spans="1:40" x14ac:dyDescent="0.2">
      <c r="B657" s="47"/>
      <c r="C657" s="8"/>
      <c r="D657" s="43"/>
      <c r="E657" s="76" t="s">
        <v>26</v>
      </c>
      <c r="F657" s="20"/>
      <c r="G657" s="19"/>
      <c r="H657" s="2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</row>
    <row r="658" spans="1:40" s="17" customFormat="1" x14ac:dyDescent="0.2">
      <c r="A658" s="4"/>
      <c r="B658" s="48">
        <v>2</v>
      </c>
      <c r="C658" s="13" t="s">
        <v>478</v>
      </c>
      <c r="D658" s="44"/>
      <c r="E658" s="71"/>
      <c r="F658" s="16"/>
      <c r="G658" s="15"/>
      <c r="H658" s="15"/>
    </row>
    <row r="659" spans="1:40" x14ac:dyDescent="0.2">
      <c r="B659" s="50"/>
      <c r="C659" s="52" t="s">
        <v>479</v>
      </c>
      <c r="D659" s="43"/>
      <c r="E659" s="76" t="s">
        <v>22</v>
      </c>
      <c r="F659" s="20"/>
      <c r="G659" s="19"/>
      <c r="H659" s="21" t="b">
        <f>IF(D661="x",H$2,H$1)</f>
        <v>0</v>
      </c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</row>
    <row r="660" spans="1:40" x14ac:dyDescent="0.2">
      <c r="B660" s="47"/>
      <c r="C660" s="53" t="s">
        <v>480</v>
      </c>
      <c r="D660" s="43"/>
      <c r="E660" s="76" t="s">
        <v>23</v>
      </c>
      <c r="F660" s="22" t="str">
        <f>IF(H661=1,IF(H659=H$2,H659,""),"")</f>
        <v/>
      </c>
      <c r="G660" s="19"/>
      <c r="H660" s="21" t="str">
        <f>IF(E$712="comprobar",COUNTIF(D659:D663,"x"),"")</f>
        <v/>
      </c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</row>
    <row r="661" spans="1:40" x14ac:dyDescent="0.2">
      <c r="B661" s="47"/>
      <c r="C661" s="53" t="s">
        <v>481</v>
      </c>
      <c r="D661" s="43"/>
      <c r="E661" s="76" t="s">
        <v>24</v>
      </c>
      <c r="F661" s="23" t="str">
        <f>IF(H661=-0.33,IF(H659=H$1,H659,""),"")</f>
        <v/>
      </c>
      <c r="G661" s="19"/>
      <c r="H661" s="24">
        <f>IF(H660=1,IF(H659=H$2,1,-0.33),0)</f>
        <v>0</v>
      </c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</row>
    <row r="662" spans="1:40" x14ac:dyDescent="0.2">
      <c r="B662" s="47"/>
      <c r="C662" s="53" t="s">
        <v>430</v>
      </c>
      <c r="D662" s="43"/>
      <c r="E662" s="76" t="s">
        <v>25</v>
      </c>
      <c r="F662" s="20"/>
      <c r="G662" s="19"/>
      <c r="H662" s="2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</row>
    <row r="663" spans="1:40" x14ac:dyDescent="0.2">
      <c r="B663" s="47"/>
      <c r="C663" s="8"/>
      <c r="D663" s="43"/>
      <c r="E663" s="76" t="s">
        <v>26</v>
      </c>
      <c r="F663" s="20"/>
      <c r="G663" s="19"/>
      <c r="H663" s="2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</row>
    <row r="664" spans="1:40" s="17" customFormat="1" x14ac:dyDescent="0.2">
      <c r="A664" s="4"/>
      <c r="B664" s="48">
        <v>3</v>
      </c>
      <c r="C664" s="36" t="s">
        <v>482</v>
      </c>
      <c r="D664" s="44"/>
      <c r="E664" s="71"/>
      <c r="F664" s="16"/>
      <c r="G664" s="15"/>
      <c r="H664" s="15"/>
    </row>
    <row r="665" spans="1:40" x14ac:dyDescent="0.2">
      <c r="B665" s="50"/>
      <c r="C665" s="52" t="s">
        <v>483</v>
      </c>
      <c r="D665" s="43"/>
      <c r="E665" s="76" t="s">
        <v>22</v>
      </c>
      <c r="F665" s="20"/>
      <c r="G665" s="19"/>
      <c r="H665" s="21" t="b">
        <f>IF(D668="x",H$2,H$1)</f>
        <v>0</v>
      </c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</row>
    <row r="666" spans="1:40" x14ac:dyDescent="0.2">
      <c r="B666" s="47"/>
      <c r="C666" s="53" t="s">
        <v>484</v>
      </c>
      <c r="D666" s="43"/>
      <c r="E666" s="76" t="s">
        <v>23</v>
      </c>
      <c r="F666" s="22" t="str">
        <f>IF(H667=1,IF(H665=H$2,H665,""),"")</f>
        <v/>
      </c>
      <c r="G666" s="19"/>
      <c r="H666" s="21" t="str">
        <f>IF(E$712="comprobar",COUNTIF(D665:D669,"x"),"")</f>
        <v/>
      </c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</row>
    <row r="667" spans="1:40" x14ac:dyDescent="0.2">
      <c r="B667" s="47"/>
      <c r="C667" s="53" t="s">
        <v>485</v>
      </c>
      <c r="D667" s="43"/>
      <c r="E667" s="76" t="s">
        <v>24</v>
      </c>
      <c r="F667" s="23" t="str">
        <f>IF(H667=-0.33,IF(H665=H$1,H665,""),"")</f>
        <v/>
      </c>
      <c r="G667" s="19"/>
      <c r="H667" s="24">
        <f>IF(H666=1,IF(H665=H$2,1,-0.33),0)</f>
        <v>0</v>
      </c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</row>
    <row r="668" spans="1:40" s="4" customFormat="1" x14ac:dyDescent="0.2">
      <c r="B668" s="47"/>
      <c r="C668" s="53" t="s">
        <v>486</v>
      </c>
      <c r="D668" s="43"/>
      <c r="E668" s="76" t="s">
        <v>25</v>
      </c>
      <c r="F668" s="20"/>
      <c r="G668" s="19"/>
      <c r="H668" s="24"/>
    </row>
    <row r="669" spans="1:40" x14ac:dyDescent="0.2">
      <c r="B669" s="47"/>
      <c r="C669" s="8"/>
      <c r="D669" s="43"/>
      <c r="E669" s="76" t="s">
        <v>26</v>
      </c>
      <c r="F669" s="20"/>
      <c r="G669" s="19"/>
      <c r="H669" s="2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</row>
    <row r="670" spans="1:40" s="17" customFormat="1" x14ac:dyDescent="0.2">
      <c r="A670" s="4"/>
      <c r="B670" s="48">
        <v>4</v>
      </c>
      <c r="C670" s="13" t="s">
        <v>487</v>
      </c>
      <c r="D670" s="44"/>
      <c r="E670" s="71"/>
      <c r="F670" s="16"/>
      <c r="G670" s="15"/>
      <c r="H670" s="15"/>
    </row>
    <row r="671" spans="1:40" x14ac:dyDescent="0.2">
      <c r="B671" s="50"/>
      <c r="C671" s="52" t="s">
        <v>488</v>
      </c>
      <c r="D671" s="43"/>
      <c r="E671" s="76" t="s">
        <v>22</v>
      </c>
      <c r="F671" s="20"/>
      <c r="G671" s="19"/>
      <c r="H671" s="21" t="b">
        <f>IF(D671="x",H$2,H$1)</f>
        <v>0</v>
      </c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</row>
    <row r="672" spans="1:40" x14ac:dyDescent="0.2">
      <c r="B672" s="47"/>
      <c r="C672" s="53" t="s">
        <v>489</v>
      </c>
      <c r="D672" s="43"/>
      <c r="E672" s="76" t="s">
        <v>23</v>
      </c>
      <c r="F672" s="22" t="str">
        <f>IF(H673=1,IF(H671=H$2,H671,""),"")</f>
        <v/>
      </c>
      <c r="G672" s="19"/>
      <c r="H672" s="21" t="str">
        <f>IF(E$712="comprobar",COUNTIF(D671:D675,"x"),"")</f>
        <v/>
      </c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</row>
    <row r="673" spans="1:40" x14ac:dyDescent="0.2">
      <c r="B673" s="47"/>
      <c r="C673" s="53" t="s">
        <v>490</v>
      </c>
      <c r="D673" s="43"/>
      <c r="E673" s="76" t="s">
        <v>24</v>
      </c>
      <c r="F673" s="23" t="str">
        <f>IF(H673=-0.33,IF(H671=H$1,H671,""),"")</f>
        <v/>
      </c>
      <c r="G673" s="19"/>
      <c r="H673" s="24">
        <f>IF(H672=1,IF(H671=H$2,1,-0.33),0)</f>
        <v>0</v>
      </c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</row>
    <row r="674" spans="1:40" x14ac:dyDescent="0.2">
      <c r="B674" s="47"/>
      <c r="C674" s="53" t="s">
        <v>491</v>
      </c>
      <c r="D674" s="43"/>
      <c r="E674" s="76" t="s">
        <v>25</v>
      </c>
      <c r="F674" s="20"/>
      <c r="G674" s="19"/>
      <c r="H674" s="2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</row>
    <row r="675" spans="1:40" x14ac:dyDescent="0.2">
      <c r="B675" s="47"/>
      <c r="C675" s="8"/>
      <c r="D675" s="43"/>
      <c r="E675" s="76" t="s">
        <v>26</v>
      </c>
      <c r="F675" s="20"/>
      <c r="G675" s="19"/>
      <c r="H675" s="2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</row>
    <row r="676" spans="1:40" s="17" customFormat="1" x14ac:dyDescent="0.2">
      <c r="A676" s="4"/>
      <c r="B676" s="48">
        <v>5</v>
      </c>
      <c r="C676" s="13" t="s">
        <v>492</v>
      </c>
      <c r="D676" s="44"/>
      <c r="E676" s="71"/>
      <c r="F676" s="16"/>
      <c r="G676" s="15"/>
      <c r="H676" s="15"/>
    </row>
    <row r="677" spans="1:40" x14ac:dyDescent="0.2">
      <c r="B677" s="50"/>
      <c r="C677" s="52" t="s">
        <v>493</v>
      </c>
      <c r="D677" s="43"/>
      <c r="E677" s="76" t="s">
        <v>22</v>
      </c>
      <c r="F677" s="20"/>
      <c r="G677" s="19"/>
      <c r="H677" s="21" t="b">
        <f>IF(D679="x",H$2,H$1)</f>
        <v>0</v>
      </c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</row>
    <row r="678" spans="1:40" x14ac:dyDescent="0.2">
      <c r="B678" s="47"/>
      <c r="C678" s="53" t="s">
        <v>494</v>
      </c>
      <c r="D678" s="43"/>
      <c r="E678" s="76" t="s">
        <v>23</v>
      </c>
      <c r="F678" s="22" t="str">
        <f>IF(H679=1,IF(H677=H$2,H677,""),"")</f>
        <v/>
      </c>
      <c r="G678" s="19"/>
      <c r="H678" s="21" t="str">
        <f>IF(E$712="comprobar",COUNTIF(D677:D681,"x"),"")</f>
        <v/>
      </c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</row>
    <row r="679" spans="1:40" x14ac:dyDescent="0.2">
      <c r="B679" s="47"/>
      <c r="C679" s="53" t="s">
        <v>495</v>
      </c>
      <c r="D679" s="43"/>
      <c r="E679" s="76" t="s">
        <v>24</v>
      </c>
      <c r="F679" s="23" t="str">
        <f>IF(H679=-0.33,IF(H677=H$1,H677,""),"")</f>
        <v/>
      </c>
      <c r="G679" s="19"/>
      <c r="H679" s="24">
        <f>IF(H678=1,IF(H677=H$2,1,-0.33),0)</f>
        <v>0</v>
      </c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</row>
    <row r="680" spans="1:40" x14ac:dyDescent="0.2">
      <c r="B680" s="47"/>
      <c r="C680" s="53" t="s">
        <v>496</v>
      </c>
      <c r="D680" s="43"/>
      <c r="E680" s="76" t="s">
        <v>25</v>
      </c>
      <c r="F680" s="20"/>
      <c r="G680" s="19"/>
      <c r="H680" s="2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</row>
    <row r="681" spans="1:40" x14ac:dyDescent="0.2">
      <c r="B681" s="47"/>
      <c r="C681" s="8"/>
      <c r="D681" s="43"/>
      <c r="E681" s="76" t="s">
        <v>26</v>
      </c>
      <c r="F681" s="20"/>
      <c r="G681" s="19"/>
      <c r="H681" s="2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</row>
    <row r="682" spans="1:40" s="17" customFormat="1" x14ac:dyDescent="0.2">
      <c r="A682" s="4"/>
      <c r="B682" s="48">
        <v>6</v>
      </c>
      <c r="C682" s="13" t="s">
        <v>497</v>
      </c>
      <c r="D682" s="44"/>
      <c r="E682" s="71"/>
      <c r="F682" s="16"/>
      <c r="G682" s="15"/>
      <c r="H682" s="15"/>
    </row>
    <row r="683" spans="1:40" s="4" customFormat="1" x14ac:dyDescent="0.2">
      <c r="B683" s="50"/>
      <c r="C683" s="52" t="s">
        <v>498</v>
      </c>
      <c r="D683" s="43"/>
      <c r="E683" s="76" t="s">
        <v>22</v>
      </c>
      <c r="F683" s="20"/>
      <c r="G683" s="19"/>
      <c r="H683" s="21" t="b">
        <f>IF(D686="x",H$2,H$1)</f>
        <v>0</v>
      </c>
    </row>
    <row r="684" spans="1:40" x14ac:dyDescent="0.2">
      <c r="B684" s="47"/>
      <c r="C684" s="53" t="s">
        <v>499</v>
      </c>
      <c r="D684" s="43"/>
      <c r="E684" s="76" t="s">
        <v>23</v>
      </c>
      <c r="F684" s="22" t="str">
        <f>IF(H685=1,IF(H683=H$2,H683,""),"")</f>
        <v/>
      </c>
      <c r="G684" s="19"/>
      <c r="H684" s="21" t="str">
        <f>IF(E$712="comprobar",COUNTIF(D683:D687,"x"),"")</f>
        <v/>
      </c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</row>
    <row r="685" spans="1:40" x14ac:dyDescent="0.2">
      <c r="B685" s="47"/>
      <c r="C685" s="53" t="s">
        <v>500</v>
      </c>
      <c r="D685" s="43"/>
      <c r="E685" s="76" t="s">
        <v>24</v>
      </c>
      <c r="F685" s="23" t="str">
        <f>IF(H685=-0.33,IF(H683=H$1,H683,""),"")</f>
        <v/>
      </c>
      <c r="G685" s="19"/>
      <c r="H685" s="24">
        <f>IF(H684=1,IF(H683=H$2,1,-0.33),0)</f>
        <v>0</v>
      </c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</row>
    <row r="686" spans="1:40" x14ac:dyDescent="0.2">
      <c r="B686" s="47"/>
      <c r="C686" s="53" t="s">
        <v>501</v>
      </c>
      <c r="D686" s="43"/>
      <c r="E686" s="76" t="s">
        <v>25</v>
      </c>
      <c r="F686" s="20"/>
      <c r="G686" s="19"/>
      <c r="H686" s="2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</row>
    <row r="687" spans="1:40" x14ac:dyDescent="0.2">
      <c r="B687" s="47"/>
      <c r="C687" s="8"/>
      <c r="D687" s="43"/>
      <c r="E687" s="76" t="s">
        <v>26</v>
      </c>
      <c r="F687" s="20"/>
      <c r="G687" s="19"/>
      <c r="H687" s="2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</row>
    <row r="688" spans="1:40" s="17" customFormat="1" x14ac:dyDescent="0.2">
      <c r="A688" s="4"/>
      <c r="B688" s="48">
        <v>7</v>
      </c>
      <c r="C688" s="13" t="s">
        <v>502</v>
      </c>
      <c r="D688" s="44"/>
      <c r="E688" s="71"/>
      <c r="F688" s="16"/>
      <c r="G688" s="15"/>
      <c r="H688" s="15"/>
    </row>
    <row r="689" spans="1:40" x14ac:dyDescent="0.2">
      <c r="B689" s="50"/>
      <c r="C689" s="52" t="s">
        <v>503</v>
      </c>
      <c r="D689" s="43"/>
      <c r="E689" s="76" t="s">
        <v>22</v>
      </c>
      <c r="F689" s="20"/>
      <c r="G689" s="19"/>
      <c r="H689" s="21" t="b">
        <f>IF(D692="x",H$2,H$1)</f>
        <v>0</v>
      </c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</row>
    <row r="690" spans="1:40" x14ac:dyDescent="0.2">
      <c r="B690" s="47"/>
      <c r="C690" s="53" t="s">
        <v>504</v>
      </c>
      <c r="D690" s="43"/>
      <c r="E690" s="76" t="s">
        <v>23</v>
      </c>
      <c r="F690" s="22" t="str">
        <f>IF(H691=1,IF(H689=H$2,H689,""),"")</f>
        <v/>
      </c>
      <c r="G690" s="19"/>
      <c r="H690" s="21" t="str">
        <f>IF(E$712="comprobar",COUNTIF(D689:D693,"x"),"")</f>
        <v/>
      </c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</row>
    <row r="691" spans="1:40" x14ac:dyDescent="0.2">
      <c r="B691" s="47"/>
      <c r="C691" s="53" t="s">
        <v>505</v>
      </c>
      <c r="D691" s="43"/>
      <c r="E691" s="76" t="s">
        <v>24</v>
      </c>
      <c r="F691" s="23" t="str">
        <f>IF(H691=-0.33,IF(H689=H$1,H689,""),"")</f>
        <v/>
      </c>
      <c r="G691" s="19"/>
      <c r="H691" s="24">
        <f>IF(H690=1,IF(H689=H$2,1,-0.33),0)</f>
        <v>0</v>
      </c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</row>
    <row r="692" spans="1:40" x14ac:dyDescent="0.2">
      <c r="B692" s="47"/>
      <c r="C692" s="53" t="s">
        <v>506</v>
      </c>
      <c r="D692" s="43"/>
      <c r="E692" s="76" t="s">
        <v>25</v>
      </c>
      <c r="F692" s="20"/>
      <c r="G692" s="19"/>
      <c r="H692" s="2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</row>
    <row r="693" spans="1:40" x14ac:dyDescent="0.2">
      <c r="B693" s="47"/>
      <c r="C693" s="8"/>
      <c r="D693" s="43"/>
      <c r="E693" s="76" t="s">
        <v>26</v>
      </c>
      <c r="F693" s="20"/>
      <c r="G693" s="19"/>
      <c r="H693" s="2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</row>
    <row r="694" spans="1:40" s="17" customFormat="1" x14ac:dyDescent="0.2">
      <c r="A694" s="4"/>
      <c r="B694" s="48">
        <v>8</v>
      </c>
      <c r="C694" s="13" t="s">
        <v>507</v>
      </c>
      <c r="D694" s="44"/>
      <c r="E694" s="71"/>
      <c r="F694" s="16"/>
      <c r="G694" s="15"/>
      <c r="H694" s="15"/>
    </row>
    <row r="695" spans="1:40" s="4" customFormat="1" x14ac:dyDescent="0.2">
      <c r="B695" s="50"/>
      <c r="C695" s="52" t="s">
        <v>508</v>
      </c>
      <c r="D695" s="43"/>
      <c r="E695" s="76" t="s">
        <v>22</v>
      </c>
      <c r="F695" s="20"/>
      <c r="G695" s="19"/>
      <c r="H695" s="21" t="b">
        <f>IF(D698="x",H$2,H$1)</f>
        <v>0</v>
      </c>
    </row>
    <row r="696" spans="1:40" x14ac:dyDescent="0.2">
      <c r="B696" s="47"/>
      <c r="C696" s="53" t="s">
        <v>509</v>
      </c>
      <c r="D696" s="43"/>
      <c r="E696" s="76" t="s">
        <v>23</v>
      </c>
      <c r="F696" s="22" t="str">
        <f>IF(H697=1,IF(H695=H$2,H695,""),"")</f>
        <v/>
      </c>
      <c r="G696" s="19"/>
      <c r="H696" s="21" t="str">
        <f>IF(E$712="comprobar",COUNTIF(D695:D699,"x"),"")</f>
        <v/>
      </c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</row>
    <row r="697" spans="1:40" x14ac:dyDescent="0.2">
      <c r="B697" s="47"/>
      <c r="C697" s="53" t="s">
        <v>510</v>
      </c>
      <c r="D697" s="43"/>
      <c r="E697" s="76" t="s">
        <v>24</v>
      </c>
      <c r="F697" s="23" t="str">
        <f>IF(H697=-0.33,IF(H695=H$1,H695,""),"")</f>
        <v/>
      </c>
      <c r="G697" s="19"/>
      <c r="H697" s="24">
        <f>IF(H696=1,IF(H695=H$2,1,-0.33),0)</f>
        <v>0</v>
      </c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</row>
    <row r="698" spans="1:40" x14ac:dyDescent="0.2">
      <c r="B698" s="47"/>
      <c r="C698" s="53" t="s">
        <v>406</v>
      </c>
      <c r="D698" s="43"/>
      <c r="E698" s="76" t="s">
        <v>25</v>
      </c>
      <c r="F698" s="20"/>
      <c r="G698" s="19"/>
      <c r="H698" s="2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</row>
    <row r="699" spans="1:40" x14ac:dyDescent="0.2">
      <c r="B699" s="47"/>
      <c r="C699" s="8"/>
      <c r="D699" s="43"/>
      <c r="E699" s="76" t="s">
        <v>26</v>
      </c>
      <c r="F699" s="20"/>
      <c r="G699" s="19"/>
      <c r="H699" s="2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</row>
    <row r="700" spans="1:40" s="17" customFormat="1" x14ac:dyDescent="0.2">
      <c r="A700" s="4"/>
      <c r="B700" s="48">
        <v>9</v>
      </c>
      <c r="C700" s="13" t="s">
        <v>511</v>
      </c>
      <c r="D700" s="44"/>
      <c r="E700" s="71"/>
      <c r="F700" s="16"/>
      <c r="G700" s="15"/>
      <c r="H700" s="15"/>
    </row>
    <row r="701" spans="1:40" s="4" customFormat="1" x14ac:dyDescent="0.2">
      <c r="B701" s="50"/>
      <c r="C701" s="52" t="s">
        <v>512</v>
      </c>
      <c r="D701" s="43"/>
      <c r="E701" s="76" t="s">
        <v>22</v>
      </c>
      <c r="F701" s="20"/>
      <c r="G701" s="19"/>
      <c r="H701" s="21" t="b">
        <f>IF(D703="x",H$2,H$1)</f>
        <v>0</v>
      </c>
    </row>
    <row r="702" spans="1:40" x14ac:dyDescent="0.2">
      <c r="B702" s="47"/>
      <c r="C702" s="53" t="s">
        <v>513</v>
      </c>
      <c r="D702" s="43"/>
      <c r="E702" s="76" t="s">
        <v>23</v>
      </c>
      <c r="F702" s="22" t="str">
        <f>IF(H703=1,IF(H701=H$2,H701,""),"")</f>
        <v/>
      </c>
      <c r="G702" s="19"/>
      <c r="H702" s="21" t="str">
        <f>IF(E$712="comprobar",COUNTIF(D701:D705,"x"),"")</f>
        <v/>
      </c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</row>
    <row r="703" spans="1:40" x14ac:dyDescent="0.2">
      <c r="B703" s="47"/>
      <c r="C703" s="53" t="s">
        <v>514</v>
      </c>
      <c r="D703" s="43"/>
      <c r="E703" s="76" t="s">
        <v>24</v>
      </c>
      <c r="F703" s="23" t="str">
        <f>IF(H703=-0.33,IF(H701=H$1,H701,""),"")</f>
        <v/>
      </c>
      <c r="G703" s="19"/>
      <c r="H703" s="24">
        <f>IF(H702=1,IF(H701=H$2,1,-0.33),0)</f>
        <v>0</v>
      </c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</row>
    <row r="704" spans="1:40" x14ac:dyDescent="0.2">
      <c r="B704" s="47"/>
      <c r="C704" s="53" t="s">
        <v>515</v>
      </c>
      <c r="D704" s="43"/>
      <c r="E704" s="76" t="s">
        <v>25</v>
      </c>
      <c r="F704" s="20"/>
      <c r="G704" s="19"/>
      <c r="H704" s="2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</row>
    <row r="705" spans="1:40" x14ac:dyDescent="0.2">
      <c r="B705" s="47"/>
      <c r="C705" s="8"/>
      <c r="D705" s="43"/>
      <c r="E705" s="76" t="s">
        <v>26</v>
      </c>
      <c r="F705" s="12"/>
      <c r="G705" s="19"/>
      <c r="H705" s="2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</row>
    <row r="706" spans="1:40" s="17" customFormat="1" x14ac:dyDescent="0.2">
      <c r="A706" s="4"/>
      <c r="B706" s="48">
        <v>10</v>
      </c>
      <c r="C706" s="13" t="s">
        <v>516</v>
      </c>
      <c r="D706" s="44"/>
      <c r="E706" s="71"/>
      <c r="F706" s="30"/>
      <c r="G706" s="29"/>
      <c r="H706" s="15"/>
    </row>
    <row r="707" spans="1:40" x14ac:dyDescent="0.2">
      <c r="B707" s="50"/>
      <c r="C707" s="52" t="s">
        <v>517</v>
      </c>
      <c r="D707" s="43"/>
      <c r="E707" s="76" t="s">
        <v>22</v>
      </c>
      <c r="F707" s="27"/>
      <c r="G707" s="26"/>
      <c r="H707" s="21" t="b">
        <f>IF(D708="x",H$2,H$1)</f>
        <v>0</v>
      </c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</row>
    <row r="708" spans="1:40" x14ac:dyDescent="0.2">
      <c r="B708" s="47"/>
      <c r="C708" s="53" t="s">
        <v>518</v>
      </c>
      <c r="D708" s="43"/>
      <c r="E708" s="76" t="s">
        <v>23</v>
      </c>
      <c r="F708" s="22" t="str">
        <f>IF(H709=1,IF(H707=H$2,H707,""),"")</f>
        <v/>
      </c>
      <c r="G708" s="26"/>
      <c r="H708" s="21" t="str">
        <f>IF(E$712="comprobar",COUNTIF(D707:D711,"x"),"")</f>
        <v/>
      </c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</row>
    <row r="709" spans="1:40" x14ac:dyDescent="0.2">
      <c r="B709" s="47"/>
      <c r="C709" s="53" t="s">
        <v>519</v>
      </c>
      <c r="D709" s="43"/>
      <c r="E709" s="76" t="s">
        <v>24</v>
      </c>
      <c r="F709" s="23" t="str">
        <f>IF(H709=-0.33,IF(H707=H$1,H707,""),"")</f>
        <v/>
      </c>
      <c r="G709" s="26"/>
      <c r="H709" s="24">
        <f>IF(H708=1,IF(H707=H$2,1,-0.33),0)</f>
        <v>0</v>
      </c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</row>
    <row r="710" spans="1:40" x14ac:dyDescent="0.2">
      <c r="B710" s="47"/>
      <c r="C710" s="53" t="s">
        <v>520</v>
      </c>
      <c r="D710" s="43"/>
      <c r="E710" s="76" t="s">
        <v>25</v>
      </c>
      <c r="F710" s="28"/>
      <c r="G710" s="26"/>
      <c r="H710" s="2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</row>
    <row r="711" spans="1:40" x14ac:dyDescent="0.2">
      <c r="B711" s="47"/>
      <c r="C711" s="8"/>
      <c r="D711" s="43"/>
      <c r="E711" s="76" t="s">
        <v>26</v>
      </c>
      <c r="F711" s="28"/>
      <c r="G711" s="26"/>
      <c r="H711" s="2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</row>
    <row r="712" spans="1:40" x14ac:dyDescent="0.2">
      <c r="B712" s="50"/>
      <c r="C712" s="46"/>
      <c r="D712" s="65"/>
      <c r="E712" s="73"/>
      <c r="F712" s="20"/>
      <c r="G712" s="19"/>
      <c r="H712" s="19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</row>
    <row r="713" spans="1:40" x14ac:dyDescent="0.2">
      <c r="B713" s="50"/>
      <c r="C713" s="18"/>
      <c r="D713" s="65"/>
      <c r="E713" s="78"/>
      <c r="F713" s="31" t="s">
        <v>8</v>
      </c>
      <c r="G713" s="19" t="s">
        <v>6</v>
      </c>
      <c r="H713" s="19" t="s">
        <v>7</v>
      </c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</row>
    <row r="714" spans="1:40" ht="20" x14ac:dyDescent="0.2">
      <c r="B714" s="50"/>
      <c r="C714" s="18"/>
      <c r="D714" s="63"/>
      <c r="E714" s="70"/>
      <c r="F714" s="32" t="str">
        <f>IF(E712="comprobar",H709+H703+H697+H691+H685+H679+H673+H667+H661+H655,"")</f>
        <v/>
      </c>
      <c r="G714" s="19">
        <f>10/2</f>
        <v>5</v>
      </c>
      <c r="H714" s="19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</row>
    <row r="715" spans="1:40" ht="17" thickBot="1" x14ac:dyDescent="0.25">
      <c r="B715" s="51"/>
      <c r="C715" s="33"/>
      <c r="D715" s="34"/>
      <c r="E715" s="74"/>
      <c r="F715" s="35" t="str">
        <f>IF(F714&gt;G714,G713,H713)</f>
        <v>APROBADO</v>
      </c>
      <c r="G715" s="19"/>
      <c r="H715" s="19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</row>
    <row r="716" spans="1:40" ht="29" x14ac:dyDescent="0.35">
      <c r="B716" s="87" t="s">
        <v>78</v>
      </c>
      <c r="C716" s="112" t="s">
        <v>21</v>
      </c>
      <c r="D716" s="112"/>
      <c r="E716" s="112"/>
      <c r="F716" s="113"/>
      <c r="G716" s="19"/>
      <c r="H716" s="19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</row>
    <row r="717" spans="1:40" x14ac:dyDescent="0.2">
      <c r="B717" s="88" t="s">
        <v>521</v>
      </c>
      <c r="C717" s="89"/>
      <c r="D717" s="14"/>
      <c r="E717" s="71"/>
      <c r="F717" s="16"/>
      <c r="G717" s="15"/>
      <c r="H717" s="15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</row>
    <row r="718" spans="1:40" x14ac:dyDescent="0.2">
      <c r="B718" s="90" t="s">
        <v>531</v>
      </c>
      <c r="C718" s="91"/>
      <c r="D718" s="43"/>
      <c r="E718" s="72" t="s">
        <v>22</v>
      </c>
      <c r="F718" s="20"/>
      <c r="G718" s="19"/>
      <c r="H718" s="21" t="b">
        <f>IF(D721="x",H$2,H$1)</f>
        <v>0</v>
      </c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</row>
    <row r="719" spans="1:40" x14ac:dyDescent="0.2">
      <c r="B719" s="92" t="s">
        <v>532</v>
      </c>
      <c r="C719" s="93"/>
      <c r="D719" s="43"/>
      <c r="E719" s="72" t="s">
        <v>23</v>
      </c>
      <c r="F719" s="22" t="str">
        <f>IF(H720=1,IF(H718=H$2,H718,""),"")</f>
        <v/>
      </c>
      <c r="G719" s="19"/>
      <c r="H719" s="21" t="str">
        <f>IF(E$777="comprobar",COUNTIF(D718:D722,"x"),"")</f>
        <v/>
      </c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</row>
    <row r="720" spans="1:40" x14ac:dyDescent="0.2">
      <c r="B720" s="92" t="s">
        <v>533</v>
      </c>
      <c r="C720" s="93"/>
      <c r="D720" s="43"/>
      <c r="E720" s="72" t="s">
        <v>24</v>
      </c>
      <c r="F720" s="23" t="str">
        <f>IF(H720=-0.33,IF(H718=H$1,H718,""),"")</f>
        <v/>
      </c>
      <c r="G720" s="19"/>
      <c r="H720" s="24">
        <f>IF(H719=1,IF(H718=H$2,1,-0.33),0)</f>
        <v>0</v>
      </c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</row>
    <row r="721" spans="2:40" x14ac:dyDescent="0.2">
      <c r="B721" s="92" t="s">
        <v>559</v>
      </c>
      <c r="C721" s="93"/>
      <c r="D721" s="43"/>
      <c r="E721" s="72" t="s">
        <v>25</v>
      </c>
      <c r="F721" s="20"/>
      <c r="G721" s="19"/>
      <c r="H721" s="2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</row>
    <row r="722" spans="2:40" x14ac:dyDescent="0.2">
      <c r="B722" s="92"/>
      <c r="C722" s="94"/>
      <c r="D722" s="43"/>
      <c r="E722" s="72" t="s">
        <v>26</v>
      </c>
      <c r="F722" s="20"/>
      <c r="G722" s="19"/>
      <c r="H722" s="2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</row>
    <row r="723" spans="2:40" x14ac:dyDescent="0.2">
      <c r="B723" s="88" t="s">
        <v>522</v>
      </c>
      <c r="C723" s="89"/>
      <c r="D723" s="44"/>
      <c r="E723" s="71"/>
      <c r="F723" s="16"/>
      <c r="G723" s="15"/>
      <c r="H723" s="15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</row>
    <row r="724" spans="2:40" x14ac:dyDescent="0.2">
      <c r="B724" s="90" t="s">
        <v>534</v>
      </c>
      <c r="C724" s="91"/>
      <c r="D724" s="43"/>
      <c r="E724" s="72" t="s">
        <v>22</v>
      </c>
      <c r="F724" s="20"/>
      <c r="G724" s="19"/>
      <c r="H724" s="21" t="b">
        <f>IF(D725="x",H$2,H$1)</f>
        <v>0</v>
      </c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</row>
    <row r="725" spans="2:40" x14ac:dyDescent="0.2">
      <c r="B725" s="92" t="s">
        <v>560</v>
      </c>
      <c r="C725" s="93"/>
      <c r="D725" s="43"/>
      <c r="E725" s="72" t="s">
        <v>23</v>
      </c>
      <c r="F725" s="22" t="str">
        <f>IF(H726=1,IF(H724=H$2,H724,""),"")</f>
        <v/>
      </c>
      <c r="G725" s="19"/>
      <c r="H725" s="21" t="str">
        <f>IF(E$777="comprobar",COUNTIF(D724:D728,"x"),"")</f>
        <v/>
      </c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</row>
    <row r="726" spans="2:40" x14ac:dyDescent="0.2">
      <c r="B726" s="92" t="s">
        <v>535</v>
      </c>
      <c r="C726" s="93"/>
      <c r="D726" s="43"/>
      <c r="E726" s="72" t="s">
        <v>24</v>
      </c>
      <c r="F726" s="23" t="str">
        <f>IF(H726=-0.33,IF(H724=H$1,H724,""),"")</f>
        <v/>
      </c>
      <c r="G726" s="19"/>
      <c r="H726" s="24">
        <f>IF(H725=1,IF(H724=H$2,1,-0.33),0)</f>
        <v>0</v>
      </c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</row>
    <row r="727" spans="2:40" x14ac:dyDescent="0.2">
      <c r="B727" s="92" t="s">
        <v>536</v>
      </c>
      <c r="C727" s="93"/>
      <c r="D727" s="43"/>
      <c r="E727" s="72" t="s">
        <v>25</v>
      </c>
      <c r="F727" s="20"/>
      <c r="G727" s="19"/>
      <c r="H727" s="2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</row>
    <row r="728" spans="2:40" x14ac:dyDescent="0.2">
      <c r="B728" s="92"/>
      <c r="C728" s="94"/>
      <c r="D728" s="43"/>
      <c r="E728" s="72" t="s">
        <v>26</v>
      </c>
      <c r="F728" s="20"/>
      <c r="G728" s="19"/>
      <c r="H728" s="2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</row>
    <row r="729" spans="2:40" x14ac:dyDescent="0.2">
      <c r="B729" s="88" t="s">
        <v>523</v>
      </c>
      <c r="C729" s="95"/>
      <c r="D729" s="44"/>
      <c r="E729" s="71"/>
      <c r="F729" s="16"/>
      <c r="G729" s="15"/>
      <c r="H729" s="15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</row>
    <row r="730" spans="2:40" x14ac:dyDescent="0.2">
      <c r="B730" s="90" t="s">
        <v>537</v>
      </c>
      <c r="C730" s="91"/>
      <c r="D730" s="43"/>
      <c r="E730" s="72" t="s">
        <v>22</v>
      </c>
      <c r="F730" s="20"/>
      <c r="G730" s="19"/>
      <c r="H730" s="21" t="b">
        <f>IF(D731="x",H$2,H$1)</f>
        <v>0</v>
      </c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</row>
    <row r="731" spans="2:40" x14ac:dyDescent="0.2">
      <c r="B731" s="92" t="s">
        <v>561</v>
      </c>
      <c r="C731" s="93"/>
      <c r="D731" s="43"/>
      <c r="E731" s="72" t="s">
        <v>23</v>
      </c>
      <c r="F731" s="22" t="str">
        <f>IF(H732=1,IF(H730=H$2,H730,""),"")</f>
        <v/>
      </c>
      <c r="G731" s="19"/>
      <c r="H731" s="21" t="str">
        <f>IF(E$777="comprobar",COUNTIF(D730:D734,"x"),"")</f>
        <v/>
      </c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</row>
    <row r="732" spans="2:40" x14ac:dyDescent="0.2">
      <c r="B732" s="92" t="s">
        <v>538</v>
      </c>
      <c r="C732" s="93"/>
      <c r="D732" s="43"/>
      <c r="E732" s="72" t="s">
        <v>24</v>
      </c>
      <c r="F732" s="23" t="str">
        <f>IF(H732=-0.33,IF(H730=H$1,H730,""),"")</f>
        <v/>
      </c>
      <c r="G732" s="19"/>
      <c r="H732" s="24">
        <f>IF(H731=1,IF(H730=H$2,1,-0.33),0)</f>
        <v>0</v>
      </c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</row>
    <row r="733" spans="2:40" x14ac:dyDescent="0.2">
      <c r="B733" s="92" t="s">
        <v>539</v>
      </c>
      <c r="C733" s="93"/>
      <c r="D733" s="43"/>
      <c r="E733" s="72" t="s">
        <v>25</v>
      </c>
      <c r="F733" s="20"/>
      <c r="G733" s="19"/>
      <c r="H733" s="2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</row>
    <row r="734" spans="2:40" x14ac:dyDescent="0.2">
      <c r="B734" s="92"/>
      <c r="C734" s="94"/>
      <c r="D734" s="43"/>
      <c r="E734" s="72" t="s">
        <v>26</v>
      </c>
      <c r="F734" s="20"/>
      <c r="G734" s="19"/>
      <c r="H734" s="2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</row>
    <row r="735" spans="2:40" x14ac:dyDescent="0.2">
      <c r="B735" s="88" t="s">
        <v>524</v>
      </c>
      <c r="C735" s="89"/>
      <c r="D735" s="44"/>
      <c r="E735" s="71"/>
      <c r="F735" s="16"/>
      <c r="G735" s="15"/>
      <c r="H735" s="15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</row>
    <row r="736" spans="2:40" x14ac:dyDescent="0.2">
      <c r="B736" s="90" t="s">
        <v>540</v>
      </c>
      <c r="C736" s="91"/>
      <c r="D736" s="43"/>
      <c r="E736" s="72" t="s">
        <v>22</v>
      </c>
      <c r="F736" s="20"/>
      <c r="G736" s="19"/>
      <c r="H736" s="21" t="b">
        <f>IF(D737="x",H$2,H$1)</f>
        <v>0</v>
      </c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</row>
    <row r="737" spans="2:40" x14ac:dyDescent="0.2">
      <c r="B737" s="92" t="s">
        <v>562</v>
      </c>
      <c r="C737" s="93"/>
      <c r="D737" s="43"/>
      <c r="E737" s="72" t="s">
        <v>23</v>
      </c>
      <c r="F737" s="22" t="str">
        <f>IF(H738=1,IF(H736=H$2,H736,""),"")</f>
        <v/>
      </c>
      <c r="G737" s="19"/>
      <c r="H737" s="21" t="str">
        <f>IF(E$777="comprobar",COUNTIF(D736:D740,"x"),"")</f>
        <v/>
      </c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</row>
    <row r="738" spans="2:40" x14ac:dyDescent="0.2">
      <c r="B738" s="92" t="s">
        <v>541</v>
      </c>
      <c r="C738" s="93"/>
      <c r="D738" s="43"/>
      <c r="E738" s="72" t="s">
        <v>24</v>
      </c>
      <c r="F738" s="23" t="str">
        <f>IF(H738=-0.33,IF(H736=H$1,H736,""),"")</f>
        <v/>
      </c>
      <c r="G738" s="19"/>
      <c r="H738" s="24">
        <f>IF(H737=1,IF(H736=H$2,1,-0.33),0)</f>
        <v>0</v>
      </c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</row>
    <row r="739" spans="2:40" x14ac:dyDescent="0.2">
      <c r="B739" s="92" t="s">
        <v>542</v>
      </c>
      <c r="C739" s="93"/>
      <c r="D739" s="43"/>
      <c r="E739" s="72" t="s">
        <v>25</v>
      </c>
      <c r="F739" s="20"/>
      <c r="G739" s="19"/>
      <c r="H739" s="2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</row>
    <row r="740" spans="2:40" x14ac:dyDescent="0.2">
      <c r="B740" s="92"/>
      <c r="C740" s="94"/>
      <c r="D740" s="43"/>
      <c r="E740" s="72" t="s">
        <v>26</v>
      </c>
      <c r="F740" s="20"/>
      <c r="G740" s="19"/>
      <c r="H740" s="2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</row>
    <row r="741" spans="2:40" x14ac:dyDescent="0.2">
      <c r="B741" s="88" t="s">
        <v>525</v>
      </c>
      <c r="C741" s="89"/>
      <c r="D741" s="44"/>
      <c r="E741" s="71"/>
      <c r="F741" s="16"/>
      <c r="G741" s="15"/>
      <c r="H741" s="15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</row>
    <row r="742" spans="2:40" x14ac:dyDescent="0.2">
      <c r="B742" s="90" t="s">
        <v>543</v>
      </c>
      <c r="C742" s="91"/>
      <c r="D742" s="43"/>
      <c r="E742" s="72" t="s">
        <v>22</v>
      </c>
      <c r="F742" s="20"/>
      <c r="G742" s="19"/>
      <c r="H742" s="21" t="b">
        <f>IF(D743="x",H$2,H$1)</f>
        <v>0</v>
      </c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</row>
    <row r="743" spans="2:40" x14ac:dyDescent="0.2">
      <c r="B743" s="92" t="s">
        <v>563</v>
      </c>
      <c r="C743" s="93"/>
      <c r="D743" s="43"/>
      <c r="E743" s="72" t="s">
        <v>23</v>
      </c>
      <c r="F743" s="22" t="str">
        <f>IF(H744=1,IF(H742=H$2,H742,""),"")</f>
        <v/>
      </c>
      <c r="G743" s="19"/>
      <c r="H743" s="21" t="str">
        <f>IF(E$777="comprobar",COUNTIF(D742:D746,"x"),"")</f>
        <v/>
      </c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</row>
    <row r="744" spans="2:40" x14ac:dyDescent="0.2">
      <c r="B744" s="92" t="s">
        <v>544</v>
      </c>
      <c r="C744" s="93"/>
      <c r="D744" s="43"/>
      <c r="E744" s="72" t="s">
        <v>24</v>
      </c>
      <c r="F744" s="23" t="str">
        <f>IF(H744=-0.33,IF(H742=H$1,H742,""),"")</f>
        <v/>
      </c>
      <c r="G744" s="19"/>
      <c r="H744" s="24">
        <f>IF(H743=1,IF(H742=H$2,1,-0.33),0)</f>
        <v>0</v>
      </c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</row>
    <row r="745" spans="2:40" x14ac:dyDescent="0.2">
      <c r="B745" s="92" t="s">
        <v>545</v>
      </c>
      <c r="C745" s="93"/>
      <c r="D745" s="43"/>
      <c r="E745" s="72" t="s">
        <v>25</v>
      </c>
      <c r="F745" s="20"/>
      <c r="G745" s="19"/>
      <c r="H745" s="2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</row>
    <row r="746" spans="2:40" x14ac:dyDescent="0.2">
      <c r="B746" s="92"/>
      <c r="C746" s="94"/>
      <c r="D746" s="43"/>
      <c r="E746" s="72" t="s">
        <v>26</v>
      </c>
      <c r="F746" s="20"/>
      <c r="G746" s="19"/>
      <c r="H746" s="2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</row>
    <row r="747" spans="2:40" x14ac:dyDescent="0.2">
      <c r="B747" s="88" t="s">
        <v>526</v>
      </c>
      <c r="C747" s="89"/>
      <c r="D747" s="44"/>
      <c r="E747" s="71"/>
      <c r="F747" s="16"/>
      <c r="G747" s="15"/>
      <c r="H747" s="15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</row>
    <row r="748" spans="2:40" x14ac:dyDescent="0.2">
      <c r="B748" s="90" t="s">
        <v>546</v>
      </c>
      <c r="C748" s="91"/>
      <c r="D748" s="43"/>
      <c r="E748" s="72" t="s">
        <v>22</v>
      </c>
      <c r="F748" s="20"/>
      <c r="G748" s="19"/>
      <c r="H748" s="21" t="b">
        <f>IF(D751="x",H$2,H$1)</f>
        <v>0</v>
      </c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</row>
    <row r="749" spans="2:40" x14ac:dyDescent="0.2">
      <c r="B749" s="92" t="s">
        <v>547</v>
      </c>
      <c r="C749" s="93"/>
      <c r="D749" s="43"/>
      <c r="E749" s="72" t="s">
        <v>23</v>
      </c>
      <c r="F749" s="22" t="str">
        <f>IF(H750=1,IF(H748=H$2,H748,""),"")</f>
        <v/>
      </c>
      <c r="G749" s="19"/>
      <c r="H749" s="21" t="str">
        <f>IF(E$777="comprobar",COUNTIF(D748:D752,"x"),"")</f>
        <v/>
      </c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</row>
    <row r="750" spans="2:40" x14ac:dyDescent="0.2">
      <c r="B750" s="92" t="s">
        <v>548</v>
      </c>
      <c r="C750" s="93"/>
      <c r="D750" s="43"/>
      <c r="E750" s="72" t="s">
        <v>24</v>
      </c>
      <c r="F750" s="23" t="str">
        <f>IF(H750=-0.33,IF(H748=H$1,H748,""),"")</f>
        <v/>
      </c>
      <c r="G750" s="19"/>
      <c r="H750" s="24">
        <f>IF(H749=1,IF(H748=H$2,1,-0.33),0)</f>
        <v>0</v>
      </c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</row>
    <row r="751" spans="2:40" x14ac:dyDescent="0.2">
      <c r="B751" s="92" t="s">
        <v>564</v>
      </c>
      <c r="C751" s="93"/>
      <c r="D751" s="43"/>
      <c r="E751" s="72" t="s">
        <v>25</v>
      </c>
      <c r="F751" s="20"/>
      <c r="G751" s="19"/>
      <c r="H751" s="2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</row>
    <row r="752" spans="2:40" x14ac:dyDescent="0.2">
      <c r="B752" s="92"/>
      <c r="C752" s="94"/>
      <c r="D752" s="43"/>
      <c r="E752" s="72" t="s">
        <v>26</v>
      </c>
      <c r="F752" s="20"/>
      <c r="G752" s="19"/>
      <c r="H752" s="2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</row>
    <row r="753" spans="2:40" x14ac:dyDescent="0.2">
      <c r="B753" s="88" t="s">
        <v>527</v>
      </c>
      <c r="C753" s="89"/>
      <c r="D753" s="44"/>
      <c r="E753" s="71"/>
      <c r="F753" s="16"/>
      <c r="G753" s="15"/>
      <c r="H753" s="15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</row>
    <row r="754" spans="2:40" x14ac:dyDescent="0.2">
      <c r="B754" s="90" t="s">
        <v>549</v>
      </c>
      <c r="C754" s="91"/>
      <c r="D754" s="43"/>
      <c r="E754" s="72" t="s">
        <v>22</v>
      </c>
      <c r="F754" s="20"/>
      <c r="G754" s="19"/>
      <c r="H754" s="21" t="b">
        <f>IF(D755="x",H$2,H$1)</f>
        <v>0</v>
      </c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</row>
    <row r="755" spans="2:40" x14ac:dyDescent="0.2">
      <c r="B755" s="92" t="s">
        <v>565</v>
      </c>
      <c r="C755" s="93"/>
      <c r="D755" s="43"/>
      <c r="E755" s="72" t="s">
        <v>23</v>
      </c>
      <c r="F755" s="22" t="str">
        <f>IF(H756=1,IF(H754=H$2,H754,""),"")</f>
        <v/>
      </c>
      <c r="G755" s="19"/>
      <c r="H755" s="21" t="str">
        <f>IF(E$777="comprobar",COUNTIF(D754:D758,"x"),"")</f>
        <v/>
      </c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</row>
    <row r="756" spans="2:40" x14ac:dyDescent="0.2">
      <c r="B756" s="92" t="s">
        <v>550</v>
      </c>
      <c r="C756" s="93"/>
      <c r="D756" s="43"/>
      <c r="E756" s="72" t="s">
        <v>24</v>
      </c>
      <c r="F756" s="23" t="str">
        <f>IF(H756=-0.33,IF(H754=H$1,H754,""),"")</f>
        <v/>
      </c>
      <c r="G756" s="19"/>
      <c r="H756" s="24">
        <f>IF(H755=1,IF(H754=H$2,1,-0.33),0)</f>
        <v>0</v>
      </c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</row>
    <row r="757" spans="2:40" x14ac:dyDescent="0.2">
      <c r="B757" s="92" t="s">
        <v>551</v>
      </c>
      <c r="C757" s="93"/>
      <c r="D757" s="43"/>
      <c r="E757" s="72" t="s">
        <v>25</v>
      </c>
      <c r="F757" s="20"/>
      <c r="G757" s="19"/>
      <c r="H757" s="2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</row>
    <row r="758" spans="2:40" x14ac:dyDescent="0.2">
      <c r="B758" s="92"/>
      <c r="C758" s="94"/>
      <c r="D758" s="43"/>
      <c r="E758" s="72" t="s">
        <v>26</v>
      </c>
      <c r="F758" s="20"/>
      <c r="G758" s="19"/>
      <c r="H758" s="2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</row>
    <row r="759" spans="2:40" x14ac:dyDescent="0.2">
      <c r="B759" s="88" t="s">
        <v>528</v>
      </c>
      <c r="C759" s="89"/>
      <c r="D759" s="44"/>
      <c r="E759" s="71"/>
      <c r="F759" s="16"/>
      <c r="G759" s="15"/>
      <c r="H759" s="15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</row>
    <row r="760" spans="2:40" x14ac:dyDescent="0.2">
      <c r="B760" s="90" t="s">
        <v>552</v>
      </c>
      <c r="C760" s="91"/>
      <c r="D760" s="43"/>
      <c r="E760" s="72" t="s">
        <v>22</v>
      </c>
      <c r="F760" s="20"/>
      <c r="G760" s="19"/>
      <c r="H760" s="21" t="b">
        <f>IF(D761="x",H$2,H$1)</f>
        <v>0</v>
      </c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</row>
    <row r="761" spans="2:40" x14ac:dyDescent="0.2">
      <c r="B761" s="92" t="s">
        <v>566</v>
      </c>
      <c r="C761" s="93"/>
      <c r="D761" s="43"/>
      <c r="E761" s="72" t="s">
        <v>23</v>
      </c>
      <c r="F761" s="22" t="str">
        <f>IF(H762=1,IF(H760=H$2,H760,""),"")</f>
        <v/>
      </c>
      <c r="G761" s="19"/>
      <c r="H761" s="21" t="str">
        <f>IF(E$777="comprobar",COUNTIF(D760:D764,"x"),"")</f>
        <v/>
      </c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</row>
    <row r="762" spans="2:40" x14ac:dyDescent="0.2">
      <c r="B762" s="92" t="s">
        <v>540</v>
      </c>
      <c r="C762" s="93"/>
      <c r="D762" s="43"/>
      <c r="E762" s="72" t="s">
        <v>24</v>
      </c>
      <c r="F762" s="23" t="str">
        <f>IF(H762=-0.33,IF(H760=H$1,H760,""),"")</f>
        <v/>
      </c>
      <c r="G762" s="19"/>
      <c r="H762" s="24">
        <f>IF(H761=1,IF(H760=H$2,1,-0.33),0)</f>
        <v>0</v>
      </c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</row>
    <row r="763" spans="2:40" x14ac:dyDescent="0.2">
      <c r="B763" s="92" t="s">
        <v>553</v>
      </c>
      <c r="C763" s="93"/>
      <c r="D763" s="43"/>
      <c r="E763" s="72" t="s">
        <v>25</v>
      </c>
      <c r="F763" s="20"/>
      <c r="G763" s="19"/>
      <c r="H763" s="2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</row>
    <row r="764" spans="2:40" x14ac:dyDescent="0.2">
      <c r="B764" s="92"/>
      <c r="C764" s="94"/>
      <c r="D764" s="43"/>
      <c r="E764" s="72" t="s">
        <v>26</v>
      </c>
      <c r="F764" s="20"/>
      <c r="G764" s="19"/>
      <c r="H764" s="2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</row>
    <row r="765" spans="2:40" x14ac:dyDescent="0.2">
      <c r="B765" s="88" t="s">
        <v>529</v>
      </c>
      <c r="C765" s="89"/>
      <c r="D765" s="44"/>
      <c r="E765" s="71"/>
      <c r="F765" s="16"/>
      <c r="G765" s="15"/>
      <c r="H765" s="15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</row>
    <row r="766" spans="2:40" x14ac:dyDescent="0.2">
      <c r="B766" s="90" t="s">
        <v>554</v>
      </c>
      <c r="C766" s="91"/>
      <c r="D766" s="43"/>
      <c r="E766" s="72" t="s">
        <v>22</v>
      </c>
      <c r="F766" s="20"/>
      <c r="G766" s="19"/>
      <c r="H766" s="21" t="b">
        <f>IF(D767="x",H$2,H$1)</f>
        <v>0</v>
      </c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</row>
    <row r="767" spans="2:40" x14ac:dyDescent="0.2">
      <c r="B767" s="92" t="s">
        <v>567</v>
      </c>
      <c r="C767" s="93"/>
      <c r="D767" s="43"/>
      <c r="E767" s="72" t="s">
        <v>23</v>
      </c>
      <c r="F767" s="22" t="str">
        <f>IF(H768=1,IF(H766=H$2,H766,""),"")</f>
        <v/>
      </c>
      <c r="G767" s="19"/>
      <c r="H767" s="21" t="str">
        <f>IF(E$777="comprobar",COUNTIF(D766:D770,"x"),"")</f>
        <v/>
      </c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</row>
    <row r="768" spans="2:40" x14ac:dyDescent="0.2">
      <c r="B768" s="92" t="s">
        <v>555</v>
      </c>
      <c r="C768" s="93"/>
      <c r="D768" s="43"/>
      <c r="E768" s="72" t="s">
        <v>24</v>
      </c>
      <c r="F768" s="23" t="str">
        <f>IF(H768=-0.33,IF(H766=H$1,H766,""),"")</f>
        <v/>
      </c>
      <c r="G768" s="19"/>
      <c r="H768" s="24">
        <f>IF(H767=1,IF(H766=H$2,1,-0.33),0)</f>
        <v>0</v>
      </c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</row>
    <row r="769" spans="2:40" x14ac:dyDescent="0.2">
      <c r="B769" s="92" t="s">
        <v>536</v>
      </c>
      <c r="C769" s="93"/>
      <c r="D769" s="43"/>
      <c r="E769" s="72" t="s">
        <v>25</v>
      </c>
      <c r="F769" s="20"/>
      <c r="G769" s="19"/>
      <c r="H769" s="2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</row>
    <row r="770" spans="2:40" x14ac:dyDescent="0.2">
      <c r="B770" s="92"/>
      <c r="C770" s="94"/>
      <c r="D770" s="43"/>
      <c r="E770" s="72" t="s">
        <v>26</v>
      </c>
      <c r="F770" s="12"/>
      <c r="G770" s="19"/>
      <c r="H770" s="2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</row>
    <row r="771" spans="2:40" x14ac:dyDescent="0.2">
      <c r="B771" s="88" t="s">
        <v>530</v>
      </c>
      <c r="C771" s="89"/>
      <c r="D771" s="44"/>
      <c r="E771" s="71"/>
      <c r="F771" s="30"/>
      <c r="G771" s="29"/>
      <c r="H771" s="15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</row>
    <row r="772" spans="2:40" x14ac:dyDescent="0.2">
      <c r="B772" s="90" t="s">
        <v>556</v>
      </c>
      <c r="C772" s="91"/>
      <c r="D772" s="43"/>
      <c r="E772" s="72" t="s">
        <v>22</v>
      </c>
      <c r="F772" s="27"/>
      <c r="G772" s="26"/>
      <c r="H772" s="21" t="b">
        <f>IF(D774="x",H$2,H$1)</f>
        <v>0</v>
      </c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</row>
    <row r="773" spans="2:40" x14ac:dyDescent="0.2">
      <c r="B773" s="92" t="s">
        <v>557</v>
      </c>
      <c r="C773" s="93"/>
      <c r="D773" s="43"/>
      <c r="E773" s="72" t="s">
        <v>23</v>
      </c>
      <c r="F773" s="22" t="str">
        <f>IF(H774=1,IF(H772=H$2,H772,""),"")</f>
        <v/>
      </c>
      <c r="G773" s="26"/>
      <c r="H773" s="21" t="str">
        <f>IF(E$777="comprobar",COUNTIF(D772:D776,"x"),"")</f>
        <v/>
      </c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</row>
    <row r="774" spans="2:40" x14ac:dyDescent="0.2">
      <c r="B774" s="92" t="s">
        <v>568</v>
      </c>
      <c r="C774" s="93"/>
      <c r="D774" s="43"/>
      <c r="E774" s="72" t="s">
        <v>24</v>
      </c>
      <c r="F774" s="23" t="str">
        <f>IF(H774=-0.33,IF(H772=H$1,H772,""),"")</f>
        <v/>
      </c>
      <c r="G774" s="26"/>
      <c r="H774" s="24">
        <f>IF(H773=1,IF(H772=H$2,1,-0.33),0)</f>
        <v>0</v>
      </c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</row>
    <row r="775" spans="2:40" x14ac:dyDescent="0.2">
      <c r="B775" s="92" t="s">
        <v>558</v>
      </c>
      <c r="C775" s="93"/>
      <c r="D775" s="43"/>
      <c r="E775" s="72" t="s">
        <v>25</v>
      </c>
      <c r="F775" s="28"/>
      <c r="G775" s="26"/>
      <c r="H775" s="2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</row>
    <row r="776" spans="2:40" x14ac:dyDescent="0.2">
      <c r="B776" s="92"/>
      <c r="C776" s="94"/>
      <c r="D776" s="43"/>
      <c r="E776" s="72" t="s">
        <v>26</v>
      </c>
      <c r="F776" s="28"/>
      <c r="G776" s="26"/>
      <c r="H776" s="2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</row>
    <row r="777" spans="2:40" x14ac:dyDescent="0.2">
      <c r="B777" s="90"/>
      <c r="C777" s="96"/>
      <c r="D777" s="65"/>
      <c r="E777" s="73"/>
      <c r="F777" s="20"/>
      <c r="G777" s="19"/>
      <c r="H777" s="19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</row>
    <row r="778" spans="2:40" x14ac:dyDescent="0.2">
      <c r="B778" s="50"/>
      <c r="C778" s="18"/>
      <c r="D778" s="65"/>
      <c r="E778" s="78"/>
      <c r="F778" s="31" t="s">
        <v>8</v>
      </c>
      <c r="G778" s="19" t="s">
        <v>6</v>
      </c>
      <c r="H778" s="19" t="s">
        <v>7</v>
      </c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</row>
    <row r="779" spans="2:40" ht="20" x14ac:dyDescent="0.2">
      <c r="B779" s="50"/>
      <c r="C779" s="18"/>
      <c r="D779" s="63"/>
      <c r="E779" s="70"/>
      <c r="F779" s="32" t="str">
        <f>IF(E777="comprobar",H774+H768+H762+H756+H750+H744+H738+H732+H726+H720,"")</f>
        <v/>
      </c>
      <c r="G779" s="19">
        <f>10/2</f>
        <v>5</v>
      </c>
      <c r="H779" s="19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</row>
    <row r="780" spans="2:40" ht="17" thickBot="1" x14ac:dyDescent="0.25">
      <c r="B780" s="51"/>
      <c r="C780" s="33"/>
      <c r="D780" s="34"/>
      <c r="E780" s="74"/>
      <c r="F780" s="35" t="str">
        <f>IF(F779&gt;G779,G778,H778)</f>
        <v>APROBADO</v>
      </c>
      <c r="G780" s="19"/>
      <c r="H780" s="19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</row>
    <row r="781" spans="2:40" ht="29" x14ac:dyDescent="0.35">
      <c r="B781" s="87" t="s">
        <v>78</v>
      </c>
      <c r="C781" s="112" t="s">
        <v>27</v>
      </c>
      <c r="D781" s="112"/>
      <c r="E781" s="112"/>
      <c r="F781" s="113"/>
      <c r="G781" s="19"/>
      <c r="H781" s="19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</row>
    <row r="782" spans="2:40" x14ac:dyDescent="0.2">
      <c r="B782" s="88" t="s">
        <v>569</v>
      </c>
      <c r="C782" s="89"/>
      <c r="D782" s="14"/>
      <c r="E782" s="71"/>
      <c r="F782" s="16"/>
      <c r="G782" s="15"/>
      <c r="H782" s="15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</row>
    <row r="783" spans="2:40" x14ac:dyDescent="0.2">
      <c r="B783" s="90" t="s">
        <v>584</v>
      </c>
      <c r="C783" s="91"/>
      <c r="D783" s="43"/>
      <c r="E783" s="72" t="s">
        <v>22</v>
      </c>
      <c r="F783" s="20"/>
      <c r="G783" s="19"/>
      <c r="H783" s="21" t="b">
        <f>IF(D784="x",H$2,H$1)</f>
        <v>0</v>
      </c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</row>
    <row r="784" spans="2:40" x14ac:dyDescent="0.2">
      <c r="B784" s="92" t="s">
        <v>585</v>
      </c>
      <c r="C784" s="93"/>
      <c r="D784" s="43"/>
      <c r="E784" s="72" t="s">
        <v>23</v>
      </c>
      <c r="F784" s="22" t="str">
        <f>IF(H785=1,IF(H783=H$2,H783,""),"")</f>
        <v/>
      </c>
      <c r="G784" s="19"/>
      <c r="H784" s="21" t="str">
        <f>IF(E$842="comprobar",COUNTIF(D783:D787,"x"),"")</f>
        <v/>
      </c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</row>
    <row r="785" spans="2:40" x14ac:dyDescent="0.2">
      <c r="B785" s="92" t="s">
        <v>586</v>
      </c>
      <c r="C785" s="93"/>
      <c r="D785" s="43"/>
      <c r="E785" s="72" t="s">
        <v>24</v>
      </c>
      <c r="F785" s="23" t="str">
        <f>IF(H785=-0.33,IF(H783=H$1,H783,""),"")</f>
        <v/>
      </c>
      <c r="G785" s="19"/>
      <c r="H785" s="24">
        <f>IF(H784=1,IF(H783=H$2,1,-0.33),0)</f>
        <v>0</v>
      </c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</row>
    <row r="786" spans="2:40" x14ac:dyDescent="0.2">
      <c r="B786" s="92" t="s">
        <v>587</v>
      </c>
      <c r="C786" s="93"/>
      <c r="D786" s="43"/>
      <c r="E786" s="72" t="s">
        <v>25</v>
      </c>
      <c r="F786" s="20"/>
      <c r="G786" s="19"/>
      <c r="H786" s="2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</row>
    <row r="787" spans="2:40" x14ac:dyDescent="0.2">
      <c r="B787" s="92"/>
      <c r="C787" s="94"/>
      <c r="D787" s="43"/>
      <c r="E787" s="72" t="s">
        <v>26</v>
      </c>
      <c r="F787" s="20"/>
      <c r="G787" s="19"/>
      <c r="H787" s="2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</row>
    <row r="788" spans="2:40" x14ac:dyDescent="0.2">
      <c r="B788" s="88" t="s">
        <v>570</v>
      </c>
      <c r="C788" s="89"/>
      <c r="D788" s="44"/>
      <c r="E788" s="71"/>
      <c r="F788" s="16"/>
      <c r="G788" s="15"/>
      <c r="H788" s="15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</row>
    <row r="789" spans="2:40" x14ac:dyDescent="0.2">
      <c r="B789" s="90" t="s">
        <v>588</v>
      </c>
      <c r="C789" s="91"/>
      <c r="D789" s="43"/>
      <c r="E789" s="72" t="s">
        <v>22</v>
      </c>
      <c r="F789" s="20"/>
      <c r="G789" s="19"/>
      <c r="H789" s="21" t="b">
        <f>IF(D790="x",H$2,H$1)</f>
        <v>0</v>
      </c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</row>
    <row r="790" spans="2:40" x14ac:dyDescent="0.2">
      <c r="B790" s="92" t="s">
        <v>589</v>
      </c>
      <c r="C790" s="93"/>
      <c r="D790" s="43"/>
      <c r="E790" s="72" t="s">
        <v>23</v>
      </c>
      <c r="F790" s="22" t="str">
        <f>IF(H791=1,IF(H789=H$2,H789,""),"")</f>
        <v/>
      </c>
      <c r="G790" s="19"/>
      <c r="H790" s="21" t="str">
        <f>IF(E$842="comprobar",COUNTIF(D789:D793,"x"),"")</f>
        <v/>
      </c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</row>
    <row r="791" spans="2:40" x14ac:dyDescent="0.2">
      <c r="B791" s="92" t="s">
        <v>590</v>
      </c>
      <c r="C791" s="93"/>
      <c r="D791" s="43"/>
      <c r="E791" s="72" t="s">
        <v>24</v>
      </c>
      <c r="F791" s="23" t="str">
        <f>IF(H791=-0.33,IF(H789=H$1,H789,""),"")</f>
        <v/>
      </c>
      <c r="G791" s="19"/>
      <c r="H791" s="24">
        <f>IF(H790=1,IF(H789=H$2,1,-0.33),0)</f>
        <v>0</v>
      </c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</row>
    <row r="792" spans="2:40" x14ac:dyDescent="0.2">
      <c r="B792" s="92" t="s">
        <v>591</v>
      </c>
      <c r="C792" s="93"/>
      <c r="D792" s="43"/>
      <c r="E792" s="72" t="s">
        <v>25</v>
      </c>
      <c r="F792" s="20"/>
      <c r="G792" s="19"/>
      <c r="H792" s="2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</row>
    <row r="793" spans="2:40" x14ac:dyDescent="0.2">
      <c r="B793" s="92"/>
      <c r="C793" s="94"/>
      <c r="D793" s="43"/>
      <c r="E793" s="72" t="s">
        <v>26</v>
      </c>
      <c r="F793" s="20"/>
      <c r="G793" s="19"/>
      <c r="H793" s="2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</row>
    <row r="794" spans="2:40" x14ac:dyDescent="0.2">
      <c r="B794" s="88" t="s">
        <v>571</v>
      </c>
      <c r="C794" s="95"/>
      <c r="D794" s="44"/>
      <c r="E794" s="71"/>
      <c r="F794" s="16"/>
      <c r="G794" s="15"/>
      <c r="H794" s="15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</row>
    <row r="795" spans="2:40" x14ac:dyDescent="0.2">
      <c r="B795" s="90" t="s">
        <v>592</v>
      </c>
      <c r="C795" s="91"/>
      <c r="D795" s="43"/>
      <c r="E795" s="72" t="s">
        <v>22</v>
      </c>
      <c r="F795" s="20"/>
      <c r="G795" s="19"/>
      <c r="H795" s="21" t="b">
        <f>IF(D798="x",H$2,H$1)</f>
        <v>0</v>
      </c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</row>
    <row r="796" spans="2:40" x14ac:dyDescent="0.2">
      <c r="B796" s="92" t="s">
        <v>593</v>
      </c>
      <c r="C796" s="93"/>
      <c r="D796" s="43"/>
      <c r="E796" s="72" t="s">
        <v>23</v>
      </c>
      <c r="F796" s="22" t="str">
        <f>IF(H797=1,IF(H795=H$2,H795,""),"")</f>
        <v/>
      </c>
      <c r="G796" s="19"/>
      <c r="H796" s="21" t="str">
        <f>IF(E$842="comprobar",COUNTIF(D795:D799,"x"),"")</f>
        <v/>
      </c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</row>
    <row r="797" spans="2:40" x14ac:dyDescent="0.2">
      <c r="B797" s="92" t="s">
        <v>594</v>
      </c>
      <c r="C797" s="93"/>
      <c r="D797" s="43"/>
      <c r="E797" s="72" t="s">
        <v>24</v>
      </c>
      <c r="F797" s="23" t="str">
        <f>IF(H797=-0.33,IF(H795=H$1,H795,""),"")</f>
        <v/>
      </c>
      <c r="G797" s="19"/>
      <c r="H797" s="24">
        <f>IF(H796=1,IF(H795=H$2,1,-0.33),0)</f>
        <v>0</v>
      </c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</row>
    <row r="798" spans="2:40" x14ac:dyDescent="0.2">
      <c r="B798" s="92" t="s">
        <v>595</v>
      </c>
      <c r="C798" s="93"/>
      <c r="D798" s="43"/>
      <c r="E798" s="72" t="s">
        <v>25</v>
      </c>
      <c r="F798" s="20"/>
      <c r="G798" s="19"/>
      <c r="H798" s="2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</row>
    <row r="799" spans="2:40" x14ac:dyDescent="0.2">
      <c r="B799" s="92"/>
      <c r="C799" s="94"/>
      <c r="D799" s="43"/>
      <c r="E799" s="72" t="s">
        <v>26</v>
      </c>
      <c r="F799" s="20"/>
      <c r="G799" s="19"/>
      <c r="H799" s="2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</row>
    <row r="800" spans="2:40" x14ac:dyDescent="0.2">
      <c r="B800" s="88" t="s">
        <v>572</v>
      </c>
      <c r="C800" s="89"/>
      <c r="D800" s="44"/>
      <c r="E800" s="71"/>
      <c r="F800" s="16"/>
      <c r="G800" s="15"/>
      <c r="H800" s="15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</row>
    <row r="801" spans="2:40" x14ac:dyDescent="0.2">
      <c r="B801" s="90" t="s">
        <v>596</v>
      </c>
      <c r="C801" s="91"/>
      <c r="D801" s="43"/>
      <c r="E801" s="72" t="s">
        <v>22</v>
      </c>
      <c r="F801" s="20"/>
      <c r="G801" s="19"/>
      <c r="H801" s="21" t="b">
        <f>IF(D802="x",H$2,H$1)</f>
        <v>0</v>
      </c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</row>
    <row r="802" spans="2:40" x14ac:dyDescent="0.2">
      <c r="B802" s="92" t="s">
        <v>597</v>
      </c>
      <c r="C802" s="93"/>
      <c r="D802" s="43"/>
      <c r="E802" s="72" t="s">
        <v>23</v>
      </c>
      <c r="F802" s="22" t="str">
        <f>IF(H803=1,IF(H801=H$2,H801,""),"")</f>
        <v/>
      </c>
      <c r="G802" s="19"/>
      <c r="H802" s="21" t="str">
        <f>IF(E$842="comprobar",COUNTIF(D801:D805,"x"),"")</f>
        <v/>
      </c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</row>
    <row r="803" spans="2:40" x14ac:dyDescent="0.2">
      <c r="B803" s="92" t="s">
        <v>598</v>
      </c>
      <c r="C803" s="93"/>
      <c r="D803" s="43"/>
      <c r="E803" s="72" t="s">
        <v>24</v>
      </c>
      <c r="F803" s="23" t="str">
        <f>IF(H803=-0.33,IF(H801=H$1,H801,""),"")</f>
        <v/>
      </c>
      <c r="G803" s="19"/>
      <c r="H803" s="24">
        <f>IF(H802=1,IF(H801=H$2,1,-0.33),0)</f>
        <v>0</v>
      </c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</row>
    <row r="804" spans="2:40" x14ac:dyDescent="0.2">
      <c r="B804" s="92" t="s">
        <v>599</v>
      </c>
      <c r="C804" s="93"/>
      <c r="D804" s="43"/>
      <c r="E804" s="72" t="s">
        <v>25</v>
      </c>
      <c r="F804" s="20"/>
      <c r="G804" s="19"/>
      <c r="H804" s="2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</row>
    <row r="805" spans="2:40" x14ac:dyDescent="0.2">
      <c r="B805" s="92"/>
      <c r="C805" s="94"/>
      <c r="D805" s="43"/>
      <c r="E805" s="72" t="s">
        <v>26</v>
      </c>
      <c r="F805" s="20"/>
      <c r="G805" s="19"/>
      <c r="H805" s="2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</row>
    <row r="806" spans="2:40" x14ac:dyDescent="0.2">
      <c r="B806" s="88" t="s">
        <v>573</v>
      </c>
      <c r="C806" s="89"/>
      <c r="D806" s="44"/>
      <c r="E806" s="71"/>
      <c r="F806" s="16"/>
      <c r="G806" s="15"/>
      <c r="H806" s="15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</row>
    <row r="807" spans="2:40" x14ac:dyDescent="0.2">
      <c r="B807" s="90" t="s">
        <v>600</v>
      </c>
      <c r="C807" s="91"/>
      <c r="D807" s="43"/>
      <c r="E807" s="72" t="s">
        <v>22</v>
      </c>
      <c r="F807" s="20"/>
      <c r="G807" s="19"/>
      <c r="H807" s="21" t="b">
        <f>IF(D807="x",H$2,H$1)</f>
        <v>0</v>
      </c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</row>
    <row r="808" spans="2:40" x14ac:dyDescent="0.2">
      <c r="B808" s="92" t="s">
        <v>601</v>
      </c>
      <c r="C808" s="93"/>
      <c r="D808" s="43"/>
      <c r="E808" s="72" t="s">
        <v>23</v>
      </c>
      <c r="F808" s="22" t="str">
        <f>IF(H809=1,IF(H807=H$2,H807,""),"")</f>
        <v/>
      </c>
      <c r="G808" s="19"/>
      <c r="H808" s="21" t="str">
        <f>IF(E$842="comprobar",COUNTIF(D807:D811,"x"),"")</f>
        <v/>
      </c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</row>
    <row r="809" spans="2:40" x14ac:dyDescent="0.2">
      <c r="B809" s="92" t="s">
        <v>602</v>
      </c>
      <c r="C809" s="93"/>
      <c r="D809" s="43"/>
      <c r="E809" s="72" t="s">
        <v>24</v>
      </c>
      <c r="F809" s="23" t="str">
        <f>IF(H809=-0.33,IF(H807=H$1,H807,""),"")</f>
        <v/>
      </c>
      <c r="G809" s="19"/>
      <c r="H809" s="24">
        <f>IF(H808=1,IF(H807=H$2,1,-0.33),0)</f>
        <v>0</v>
      </c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</row>
    <row r="810" spans="2:40" x14ac:dyDescent="0.2">
      <c r="B810" s="92" t="s">
        <v>603</v>
      </c>
      <c r="C810" s="93"/>
      <c r="D810" s="43"/>
      <c r="E810" s="72" t="s">
        <v>25</v>
      </c>
      <c r="F810" s="20"/>
      <c r="G810" s="19"/>
      <c r="H810" s="2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</row>
    <row r="811" spans="2:40" x14ac:dyDescent="0.2">
      <c r="B811" s="92"/>
      <c r="C811" s="94"/>
      <c r="D811" s="43"/>
      <c r="E811" s="72" t="s">
        <v>26</v>
      </c>
      <c r="F811" s="20"/>
      <c r="G811" s="19"/>
      <c r="H811" s="2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</row>
    <row r="812" spans="2:40" x14ac:dyDescent="0.2">
      <c r="B812" s="88" t="s">
        <v>574</v>
      </c>
      <c r="C812" s="89"/>
      <c r="D812" s="44"/>
      <c r="E812" s="71"/>
      <c r="F812" s="16"/>
      <c r="G812" s="15"/>
      <c r="H812" s="15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</row>
    <row r="813" spans="2:40" x14ac:dyDescent="0.2">
      <c r="B813" s="90" t="s">
        <v>604</v>
      </c>
      <c r="C813" s="91"/>
      <c r="D813" s="43"/>
      <c r="E813" s="72" t="s">
        <v>22</v>
      </c>
      <c r="F813" s="20"/>
      <c r="G813" s="19"/>
      <c r="H813" s="21" t="b">
        <f>IF(D814="x",H$2,H$1)</f>
        <v>0</v>
      </c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</row>
    <row r="814" spans="2:40" x14ac:dyDescent="0.2">
      <c r="B814" s="92" t="s">
        <v>605</v>
      </c>
      <c r="C814" s="93"/>
      <c r="D814" s="43"/>
      <c r="E814" s="72" t="s">
        <v>23</v>
      </c>
      <c r="F814" s="22" t="str">
        <f>IF(H815=1,IF(H813=H$2,H813,""),"")</f>
        <v/>
      </c>
      <c r="G814" s="19"/>
      <c r="H814" s="21" t="str">
        <f>IF(E$842="comprobar",COUNTIF(D813:D817,"x"),"")</f>
        <v/>
      </c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</row>
    <row r="815" spans="2:40" x14ac:dyDescent="0.2">
      <c r="B815" s="92" t="s">
        <v>606</v>
      </c>
      <c r="C815" s="93"/>
      <c r="D815" s="43"/>
      <c r="E815" s="72" t="s">
        <v>24</v>
      </c>
      <c r="F815" s="23" t="str">
        <f>IF(H815=-0.33,IF(H813=H$1,H813,""),"")</f>
        <v/>
      </c>
      <c r="G815" s="19"/>
      <c r="H815" s="24">
        <f>IF(H814=1,IF(H813=H$2,1,-0.33),0)</f>
        <v>0</v>
      </c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</row>
    <row r="816" spans="2:40" x14ac:dyDescent="0.2">
      <c r="B816" s="92" t="s">
        <v>607</v>
      </c>
      <c r="C816" s="93"/>
      <c r="D816" s="43"/>
      <c r="E816" s="72" t="s">
        <v>25</v>
      </c>
      <c r="F816" s="20"/>
      <c r="G816" s="19"/>
      <c r="H816" s="2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</row>
    <row r="817" spans="2:40" x14ac:dyDescent="0.2">
      <c r="B817" s="92"/>
      <c r="C817" s="94"/>
      <c r="D817" s="43"/>
      <c r="E817" s="72" t="s">
        <v>26</v>
      </c>
      <c r="F817" s="20"/>
      <c r="G817" s="19"/>
      <c r="H817" s="2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</row>
    <row r="818" spans="2:40" x14ac:dyDescent="0.2">
      <c r="B818" s="88" t="s">
        <v>575</v>
      </c>
      <c r="C818" s="89"/>
      <c r="D818" s="44"/>
      <c r="E818" s="71"/>
      <c r="F818" s="16"/>
      <c r="G818" s="15"/>
      <c r="H818" s="15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</row>
    <row r="819" spans="2:40" x14ac:dyDescent="0.2">
      <c r="B819" s="90" t="s">
        <v>608</v>
      </c>
      <c r="C819" s="91"/>
      <c r="D819" s="43"/>
      <c r="E819" s="72" t="s">
        <v>22</v>
      </c>
      <c r="F819" s="20"/>
      <c r="G819" s="19"/>
      <c r="H819" s="21" t="b">
        <f>IF(D819="x",H$2,H$1)</f>
        <v>0</v>
      </c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</row>
    <row r="820" spans="2:40" x14ac:dyDescent="0.2">
      <c r="B820" s="92" t="s">
        <v>609</v>
      </c>
      <c r="C820" s="93"/>
      <c r="D820" s="43"/>
      <c r="E820" s="72" t="s">
        <v>23</v>
      </c>
      <c r="F820" s="22" t="str">
        <f>IF(H821=1,IF(H819=H$2,H819,""),"")</f>
        <v/>
      </c>
      <c r="G820" s="19"/>
      <c r="H820" s="21" t="str">
        <f>IF(E$842="comprobar",COUNTIF(D819:D823,"x"),"")</f>
        <v/>
      </c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</row>
    <row r="821" spans="2:40" x14ac:dyDescent="0.2">
      <c r="B821" s="92" t="s">
        <v>610</v>
      </c>
      <c r="C821" s="93"/>
      <c r="D821" s="43"/>
      <c r="E821" s="72" t="s">
        <v>24</v>
      </c>
      <c r="F821" s="23" t="str">
        <f>IF(H821=-0.33,IF(H819=H$1,H819,""),"")</f>
        <v/>
      </c>
      <c r="G821" s="19"/>
      <c r="H821" s="24">
        <f>IF(H820=1,IF(H819=H$2,1,-0.33),0)</f>
        <v>0</v>
      </c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</row>
    <row r="822" spans="2:40" x14ac:dyDescent="0.2">
      <c r="B822" s="92" t="s">
        <v>558</v>
      </c>
      <c r="C822" s="93"/>
      <c r="D822" s="43"/>
      <c r="E822" s="72" t="s">
        <v>25</v>
      </c>
      <c r="F822" s="20"/>
      <c r="G822" s="19"/>
      <c r="H822" s="2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</row>
    <row r="823" spans="2:40" x14ac:dyDescent="0.2">
      <c r="B823" s="92"/>
      <c r="C823" s="94"/>
      <c r="D823" s="43"/>
      <c r="E823" s="72" t="s">
        <v>26</v>
      </c>
      <c r="F823" s="20"/>
      <c r="G823" s="19"/>
      <c r="H823" s="2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</row>
    <row r="824" spans="2:40" x14ac:dyDescent="0.2">
      <c r="B824" s="88" t="s">
        <v>576</v>
      </c>
      <c r="C824" s="89"/>
      <c r="D824" s="44"/>
      <c r="E824" s="71"/>
      <c r="F824" s="16"/>
      <c r="G824" s="15"/>
      <c r="H824" s="15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</row>
    <row r="825" spans="2:40" x14ac:dyDescent="0.2">
      <c r="B825" s="90" t="s">
        <v>577</v>
      </c>
      <c r="C825" s="91"/>
      <c r="D825" s="43"/>
      <c r="E825" s="72" t="s">
        <v>22</v>
      </c>
      <c r="F825" s="20"/>
      <c r="G825" s="19"/>
      <c r="H825" s="21" t="b">
        <f>IF(D827="x",H$2,H$1)</f>
        <v>0</v>
      </c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</row>
    <row r="826" spans="2:40" x14ac:dyDescent="0.2">
      <c r="B826" s="92" t="s">
        <v>578</v>
      </c>
      <c r="C826" s="93"/>
      <c r="D826" s="43"/>
      <c r="E826" s="72" t="s">
        <v>23</v>
      </c>
      <c r="F826" s="22" t="str">
        <f>IF(H827=1,IF(H825=H$2,H825,""),"")</f>
        <v/>
      </c>
      <c r="G826" s="19"/>
      <c r="H826" s="21" t="str">
        <f>IF(E$842="comprobar",COUNTIF(D825:D829,"x"),"")</f>
        <v/>
      </c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</row>
    <row r="827" spans="2:40" x14ac:dyDescent="0.2">
      <c r="B827" s="92" t="s">
        <v>579</v>
      </c>
      <c r="C827" s="93"/>
      <c r="D827" s="43"/>
      <c r="E827" s="72" t="s">
        <v>24</v>
      </c>
      <c r="F827" s="23" t="str">
        <f>IF(H827=-0.33,IF(H825=H$1,H825,""),"")</f>
        <v/>
      </c>
      <c r="G827" s="19"/>
      <c r="H827" s="24">
        <f>IF(H826=1,IF(H825=H$2,1,-0.33),0)</f>
        <v>0</v>
      </c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</row>
    <row r="828" spans="2:40" x14ac:dyDescent="0.2">
      <c r="B828" s="92" t="s">
        <v>580</v>
      </c>
      <c r="C828" s="93"/>
      <c r="D828" s="43"/>
      <c r="E828" s="72" t="s">
        <v>25</v>
      </c>
      <c r="F828" s="20"/>
      <c r="G828" s="19"/>
      <c r="H828" s="2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</row>
    <row r="829" spans="2:40" x14ac:dyDescent="0.2">
      <c r="B829" s="92"/>
      <c r="C829" s="94"/>
      <c r="D829" s="43"/>
      <c r="E829" s="72" t="s">
        <v>26</v>
      </c>
      <c r="F829" s="20"/>
      <c r="G829" s="19"/>
      <c r="H829" s="2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</row>
    <row r="830" spans="2:40" x14ac:dyDescent="0.2">
      <c r="B830" s="88" t="s">
        <v>581</v>
      </c>
      <c r="C830" s="89"/>
      <c r="D830" s="44"/>
      <c r="E830" s="71"/>
      <c r="F830" s="16"/>
      <c r="G830" s="15"/>
      <c r="H830" s="15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</row>
    <row r="831" spans="2:40" x14ac:dyDescent="0.2">
      <c r="B831" s="90" t="s">
        <v>611</v>
      </c>
      <c r="C831" s="91"/>
      <c r="D831" s="43"/>
      <c r="E831" s="72" t="s">
        <v>22</v>
      </c>
      <c r="F831" s="20"/>
      <c r="G831" s="19"/>
      <c r="H831" s="21" t="b">
        <f>IF(D833="x",H$2,H$1)</f>
        <v>0</v>
      </c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</row>
    <row r="832" spans="2:40" x14ac:dyDescent="0.2">
      <c r="B832" s="92" t="s">
        <v>612</v>
      </c>
      <c r="C832" s="93"/>
      <c r="D832" s="43"/>
      <c r="E832" s="72" t="s">
        <v>23</v>
      </c>
      <c r="F832" s="22" t="str">
        <f>IF(H833=1,IF(H831=H$2,H831,""),"")</f>
        <v/>
      </c>
      <c r="G832" s="19"/>
      <c r="H832" s="21" t="str">
        <f>IF(E$842="comprobar",COUNTIF(D831:D835,"x"),"")</f>
        <v/>
      </c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</row>
    <row r="833" spans="2:40" x14ac:dyDescent="0.2">
      <c r="B833" s="92" t="s">
        <v>613</v>
      </c>
      <c r="C833" s="93"/>
      <c r="D833" s="43"/>
      <c r="E833" s="72" t="s">
        <v>24</v>
      </c>
      <c r="F833" s="23" t="str">
        <f>IF(H833=-0.33,IF(H831=H$1,H831,""),"")</f>
        <v/>
      </c>
      <c r="G833" s="19"/>
      <c r="H833" s="24">
        <f>IF(H832=1,IF(H831=H$2,1,-0.33),0)</f>
        <v>0</v>
      </c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</row>
    <row r="834" spans="2:40" x14ac:dyDescent="0.2">
      <c r="B834" s="92" t="s">
        <v>614</v>
      </c>
      <c r="C834" s="93"/>
      <c r="D834" s="43"/>
      <c r="E834" s="72" t="s">
        <v>25</v>
      </c>
      <c r="F834" s="20"/>
      <c r="G834" s="19"/>
      <c r="H834" s="2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</row>
    <row r="835" spans="2:40" x14ac:dyDescent="0.2">
      <c r="B835" s="92"/>
      <c r="C835" s="94"/>
      <c r="D835" s="43"/>
      <c r="E835" s="72" t="s">
        <v>26</v>
      </c>
      <c r="F835" s="12"/>
      <c r="G835" s="19"/>
      <c r="H835" s="2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</row>
    <row r="836" spans="2:40" x14ac:dyDescent="0.2">
      <c r="B836" s="88" t="s">
        <v>582</v>
      </c>
      <c r="C836" s="89"/>
      <c r="D836" s="44"/>
      <c r="E836" s="71"/>
      <c r="F836" s="30"/>
      <c r="G836" s="29"/>
      <c r="H836" s="15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</row>
    <row r="837" spans="2:40" x14ac:dyDescent="0.2">
      <c r="B837" s="90" t="s">
        <v>615</v>
      </c>
      <c r="C837" s="91"/>
      <c r="D837" s="43"/>
      <c r="E837" s="72" t="s">
        <v>22</v>
      </c>
      <c r="F837" s="27"/>
      <c r="G837" s="26"/>
      <c r="H837" s="21" t="b">
        <f>IF(D839="x",H$2,H$1)</f>
        <v>0</v>
      </c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</row>
    <row r="838" spans="2:40" x14ac:dyDescent="0.2">
      <c r="B838" s="92" t="s">
        <v>616</v>
      </c>
      <c r="C838" s="93"/>
      <c r="D838" s="43"/>
      <c r="E838" s="72" t="s">
        <v>23</v>
      </c>
      <c r="F838" s="22" t="str">
        <f>IF(H839=1,IF(H837=H$2,H837,""),"")</f>
        <v/>
      </c>
      <c r="G838" s="26"/>
      <c r="H838" s="21" t="str">
        <f>IF(E$842="comprobar",COUNTIF(D837:D841,"x"),"")</f>
        <v/>
      </c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</row>
    <row r="839" spans="2:40" x14ac:dyDescent="0.2">
      <c r="B839" s="92" t="s">
        <v>617</v>
      </c>
      <c r="C839" s="93"/>
      <c r="D839" s="43"/>
      <c r="E839" s="72" t="s">
        <v>24</v>
      </c>
      <c r="F839" s="23" t="str">
        <f>IF(H839=-0.33,IF(H837=H$1,H837,""),"")</f>
        <v/>
      </c>
      <c r="G839" s="26"/>
      <c r="H839" s="24">
        <f>IF(H838=1,IF(H837=H$2,1,-0.33),0)</f>
        <v>0</v>
      </c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</row>
    <row r="840" spans="2:40" x14ac:dyDescent="0.2">
      <c r="B840" s="92" t="s">
        <v>618</v>
      </c>
      <c r="C840" s="93"/>
      <c r="D840" s="43"/>
      <c r="E840" s="72" t="s">
        <v>25</v>
      </c>
      <c r="F840" s="28"/>
      <c r="G840" s="26"/>
      <c r="H840" s="2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</row>
    <row r="841" spans="2:40" x14ac:dyDescent="0.2">
      <c r="B841" s="92"/>
      <c r="C841" s="94"/>
      <c r="D841" s="43"/>
      <c r="E841" s="72" t="s">
        <v>26</v>
      </c>
      <c r="F841" s="28"/>
      <c r="G841" s="26"/>
      <c r="H841" s="2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</row>
    <row r="842" spans="2:40" x14ac:dyDescent="0.2">
      <c r="B842" s="50"/>
      <c r="C842" s="46"/>
      <c r="D842" s="65"/>
      <c r="E842" s="73"/>
      <c r="F842" s="20"/>
      <c r="G842" s="19"/>
      <c r="H842" s="19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</row>
    <row r="843" spans="2:40" x14ac:dyDescent="0.2">
      <c r="B843" s="50"/>
      <c r="C843" s="18"/>
      <c r="D843" s="65"/>
      <c r="E843" s="78"/>
      <c r="F843" s="31" t="s">
        <v>8</v>
      </c>
      <c r="G843" s="19" t="s">
        <v>6</v>
      </c>
      <c r="H843" s="19" t="s">
        <v>7</v>
      </c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</row>
    <row r="844" spans="2:40" ht="20" x14ac:dyDescent="0.2">
      <c r="B844" s="50"/>
      <c r="C844" s="18"/>
      <c r="D844" s="63"/>
      <c r="E844" s="70"/>
      <c r="F844" s="32" t="str">
        <f>IF(E842="comprobar",H839+H833+H827+H821+H815+H809+H803+H797+H791+H785,"")</f>
        <v/>
      </c>
      <c r="G844" s="19">
        <f>10/2</f>
        <v>5</v>
      </c>
      <c r="H844" s="19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</row>
    <row r="845" spans="2:40" ht="17" thickBot="1" x14ac:dyDescent="0.25">
      <c r="B845" s="51"/>
      <c r="C845" s="33"/>
      <c r="D845" s="34"/>
      <c r="E845" s="74"/>
      <c r="F845" s="35" t="str">
        <f>IF(F844&gt;G844,G843,H843)</f>
        <v>APROBADO</v>
      </c>
      <c r="G845" s="19"/>
      <c r="H845" s="19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</row>
    <row r="846" spans="2:40" ht="29" x14ac:dyDescent="0.35">
      <c r="B846" s="87" t="s">
        <v>78</v>
      </c>
      <c r="C846" s="112" t="s">
        <v>28</v>
      </c>
      <c r="D846" s="112"/>
      <c r="E846" s="112"/>
      <c r="F846" s="113"/>
      <c r="G846" s="19"/>
      <c r="H846" s="19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</row>
    <row r="847" spans="2:40" x14ac:dyDescent="0.2">
      <c r="B847" s="88" t="s">
        <v>619</v>
      </c>
      <c r="C847" s="89"/>
      <c r="D847" s="14"/>
      <c r="E847" s="71"/>
      <c r="F847" s="16"/>
      <c r="G847" s="15"/>
      <c r="H847" s="15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</row>
    <row r="848" spans="2:40" x14ac:dyDescent="0.2">
      <c r="B848" s="90" t="s">
        <v>630</v>
      </c>
      <c r="C848" s="91"/>
      <c r="D848" s="43"/>
      <c r="E848" s="72" t="s">
        <v>22</v>
      </c>
      <c r="F848" s="20"/>
      <c r="G848" s="19"/>
      <c r="H848" s="21" t="b">
        <f>IF(D851="x",H$2,H$1)</f>
        <v>0</v>
      </c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</row>
    <row r="849" spans="2:40" x14ac:dyDescent="0.2">
      <c r="B849" s="92" t="s">
        <v>631</v>
      </c>
      <c r="C849" s="93"/>
      <c r="D849" s="43"/>
      <c r="E849" s="72" t="s">
        <v>23</v>
      </c>
      <c r="F849" s="22" t="str">
        <f>IF(H850=1,IF(H848=H$2,H848,""),"")</f>
        <v/>
      </c>
      <c r="G849" s="19"/>
      <c r="H849" s="21" t="str">
        <f>IF(E$907="comprobar",COUNTIF(D848:D852,"x"),"")</f>
        <v/>
      </c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</row>
    <row r="850" spans="2:40" x14ac:dyDescent="0.2">
      <c r="B850" s="92" t="s">
        <v>632</v>
      </c>
      <c r="C850" s="93"/>
      <c r="D850" s="43"/>
      <c r="E850" s="72" t="s">
        <v>24</v>
      </c>
      <c r="F850" s="23" t="str">
        <f>IF(H850=-0.33,IF(H848=H$1,H848,""),"")</f>
        <v/>
      </c>
      <c r="G850" s="19"/>
      <c r="H850" s="24">
        <f>IF(H849=1,IF(H848=H$2,1,-0.33),0)</f>
        <v>0</v>
      </c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</row>
    <row r="851" spans="2:40" x14ac:dyDescent="0.2">
      <c r="B851" s="92" t="s">
        <v>658</v>
      </c>
      <c r="C851" s="93"/>
      <c r="D851" s="43"/>
      <c r="E851" s="72" t="s">
        <v>25</v>
      </c>
      <c r="F851" s="20"/>
      <c r="G851" s="19"/>
      <c r="H851" s="2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</row>
    <row r="852" spans="2:40" x14ac:dyDescent="0.2">
      <c r="B852" s="92"/>
      <c r="C852" s="94"/>
      <c r="D852" s="43"/>
      <c r="E852" s="72" t="s">
        <v>26</v>
      </c>
      <c r="F852" s="20"/>
      <c r="G852" s="19"/>
      <c r="H852" s="2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</row>
    <row r="853" spans="2:40" x14ac:dyDescent="0.2">
      <c r="B853" s="88" t="s">
        <v>620</v>
      </c>
      <c r="C853" s="89"/>
      <c r="D853" s="44"/>
      <c r="E853" s="71"/>
      <c r="F853" s="16"/>
      <c r="G853" s="15"/>
      <c r="H853" s="15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</row>
    <row r="854" spans="2:40" x14ac:dyDescent="0.2">
      <c r="B854" s="90" t="s">
        <v>633</v>
      </c>
      <c r="C854" s="91"/>
      <c r="D854" s="43"/>
      <c r="E854" s="72" t="s">
        <v>22</v>
      </c>
      <c r="F854" s="20"/>
      <c r="G854" s="19"/>
      <c r="H854" s="21" t="b">
        <f>IF(D856="x",H$2,H$1)</f>
        <v>0</v>
      </c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</row>
    <row r="855" spans="2:40" x14ac:dyDescent="0.2">
      <c r="B855" s="92" t="s">
        <v>634</v>
      </c>
      <c r="C855" s="93"/>
      <c r="D855" s="43"/>
      <c r="E855" s="72" t="s">
        <v>23</v>
      </c>
      <c r="F855" s="22" t="str">
        <f>IF(H856=1,IF(H854=H$2,H854,""),"")</f>
        <v/>
      </c>
      <c r="G855" s="19"/>
      <c r="H855" s="21" t="str">
        <f>IF(E$907="comprobar",COUNTIF(D854:D858,"x"),"")</f>
        <v/>
      </c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</row>
    <row r="856" spans="2:40" x14ac:dyDescent="0.2">
      <c r="B856" s="92" t="s">
        <v>659</v>
      </c>
      <c r="C856" s="93"/>
      <c r="D856" s="43"/>
      <c r="E856" s="72" t="s">
        <v>24</v>
      </c>
      <c r="F856" s="23" t="str">
        <f>IF(H856=-0.33,IF(H854=H$1,H854,""),"")</f>
        <v/>
      </c>
      <c r="G856" s="19"/>
      <c r="H856" s="24">
        <f>IF(H855=1,IF(H854=H$2,1,-0.33),0)</f>
        <v>0</v>
      </c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</row>
    <row r="857" spans="2:40" x14ac:dyDescent="0.2">
      <c r="B857" s="92" t="s">
        <v>635</v>
      </c>
      <c r="C857" s="93"/>
      <c r="D857" s="43"/>
      <c r="E857" s="72" t="s">
        <v>25</v>
      </c>
      <c r="F857" s="20"/>
      <c r="G857" s="19"/>
      <c r="H857" s="2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</row>
    <row r="858" spans="2:40" x14ac:dyDescent="0.2">
      <c r="B858" s="92"/>
      <c r="C858" s="94"/>
      <c r="D858" s="43"/>
      <c r="E858" s="72" t="s">
        <v>26</v>
      </c>
      <c r="F858" s="20"/>
      <c r="G858" s="19"/>
      <c r="H858" s="2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</row>
    <row r="859" spans="2:40" x14ac:dyDescent="0.2">
      <c r="B859" s="88" t="s">
        <v>621</v>
      </c>
      <c r="C859" s="95"/>
      <c r="D859" s="44"/>
      <c r="E859" s="71"/>
      <c r="F859" s="16"/>
      <c r="G859" s="15"/>
      <c r="H859" s="15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</row>
    <row r="860" spans="2:40" x14ac:dyDescent="0.2">
      <c r="B860" s="90" t="s">
        <v>636</v>
      </c>
      <c r="C860" s="91"/>
      <c r="D860" s="43"/>
      <c r="E860" s="72" t="s">
        <v>22</v>
      </c>
      <c r="F860" s="20"/>
      <c r="G860" s="19"/>
      <c r="H860" s="21" t="b">
        <f>IF(D862="x",H$2,H$1)</f>
        <v>0</v>
      </c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</row>
    <row r="861" spans="2:40" x14ac:dyDescent="0.2">
      <c r="B861" s="92" t="s">
        <v>637</v>
      </c>
      <c r="C861" s="93"/>
      <c r="D861" s="43"/>
      <c r="E861" s="72" t="s">
        <v>23</v>
      </c>
      <c r="F861" s="22" t="str">
        <f>IF(H862=1,IF(H860=H$2,H860,""),"")</f>
        <v/>
      </c>
      <c r="G861" s="19"/>
      <c r="H861" s="21" t="str">
        <f>IF(E$907="comprobar",COUNTIF(D860:D864,"x"),"")</f>
        <v/>
      </c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</row>
    <row r="862" spans="2:40" x14ac:dyDescent="0.2">
      <c r="B862" s="92" t="s">
        <v>660</v>
      </c>
      <c r="C862" s="93"/>
      <c r="D862" s="43"/>
      <c r="E862" s="72" t="s">
        <v>24</v>
      </c>
      <c r="F862" s="23" t="str">
        <f>IF(H862=-0.33,IF(H860=H$1,H860,""),"")</f>
        <v/>
      </c>
      <c r="G862" s="19"/>
      <c r="H862" s="24">
        <f>IF(H861=1,IF(H860=H$2,1,-0.33),0)</f>
        <v>0</v>
      </c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</row>
    <row r="863" spans="2:40" x14ac:dyDescent="0.2">
      <c r="B863" s="92" t="s">
        <v>638</v>
      </c>
      <c r="C863" s="93"/>
      <c r="D863" s="43"/>
      <c r="E863" s="72" t="s">
        <v>25</v>
      </c>
      <c r="F863" s="20"/>
      <c r="G863" s="19"/>
      <c r="H863" s="2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</row>
    <row r="864" spans="2:40" x14ac:dyDescent="0.2">
      <c r="B864" s="92"/>
      <c r="C864" s="94"/>
      <c r="D864" s="43"/>
      <c r="E864" s="72" t="s">
        <v>26</v>
      </c>
      <c r="F864" s="20"/>
      <c r="G864" s="19"/>
      <c r="H864" s="2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</row>
    <row r="865" spans="2:40" x14ac:dyDescent="0.2">
      <c r="B865" s="88" t="s">
        <v>622</v>
      </c>
      <c r="C865" s="89"/>
      <c r="D865" s="44"/>
      <c r="E865" s="71"/>
      <c r="F865" s="16"/>
      <c r="G865" s="15"/>
      <c r="H865" s="15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</row>
    <row r="866" spans="2:40" x14ac:dyDescent="0.2">
      <c r="B866" s="90" t="s">
        <v>639</v>
      </c>
      <c r="C866" s="91"/>
      <c r="D866" s="43"/>
      <c r="E866" s="72" t="s">
        <v>22</v>
      </c>
      <c r="F866" s="20"/>
      <c r="G866" s="19"/>
      <c r="H866" s="21" t="b">
        <f>IF(D867="x",H$2,H$1)</f>
        <v>0</v>
      </c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</row>
    <row r="867" spans="2:40" x14ac:dyDescent="0.2">
      <c r="B867" s="92" t="s">
        <v>661</v>
      </c>
      <c r="C867" s="93"/>
      <c r="D867" s="43"/>
      <c r="E867" s="72" t="s">
        <v>23</v>
      </c>
      <c r="F867" s="22" t="str">
        <f>IF(H868=1,IF(H866=H$2,H866,""),"")</f>
        <v/>
      </c>
      <c r="G867" s="19"/>
      <c r="H867" s="21" t="str">
        <f>IF(E$907="comprobar",COUNTIF(D866:D870,"x"),"")</f>
        <v/>
      </c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</row>
    <row r="868" spans="2:40" x14ac:dyDescent="0.2">
      <c r="B868" s="92" t="s">
        <v>640</v>
      </c>
      <c r="C868" s="93"/>
      <c r="D868" s="43"/>
      <c r="E868" s="72" t="s">
        <v>24</v>
      </c>
      <c r="F868" s="23" t="str">
        <f>IF(H868=-0.33,IF(H866=H$1,H866,""),"")</f>
        <v/>
      </c>
      <c r="G868" s="19"/>
      <c r="H868" s="24">
        <f>IF(H867=1,IF(H866=H$2,1,-0.33),0)</f>
        <v>0</v>
      </c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</row>
    <row r="869" spans="2:40" x14ac:dyDescent="0.2">
      <c r="B869" s="92" t="s">
        <v>638</v>
      </c>
      <c r="C869" s="93"/>
      <c r="D869" s="43"/>
      <c r="E869" s="72" t="s">
        <v>25</v>
      </c>
      <c r="F869" s="20"/>
      <c r="G869" s="19"/>
      <c r="H869" s="2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</row>
    <row r="870" spans="2:40" x14ac:dyDescent="0.2">
      <c r="B870" s="92"/>
      <c r="C870" s="94"/>
      <c r="D870" s="43"/>
      <c r="E870" s="72" t="s">
        <v>26</v>
      </c>
      <c r="F870" s="20"/>
      <c r="G870" s="19"/>
      <c r="H870" s="2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</row>
    <row r="871" spans="2:40" x14ac:dyDescent="0.2">
      <c r="B871" s="88" t="s">
        <v>623</v>
      </c>
      <c r="C871" s="89"/>
      <c r="D871" s="44"/>
      <c r="E871" s="71"/>
      <c r="F871" s="16"/>
      <c r="G871" s="15"/>
      <c r="H871" s="15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</row>
    <row r="872" spans="2:40" x14ac:dyDescent="0.2">
      <c r="B872" s="90" t="s">
        <v>641</v>
      </c>
      <c r="C872" s="91"/>
      <c r="D872" s="43"/>
      <c r="E872" s="72" t="s">
        <v>22</v>
      </c>
      <c r="F872" s="20"/>
      <c r="G872" s="19"/>
      <c r="H872" s="21" t="b">
        <f>IF(D874="x",H$2,H$1)</f>
        <v>0</v>
      </c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</row>
    <row r="873" spans="2:40" x14ac:dyDescent="0.2">
      <c r="B873" s="92" t="s">
        <v>642</v>
      </c>
      <c r="C873" s="93"/>
      <c r="D873" s="43"/>
      <c r="E873" s="72" t="s">
        <v>23</v>
      </c>
      <c r="F873" s="22" t="str">
        <f>IF(H874=1,IF(H872=H$2,H872,""),"")</f>
        <v/>
      </c>
      <c r="G873" s="19"/>
      <c r="H873" s="21" t="str">
        <f>IF(E$907="comprobar",COUNTIF(D872:D876,"x"),"")</f>
        <v/>
      </c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</row>
    <row r="874" spans="2:40" x14ac:dyDescent="0.2">
      <c r="B874" s="92" t="s">
        <v>662</v>
      </c>
      <c r="C874" s="93"/>
      <c r="D874" s="43"/>
      <c r="E874" s="72" t="s">
        <v>24</v>
      </c>
      <c r="F874" s="23" t="str">
        <f>IF(H874=-0.33,IF(H872=H$1,H872,""),"")</f>
        <v/>
      </c>
      <c r="G874" s="19"/>
      <c r="H874" s="24">
        <f>IF(H873=1,IF(H872=H$2,1,-0.33),0)</f>
        <v>0</v>
      </c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</row>
    <row r="875" spans="2:40" x14ac:dyDescent="0.2">
      <c r="B875" s="92" t="s">
        <v>643</v>
      </c>
      <c r="C875" s="93"/>
      <c r="D875" s="43"/>
      <c r="E875" s="72" t="s">
        <v>25</v>
      </c>
      <c r="F875" s="20"/>
      <c r="G875" s="19"/>
      <c r="H875" s="2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</row>
    <row r="876" spans="2:40" x14ac:dyDescent="0.2">
      <c r="B876" s="92"/>
      <c r="C876" s="94"/>
      <c r="D876" s="43"/>
      <c r="E876" s="72" t="s">
        <v>26</v>
      </c>
      <c r="F876" s="20"/>
      <c r="G876" s="19"/>
      <c r="H876" s="2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</row>
    <row r="877" spans="2:40" x14ac:dyDescent="0.2">
      <c r="B877" s="88" t="s">
        <v>624</v>
      </c>
      <c r="C877" s="89"/>
      <c r="D877" s="44"/>
      <c r="E877" s="71"/>
      <c r="F877" s="16"/>
      <c r="G877" s="15"/>
      <c r="H877" s="15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</row>
    <row r="878" spans="2:40" x14ac:dyDescent="0.2">
      <c r="B878" s="90" t="s">
        <v>644</v>
      </c>
      <c r="C878" s="91"/>
      <c r="D878" s="43"/>
      <c r="E878" s="72" t="s">
        <v>22</v>
      </c>
      <c r="F878" s="20"/>
      <c r="G878" s="19"/>
      <c r="H878" s="21" t="b">
        <f>IF(D879="x",H$2,H$1)</f>
        <v>0</v>
      </c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</row>
    <row r="879" spans="2:40" x14ac:dyDescent="0.2">
      <c r="B879" s="92" t="s">
        <v>663</v>
      </c>
      <c r="C879" s="93"/>
      <c r="D879" s="43"/>
      <c r="E879" s="72" t="s">
        <v>23</v>
      </c>
      <c r="F879" s="22" t="str">
        <f>IF(H880=1,IF(H878=H$2,H878,""),"")</f>
        <v/>
      </c>
      <c r="G879" s="19"/>
      <c r="H879" s="21" t="str">
        <f>IF(E$907="comprobar",COUNTIF(D878:D882,"x"),"")</f>
        <v/>
      </c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</row>
    <row r="880" spans="2:40" x14ac:dyDescent="0.2">
      <c r="B880" s="92" t="s">
        <v>645</v>
      </c>
      <c r="C880" s="93"/>
      <c r="D880" s="43"/>
      <c r="E880" s="72" t="s">
        <v>24</v>
      </c>
      <c r="F880" s="23" t="str">
        <f>IF(H880=-0.33,IF(H878=H$1,H878,""),"")</f>
        <v/>
      </c>
      <c r="G880" s="19"/>
      <c r="H880" s="24">
        <f>IF(H879=1,IF(H878=H$2,1,-0.33),0)</f>
        <v>0</v>
      </c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</row>
    <row r="881" spans="2:40" x14ac:dyDescent="0.2">
      <c r="B881" s="92" t="s">
        <v>646</v>
      </c>
      <c r="C881" s="93"/>
      <c r="D881" s="43"/>
      <c r="E881" s="72" t="s">
        <v>25</v>
      </c>
      <c r="F881" s="20"/>
      <c r="G881" s="19"/>
      <c r="H881" s="2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</row>
    <row r="882" spans="2:40" x14ac:dyDescent="0.2">
      <c r="B882" s="92"/>
      <c r="C882" s="94"/>
      <c r="D882" s="43"/>
      <c r="E882" s="72" t="s">
        <v>26</v>
      </c>
      <c r="F882" s="20"/>
      <c r="G882" s="19"/>
      <c r="H882" s="2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</row>
    <row r="883" spans="2:40" x14ac:dyDescent="0.2">
      <c r="B883" s="88" t="s">
        <v>625</v>
      </c>
      <c r="C883" s="89"/>
      <c r="D883" s="44"/>
      <c r="E883" s="71"/>
      <c r="F883" s="16"/>
      <c r="G883" s="15"/>
      <c r="H883" s="15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</row>
    <row r="884" spans="2:40" x14ac:dyDescent="0.2">
      <c r="B884" s="90" t="s">
        <v>647</v>
      </c>
      <c r="C884" s="91"/>
      <c r="D884" s="43"/>
      <c r="E884" s="72" t="s">
        <v>22</v>
      </c>
      <c r="F884" s="20"/>
      <c r="G884" s="19"/>
      <c r="H884" s="21" t="b">
        <f>IF(D886="x",H$2,H$1)</f>
        <v>0</v>
      </c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</row>
    <row r="885" spans="2:40" x14ac:dyDescent="0.2">
      <c r="B885" s="92" t="s">
        <v>648</v>
      </c>
      <c r="C885" s="93"/>
      <c r="D885" s="43"/>
      <c r="E885" s="72" t="s">
        <v>23</v>
      </c>
      <c r="F885" s="22" t="str">
        <f>IF(H886=1,IF(H884=H$2,H884,""),"")</f>
        <v/>
      </c>
      <c r="G885" s="19"/>
      <c r="H885" s="21" t="str">
        <f>IF(E$907="comprobar",COUNTIF(D884:D888,"x"),"")</f>
        <v/>
      </c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</row>
    <row r="886" spans="2:40" x14ac:dyDescent="0.2">
      <c r="B886" s="92" t="s">
        <v>664</v>
      </c>
      <c r="C886" s="93"/>
      <c r="D886" s="43"/>
      <c r="E886" s="72" t="s">
        <v>24</v>
      </c>
      <c r="F886" s="23" t="str">
        <f>IF(H886=-0.33,IF(H884=H$1,H884,""),"")</f>
        <v/>
      </c>
      <c r="G886" s="19"/>
      <c r="H886" s="24">
        <f>IF(H885=1,IF(H884=H$2,1,-0.33),0)</f>
        <v>0</v>
      </c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</row>
    <row r="887" spans="2:40" x14ac:dyDescent="0.2">
      <c r="B887" s="92" t="s">
        <v>649</v>
      </c>
      <c r="C887" s="93"/>
      <c r="D887" s="43"/>
      <c r="E887" s="72" t="s">
        <v>25</v>
      </c>
      <c r="F887" s="20"/>
      <c r="G887" s="19"/>
      <c r="H887" s="2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</row>
    <row r="888" spans="2:40" x14ac:dyDescent="0.2">
      <c r="B888" s="92"/>
      <c r="C888" s="94"/>
      <c r="D888" s="43"/>
      <c r="E888" s="72" t="s">
        <v>26</v>
      </c>
      <c r="F888" s="20"/>
      <c r="G888" s="19"/>
      <c r="H888" s="2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</row>
    <row r="889" spans="2:40" x14ac:dyDescent="0.2">
      <c r="B889" s="88" t="s">
        <v>626</v>
      </c>
      <c r="C889" s="89"/>
      <c r="D889" s="44"/>
      <c r="E889" s="71"/>
      <c r="F889" s="16"/>
      <c r="G889" s="15"/>
      <c r="H889" s="15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</row>
    <row r="890" spans="2:40" x14ac:dyDescent="0.2">
      <c r="B890" s="90" t="s">
        <v>650</v>
      </c>
      <c r="C890" s="91"/>
      <c r="D890" s="43"/>
      <c r="E890" s="72" t="s">
        <v>22</v>
      </c>
      <c r="F890" s="20"/>
      <c r="G890" s="19"/>
      <c r="H890" s="21" t="b">
        <f>IF(D893="x",H$2,H$1)</f>
        <v>0</v>
      </c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</row>
    <row r="891" spans="2:40" x14ac:dyDescent="0.2">
      <c r="B891" s="92" t="s">
        <v>651</v>
      </c>
      <c r="C891" s="93"/>
      <c r="D891" s="43"/>
      <c r="E891" s="72" t="s">
        <v>23</v>
      </c>
      <c r="F891" s="22" t="str">
        <f>IF(H892=1,IF(H890=H$2,H890,""),"")</f>
        <v/>
      </c>
      <c r="G891" s="19"/>
      <c r="H891" s="21" t="str">
        <f>IF(E$907="comprobar",COUNTIF(D890:D894,"x"),"")</f>
        <v/>
      </c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</row>
    <row r="892" spans="2:40" x14ac:dyDescent="0.2">
      <c r="B892" s="92" t="s">
        <v>652</v>
      </c>
      <c r="C892" s="93"/>
      <c r="D892" s="43"/>
      <c r="E892" s="72" t="s">
        <v>24</v>
      </c>
      <c r="F892" s="23" t="str">
        <f>IF(H892=-0.33,IF(H890=H$1,H890,""),"")</f>
        <v/>
      </c>
      <c r="G892" s="19"/>
      <c r="H892" s="24">
        <f>IF(H891=1,IF(H890=H$2,1,-0.33),0)</f>
        <v>0</v>
      </c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</row>
    <row r="893" spans="2:40" x14ac:dyDescent="0.2">
      <c r="B893" s="92" t="s">
        <v>665</v>
      </c>
      <c r="C893" s="93"/>
      <c r="D893" s="43"/>
      <c r="E893" s="72" t="s">
        <v>25</v>
      </c>
      <c r="F893" s="20"/>
      <c r="G893" s="19"/>
      <c r="H893" s="2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</row>
    <row r="894" spans="2:40" x14ac:dyDescent="0.2">
      <c r="B894" s="92"/>
      <c r="C894" s="94"/>
      <c r="D894" s="43"/>
      <c r="E894" s="72" t="s">
        <v>26</v>
      </c>
      <c r="F894" s="20"/>
      <c r="G894" s="19"/>
      <c r="H894" s="2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</row>
    <row r="895" spans="2:40" x14ac:dyDescent="0.2">
      <c r="B895" s="88" t="s">
        <v>627</v>
      </c>
      <c r="C895" s="89"/>
      <c r="D895" s="44"/>
      <c r="E895" s="71"/>
      <c r="F895" s="16"/>
      <c r="G895" s="15"/>
      <c r="H895" s="15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</row>
    <row r="896" spans="2:40" x14ac:dyDescent="0.2">
      <c r="B896" s="90" t="s">
        <v>653</v>
      </c>
      <c r="C896" s="91"/>
      <c r="D896" s="43"/>
      <c r="E896" s="72" t="s">
        <v>22</v>
      </c>
      <c r="F896" s="20"/>
      <c r="G896" s="19"/>
      <c r="H896" s="21" t="b">
        <f>IF(D899="x",H$2,H$1)</f>
        <v>0</v>
      </c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</row>
    <row r="897" spans="2:40" x14ac:dyDescent="0.2">
      <c r="B897" s="92" t="s">
        <v>654</v>
      </c>
      <c r="C897" s="93"/>
      <c r="D897" s="43"/>
      <c r="E897" s="72" t="s">
        <v>23</v>
      </c>
      <c r="F897" s="22" t="str">
        <f>IF(H898=1,IF(H896=H$2,H896,""),"")</f>
        <v/>
      </c>
      <c r="G897" s="19"/>
      <c r="H897" s="21" t="str">
        <f>IF(E$907="comprobar",COUNTIF(D896:D900,"x"),"")</f>
        <v/>
      </c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</row>
    <row r="898" spans="2:40" x14ac:dyDescent="0.2">
      <c r="B898" s="92" t="s">
        <v>655</v>
      </c>
      <c r="C898" s="93"/>
      <c r="D898" s="43"/>
      <c r="E898" s="72" t="s">
        <v>24</v>
      </c>
      <c r="F898" s="23" t="str">
        <f>IF(H898=-0.33,IF(H896=H$1,H896,""),"")</f>
        <v/>
      </c>
      <c r="G898" s="19"/>
      <c r="H898" s="24">
        <f>IF(H897=1,IF(H896=H$2,1,-0.33),0)</f>
        <v>0</v>
      </c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</row>
    <row r="899" spans="2:40" x14ac:dyDescent="0.2">
      <c r="B899" s="92" t="s">
        <v>666</v>
      </c>
      <c r="C899" s="93"/>
      <c r="D899" s="43"/>
      <c r="E899" s="72" t="s">
        <v>25</v>
      </c>
      <c r="F899" s="20"/>
      <c r="G899" s="19"/>
      <c r="H899" s="2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</row>
    <row r="900" spans="2:40" x14ac:dyDescent="0.2">
      <c r="B900" s="92"/>
      <c r="C900" s="94"/>
      <c r="D900" s="43"/>
      <c r="E900" s="72" t="s">
        <v>26</v>
      </c>
      <c r="F900" s="12"/>
      <c r="G900" s="19"/>
      <c r="H900" s="2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</row>
    <row r="901" spans="2:40" x14ac:dyDescent="0.2">
      <c r="B901" s="88" t="s">
        <v>628</v>
      </c>
      <c r="C901" s="89"/>
      <c r="D901" s="44"/>
      <c r="E901" s="71"/>
      <c r="F901" s="30"/>
      <c r="G901" s="29"/>
      <c r="H901" s="15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</row>
    <row r="902" spans="2:40" x14ac:dyDescent="0.2">
      <c r="B902" s="90" t="s">
        <v>656</v>
      </c>
      <c r="C902" s="91"/>
      <c r="D902" s="43"/>
      <c r="E902" s="72" t="s">
        <v>22</v>
      </c>
      <c r="F902" s="27"/>
      <c r="G902" s="26"/>
      <c r="H902" s="21" t="b">
        <f>IF(D903="x",H$2,H$1)</f>
        <v>0</v>
      </c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</row>
    <row r="903" spans="2:40" x14ac:dyDescent="0.2">
      <c r="B903" s="92" t="s">
        <v>667</v>
      </c>
      <c r="C903" s="93"/>
      <c r="D903" s="43"/>
      <c r="E903" s="72" t="s">
        <v>23</v>
      </c>
      <c r="F903" s="22" t="str">
        <f>IF(H904=1,IF(H902=H$2,H902,""),"")</f>
        <v/>
      </c>
      <c r="G903" s="26"/>
      <c r="H903" s="21" t="str">
        <f>IF(E$907="comprobar",COUNTIF(D902:D906,"x"),"")</f>
        <v/>
      </c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</row>
    <row r="904" spans="2:40" x14ac:dyDescent="0.2">
      <c r="B904" s="92" t="s">
        <v>657</v>
      </c>
      <c r="C904" s="93"/>
      <c r="D904" s="43"/>
      <c r="E904" s="72" t="s">
        <v>24</v>
      </c>
      <c r="F904" s="23" t="str">
        <f>IF(H904=-0.33,IF(H902=H$1,H902,""),"")</f>
        <v/>
      </c>
      <c r="G904" s="26"/>
      <c r="H904" s="24">
        <f>IF(H903=1,IF(H902=H$2,1,-0.33),0)</f>
        <v>0</v>
      </c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</row>
    <row r="905" spans="2:40" x14ac:dyDescent="0.2">
      <c r="B905" s="93" t="s">
        <v>629</v>
      </c>
      <c r="C905" s="97"/>
      <c r="D905" s="43"/>
      <c r="E905" s="72" t="s">
        <v>25</v>
      </c>
      <c r="F905" s="28"/>
      <c r="G905" s="26"/>
      <c r="H905" s="2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</row>
    <row r="906" spans="2:40" x14ac:dyDescent="0.2">
      <c r="B906" s="92"/>
      <c r="C906" s="94"/>
      <c r="D906" s="43"/>
      <c r="E906" s="72" t="s">
        <v>26</v>
      </c>
      <c r="F906" s="28"/>
      <c r="G906" s="26"/>
      <c r="H906" s="2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</row>
    <row r="907" spans="2:40" x14ac:dyDescent="0.2">
      <c r="B907" s="50"/>
      <c r="C907" s="46"/>
      <c r="D907" s="65"/>
      <c r="E907" s="73"/>
      <c r="F907" s="20"/>
      <c r="G907" s="19"/>
      <c r="H907" s="19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</row>
    <row r="908" spans="2:40" x14ac:dyDescent="0.2">
      <c r="B908" s="50"/>
      <c r="C908" s="18"/>
      <c r="D908" s="65"/>
      <c r="E908" s="78"/>
      <c r="F908" s="31" t="s">
        <v>8</v>
      </c>
      <c r="G908" s="19" t="s">
        <v>6</v>
      </c>
      <c r="H908" s="19" t="s">
        <v>7</v>
      </c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</row>
    <row r="909" spans="2:40" ht="20" x14ac:dyDescent="0.2">
      <c r="B909" s="50"/>
      <c r="C909" s="18"/>
      <c r="D909" s="63"/>
      <c r="E909" s="70"/>
      <c r="F909" s="32" t="str">
        <f>IF(E907="comprobar",H904+H898+H892+H886+H880+H874+H868+H862+H856+H850,"")</f>
        <v/>
      </c>
      <c r="G909" s="19">
        <f>10/2</f>
        <v>5</v>
      </c>
      <c r="H909" s="19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</row>
    <row r="910" spans="2:40" ht="17" thickBot="1" x14ac:dyDescent="0.25">
      <c r="B910" s="51"/>
      <c r="C910" s="33"/>
      <c r="D910" s="34"/>
      <c r="E910" s="74"/>
      <c r="F910" s="35" t="str">
        <f>IF(F909&gt;G909,G908,H908)</f>
        <v>APROBADO</v>
      </c>
      <c r="G910" s="19"/>
      <c r="H910" s="19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</row>
    <row r="911" spans="2:40" ht="29" x14ac:dyDescent="0.35">
      <c r="B911" s="87" t="s">
        <v>78</v>
      </c>
      <c r="C911" s="112" t="s">
        <v>29</v>
      </c>
      <c r="D911" s="112"/>
      <c r="E911" s="112"/>
      <c r="F911" s="113"/>
    </row>
    <row r="912" spans="2:40" x14ac:dyDescent="0.2">
      <c r="B912" s="88" t="s">
        <v>668</v>
      </c>
      <c r="C912" s="89"/>
      <c r="D912" s="14"/>
      <c r="E912" s="14"/>
      <c r="F912" s="16"/>
      <c r="G912" s="15"/>
      <c r="H912" s="15"/>
    </row>
    <row r="913" spans="2:8" x14ac:dyDescent="0.2">
      <c r="B913" s="90" t="s">
        <v>679</v>
      </c>
      <c r="C913" s="91"/>
      <c r="D913" s="43"/>
      <c r="E913" s="63" t="s">
        <v>22</v>
      </c>
      <c r="F913" s="20"/>
      <c r="G913" s="19"/>
      <c r="H913" s="21" t="b">
        <f>IF(D914="x",H$2,H$1)</f>
        <v>0</v>
      </c>
    </row>
    <row r="914" spans="2:8" x14ac:dyDescent="0.2">
      <c r="B914" s="92" t="s">
        <v>706</v>
      </c>
      <c r="C914" s="93"/>
      <c r="D914" s="43"/>
      <c r="E914" s="63" t="s">
        <v>23</v>
      </c>
      <c r="F914" s="22" t="str">
        <f>IF(H915=1,IF(H913=H$2,H913,""),"")</f>
        <v/>
      </c>
      <c r="G914" s="19"/>
      <c r="H914" s="21" t="str">
        <f>IF(E$972="comprobar",COUNTIF(D913:D917,"x"),"")</f>
        <v/>
      </c>
    </row>
    <row r="915" spans="2:8" x14ac:dyDescent="0.2">
      <c r="B915" s="92" t="s">
        <v>680</v>
      </c>
      <c r="C915" s="93"/>
      <c r="D915" s="43"/>
      <c r="E915" s="63" t="s">
        <v>24</v>
      </c>
      <c r="F915" s="23" t="str">
        <f>IF(H915=-0.33,IF(H913=H$1,H913,""),"")</f>
        <v/>
      </c>
      <c r="G915" s="19"/>
      <c r="H915" s="24">
        <f>IF(H914=1,IF(H913=H$2,1,-0.33),0)</f>
        <v>0</v>
      </c>
    </row>
    <row r="916" spans="2:8" x14ac:dyDescent="0.2">
      <c r="B916" s="92" t="s">
        <v>681</v>
      </c>
      <c r="C916" s="93"/>
      <c r="D916" s="43"/>
      <c r="E916" s="63" t="s">
        <v>25</v>
      </c>
      <c r="F916" s="20"/>
      <c r="G916" s="19"/>
      <c r="H916" s="24"/>
    </row>
    <row r="917" spans="2:8" x14ac:dyDescent="0.2">
      <c r="B917" s="92"/>
      <c r="C917" s="94"/>
      <c r="D917" s="43"/>
      <c r="E917" s="63" t="s">
        <v>26</v>
      </c>
      <c r="F917" s="20"/>
      <c r="G917" s="19"/>
      <c r="H917" s="24"/>
    </row>
    <row r="918" spans="2:8" x14ac:dyDescent="0.2">
      <c r="B918" s="88" t="s">
        <v>669</v>
      </c>
      <c r="C918" s="89"/>
      <c r="D918" s="44"/>
      <c r="E918" s="14"/>
      <c r="F918" s="16"/>
      <c r="G918" s="15"/>
      <c r="H918" s="15"/>
    </row>
    <row r="919" spans="2:8" x14ac:dyDescent="0.2">
      <c r="B919" s="90" t="s">
        <v>682</v>
      </c>
      <c r="C919" s="91"/>
      <c r="D919" s="43"/>
      <c r="E919" s="63" t="s">
        <v>22</v>
      </c>
      <c r="F919" s="20"/>
      <c r="G919" s="19"/>
      <c r="H919" s="21" t="b">
        <f>IF(D921="x",H$2,H$1)</f>
        <v>0</v>
      </c>
    </row>
    <row r="920" spans="2:8" x14ac:dyDescent="0.2">
      <c r="B920" s="92" t="s">
        <v>683</v>
      </c>
      <c r="C920" s="93"/>
      <c r="D920" s="43"/>
      <c r="E920" s="63" t="s">
        <v>23</v>
      </c>
      <c r="F920" s="22" t="str">
        <f>IF(H921=1,IF(H919=H$2,H919,""),"")</f>
        <v/>
      </c>
      <c r="G920" s="19"/>
      <c r="H920" s="21" t="str">
        <f>IF(E$972="comprobar",COUNTIF(D919:D923,"x"),"")</f>
        <v/>
      </c>
    </row>
    <row r="921" spans="2:8" x14ac:dyDescent="0.2">
      <c r="B921" s="92" t="s">
        <v>707</v>
      </c>
      <c r="C921" s="93"/>
      <c r="D921" s="43"/>
      <c r="E921" s="63" t="s">
        <v>24</v>
      </c>
      <c r="F921" s="23" t="str">
        <f>IF(H921=-0.33,IF(H919=H$1,H919,""),"")</f>
        <v/>
      </c>
      <c r="G921" s="19"/>
      <c r="H921" s="24">
        <f>IF(H920=1,IF(H919=H$2,1,-0.33),0)</f>
        <v>0</v>
      </c>
    </row>
    <row r="922" spans="2:8" x14ac:dyDescent="0.2">
      <c r="B922" s="92" t="s">
        <v>684</v>
      </c>
      <c r="C922" s="93"/>
      <c r="D922" s="43"/>
      <c r="E922" s="63" t="s">
        <v>25</v>
      </c>
      <c r="F922" s="20"/>
      <c r="G922" s="19"/>
      <c r="H922" s="24"/>
    </row>
    <row r="923" spans="2:8" x14ac:dyDescent="0.2">
      <c r="B923" s="92"/>
      <c r="C923" s="94"/>
      <c r="D923" s="43"/>
      <c r="E923" s="63" t="s">
        <v>26</v>
      </c>
      <c r="F923" s="20"/>
      <c r="G923" s="19"/>
      <c r="H923" s="24"/>
    </row>
    <row r="924" spans="2:8" x14ac:dyDescent="0.2">
      <c r="B924" s="88" t="s">
        <v>670</v>
      </c>
      <c r="C924" s="95"/>
      <c r="D924" s="44"/>
      <c r="E924" s="14"/>
      <c r="F924" s="16"/>
      <c r="G924" s="15"/>
      <c r="H924" s="15"/>
    </row>
    <row r="925" spans="2:8" x14ac:dyDescent="0.2">
      <c r="B925" s="90" t="s">
        <v>685</v>
      </c>
      <c r="C925" s="91"/>
      <c r="D925" s="43"/>
      <c r="E925" s="63" t="s">
        <v>22</v>
      </c>
      <c r="F925" s="20"/>
      <c r="G925" s="19"/>
      <c r="H925" s="21" t="b">
        <f>IF(D927="x",H$2,H$1)</f>
        <v>0</v>
      </c>
    </row>
    <row r="926" spans="2:8" x14ac:dyDescent="0.2">
      <c r="B926" s="92" t="s">
        <v>686</v>
      </c>
      <c r="C926" s="93"/>
      <c r="D926" s="43"/>
      <c r="E926" s="63" t="s">
        <v>23</v>
      </c>
      <c r="F926" s="22" t="str">
        <f>IF(H927=1,IF(H925=H$2,H925,""),"")</f>
        <v/>
      </c>
      <c r="G926" s="19"/>
      <c r="H926" s="21" t="str">
        <f>IF(E$972="comprobar",COUNTIF(D925:D929,"x"),"")</f>
        <v/>
      </c>
    </row>
    <row r="927" spans="2:8" x14ac:dyDescent="0.2">
      <c r="B927" s="92" t="s">
        <v>708</v>
      </c>
      <c r="C927" s="93"/>
      <c r="D927" s="43"/>
      <c r="E927" s="63" t="s">
        <v>24</v>
      </c>
      <c r="F927" s="23" t="str">
        <f>IF(H927=-0.33,IF(H925=H$1,H925,""),"")</f>
        <v/>
      </c>
      <c r="G927" s="19"/>
      <c r="H927" s="24">
        <f>IF(H926=1,IF(H925=H$2,1,-0.33),0)</f>
        <v>0</v>
      </c>
    </row>
    <row r="928" spans="2:8" x14ac:dyDescent="0.2">
      <c r="B928" s="92" t="s">
        <v>687</v>
      </c>
      <c r="C928" s="93"/>
      <c r="D928" s="43"/>
      <c r="E928" s="63" t="s">
        <v>25</v>
      </c>
      <c r="F928" s="20"/>
      <c r="G928" s="19"/>
      <c r="H928" s="24"/>
    </row>
    <row r="929" spans="2:8" x14ac:dyDescent="0.2">
      <c r="B929" s="92"/>
      <c r="C929" s="94"/>
      <c r="D929" s="43"/>
      <c r="E929" s="63" t="s">
        <v>26</v>
      </c>
      <c r="F929" s="20"/>
      <c r="G929" s="19"/>
      <c r="H929" s="24"/>
    </row>
    <row r="930" spans="2:8" x14ac:dyDescent="0.2">
      <c r="B930" s="88" t="s">
        <v>671</v>
      </c>
      <c r="C930" s="89"/>
      <c r="D930" s="44"/>
      <c r="E930" s="14"/>
      <c r="F930" s="16"/>
      <c r="G930" s="15"/>
      <c r="H930" s="15"/>
    </row>
    <row r="931" spans="2:8" x14ac:dyDescent="0.2">
      <c r="B931" s="90" t="s">
        <v>688</v>
      </c>
      <c r="C931" s="91"/>
      <c r="D931" s="43"/>
      <c r="E931" s="63" t="s">
        <v>22</v>
      </c>
      <c r="F931" s="20"/>
      <c r="G931" s="19"/>
      <c r="H931" s="21" t="b">
        <f>IF(D932="x",H$2,H$1)</f>
        <v>0</v>
      </c>
    </row>
    <row r="932" spans="2:8" x14ac:dyDescent="0.2">
      <c r="B932" s="92" t="s">
        <v>709</v>
      </c>
      <c r="C932" s="93"/>
      <c r="D932" s="43"/>
      <c r="E932" s="63" t="s">
        <v>23</v>
      </c>
      <c r="F932" s="22" t="str">
        <f>IF(H933=1,IF(H931=H$2,H931,""),"")</f>
        <v/>
      </c>
      <c r="G932" s="19"/>
      <c r="H932" s="21" t="str">
        <f>IF(E$972="comprobar",COUNTIF(D931:D935,"x"),"")</f>
        <v/>
      </c>
    </row>
    <row r="933" spans="2:8" x14ac:dyDescent="0.2">
      <c r="B933" s="92" t="s">
        <v>689</v>
      </c>
      <c r="C933" s="93"/>
      <c r="D933" s="43"/>
      <c r="E933" s="63" t="s">
        <v>24</v>
      </c>
      <c r="F933" s="23" t="str">
        <f>IF(H933=-0.33,IF(H931=H$1,H931,""),"")</f>
        <v/>
      </c>
      <c r="G933" s="19"/>
      <c r="H933" s="24">
        <f>IF(H932=1,IF(H931=H$2,1,-0.33),0)</f>
        <v>0</v>
      </c>
    </row>
    <row r="934" spans="2:8" x14ac:dyDescent="0.2">
      <c r="B934" s="92" t="s">
        <v>690</v>
      </c>
      <c r="C934" s="93"/>
      <c r="D934" s="43"/>
      <c r="E934" s="63" t="s">
        <v>25</v>
      </c>
      <c r="F934" s="20"/>
      <c r="G934" s="19"/>
      <c r="H934" s="24"/>
    </row>
    <row r="935" spans="2:8" x14ac:dyDescent="0.2">
      <c r="B935" s="92"/>
      <c r="C935" s="94"/>
      <c r="D935" s="43"/>
      <c r="E935" s="63" t="s">
        <v>26</v>
      </c>
      <c r="F935" s="20"/>
      <c r="G935" s="19"/>
      <c r="H935" s="24"/>
    </row>
    <row r="936" spans="2:8" x14ac:dyDescent="0.2">
      <c r="B936" s="88" t="s">
        <v>672</v>
      </c>
      <c r="C936" s="89"/>
      <c r="D936" s="44"/>
      <c r="E936" s="14"/>
      <c r="F936" s="16"/>
      <c r="G936" s="15"/>
      <c r="H936" s="15"/>
    </row>
    <row r="937" spans="2:8" x14ac:dyDescent="0.2">
      <c r="B937" s="90" t="s">
        <v>691</v>
      </c>
      <c r="C937" s="91"/>
      <c r="D937" s="43"/>
      <c r="E937" s="63" t="s">
        <v>22</v>
      </c>
      <c r="F937" s="20"/>
      <c r="G937" s="19"/>
      <c r="H937" s="21" t="b">
        <f>IF(D939="x",H$2,H$1)</f>
        <v>0</v>
      </c>
    </row>
    <row r="938" spans="2:8" x14ac:dyDescent="0.2">
      <c r="B938" s="92" t="s">
        <v>692</v>
      </c>
      <c r="C938" s="93"/>
      <c r="D938" s="43"/>
      <c r="E938" s="63" t="s">
        <v>23</v>
      </c>
      <c r="F938" s="22" t="str">
        <f>IF(H939=1,IF(H937=H$2,H937,""),"")</f>
        <v/>
      </c>
      <c r="G938" s="19"/>
      <c r="H938" s="21" t="str">
        <f>IF(E$972="comprobar",COUNTIF(D937:D941,"x"),"")</f>
        <v/>
      </c>
    </row>
    <row r="939" spans="2:8" x14ac:dyDescent="0.2">
      <c r="B939" s="92" t="s">
        <v>710</v>
      </c>
      <c r="C939" s="93"/>
      <c r="D939" s="43"/>
      <c r="E939" s="63" t="s">
        <v>24</v>
      </c>
      <c r="F939" s="23" t="str">
        <f>IF(H939=-0.33,IF(H937=H$1,H937,""),"")</f>
        <v/>
      </c>
      <c r="G939" s="19"/>
      <c r="H939" s="24">
        <f>IF(H938=1,IF(H937=H$2,1,-0.33),0)</f>
        <v>0</v>
      </c>
    </row>
    <row r="940" spans="2:8" x14ac:dyDescent="0.2">
      <c r="B940" s="92" t="s">
        <v>693</v>
      </c>
      <c r="C940" s="93"/>
      <c r="D940" s="43"/>
      <c r="E940" s="63" t="s">
        <v>25</v>
      </c>
      <c r="F940" s="20"/>
      <c r="G940" s="19"/>
      <c r="H940" s="24"/>
    </row>
    <row r="941" spans="2:8" x14ac:dyDescent="0.2">
      <c r="B941" s="92"/>
      <c r="C941" s="94"/>
      <c r="D941" s="43"/>
      <c r="E941" s="63" t="s">
        <v>26</v>
      </c>
      <c r="F941" s="20"/>
      <c r="G941" s="19"/>
      <c r="H941" s="24"/>
    </row>
    <row r="942" spans="2:8" x14ac:dyDescent="0.2">
      <c r="B942" s="88" t="s">
        <v>673</v>
      </c>
      <c r="C942" s="89"/>
      <c r="D942" s="44"/>
      <c r="E942" s="14"/>
      <c r="F942" s="16"/>
      <c r="G942" s="15"/>
      <c r="H942" s="15"/>
    </row>
    <row r="943" spans="2:8" x14ac:dyDescent="0.2">
      <c r="B943" s="90" t="s">
        <v>711</v>
      </c>
      <c r="C943" s="91"/>
      <c r="D943" s="43"/>
      <c r="E943" s="63" t="s">
        <v>22</v>
      </c>
      <c r="F943" s="20"/>
      <c r="G943" s="19"/>
      <c r="H943" s="21" t="b">
        <f>IF(D943="x",H$2,H$1)</f>
        <v>0</v>
      </c>
    </row>
    <row r="944" spans="2:8" x14ac:dyDescent="0.2">
      <c r="B944" s="92" t="s">
        <v>694</v>
      </c>
      <c r="C944" s="93"/>
      <c r="D944" s="43"/>
      <c r="E944" s="63" t="s">
        <v>23</v>
      </c>
      <c r="F944" s="22" t="str">
        <f>IF(H945=1,IF(H943=H$2,H943,""),"")</f>
        <v/>
      </c>
      <c r="G944" s="19"/>
      <c r="H944" s="21" t="str">
        <f>IF(E$972="comprobar",COUNTIF(D943:D947,"x"),"")</f>
        <v/>
      </c>
    </row>
    <row r="945" spans="2:8" x14ac:dyDescent="0.2">
      <c r="B945" s="92" t="s">
        <v>695</v>
      </c>
      <c r="C945" s="93"/>
      <c r="D945" s="43"/>
      <c r="E945" s="63" t="s">
        <v>24</v>
      </c>
      <c r="F945" s="23" t="str">
        <f>IF(H945=-0.33,IF(H943=H$1,H943,""),"")</f>
        <v/>
      </c>
      <c r="G945" s="19"/>
      <c r="H945" s="24">
        <f>IF(H944=1,IF(H943=H$2,1,-0.33),0)</f>
        <v>0</v>
      </c>
    </row>
    <row r="946" spans="2:8" x14ac:dyDescent="0.2">
      <c r="B946" s="92" t="s">
        <v>583</v>
      </c>
      <c r="C946" s="93"/>
      <c r="D946" s="43"/>
      <c r="E946" s="63" t="s">
        <v>25</v>
      </c>
      <c r="F946" s="20"/>
      <c r="G946" s="19"/>
      <c r="H946" s="24"/>
    </row>
    <row r="947" spans="2:8" x14ac:dyDescent="0.2">
      <c r="B947" s="92"/>
      <c r="C947" s="94"/>
      <c r="D947" s="43"/>
      <c r="E947" s="63" t="s">
        <v>26</v>
      </c>
      <c r="F947" s="20"/>
      <c r="G947" s="19"/>
      <c r="H947" s="24"/>
    </row>
    <row r="948" spans="2:8" x14ac:dyDescent="0.2">
      <c r="B948" s="88" t="s">
        <v>674</v>
      </c>
      <c r="C948" s="89"/>
      <c r="D948" s="44"/>
      <c r="E948" s="14"/>
      <c r="F948" s="16"/>
      <c r="G948" s="15"/>
      <c r="H948" s="15"/>
    </row>
    <row r="949" spans="2:8" x14ac:dyDescent="0.2">
      <c r="B949" s="90" t="s">
        <v>696</v>
      </c>
      <c r="C949" s="91"/>
      <c r="D949" s="43"/>
      <c r="E949" s="63" t="s">
        <v>22</v>
      </c>
      <c r="F949" s="20"/>
      <c r="G949" s="19"/>
      <c r="H949" s="21" t="b">
        <f>IF(D951="x",H$2,H$1)</f>
        <v>0</v>
      </c>
    </row>
    <row r="950" spans="2:8" x14ac:dyDescent="0.2">
      <c r="B950" s="92" t="s">
        <v>697</v>
      </c>
      <c r="C950" s="93"/>
      <c r="D950" s="43"/>
      <c r="E950" s="63" t="s">
        <v>23</v>
      </c>
      <c r="F950" s="22" t="str">
        <f>IF(H951=1,IF(H949=H$2,H949,""),"")</f>
        <v/>
      </c>
      <c r="G950" s="19"/>
      <c r="H950" s="21" t="str">
        <f>IF(E$972="comprobar",COUNTIF(D949:D953,"x"),"")</f>
        <v/>
      </c>
    </row>
    <row r="951" spans="2:8" x14ac:dyDescent="0.2">
      <c r="B951" s="92" t="s">
        <v>712</v>
      </c>
      <c r="C951" s="93"/>
      <c r="D951" s="43"/>
      <c r="E951" s="63" t="s">
        <v>24</v>
      </c>
      <c r="F951" s="23" t="str">
        <f>IF(H951=-0.33,IF(H949=H$1,H949,""),"")</f>
        <v/>
      </c>
      <c r="G951" s="19"/>
      <c r="H951" s="24">
        <f>IF(H950=1,IF(H949=H$2,1,-0.33),0)</f>
        <v>0</v>
      </c>
    </row>
    <row r="952" spans="2:8" x14ac:dyDescent="0.2">
      <c r="B952" s="92" t="s">
        <v>698</v>
      </c>
      <c r="C952" s="93"/>
      <c r="D952" s="43"/>
      <c r="E952" s="63" t="s">
        <v>25</v>
      </c>
      <c r="F952" s="20"/>
      <c r="G952" s="19"/>
      <c r="H952" s="24"/>
    </row>
    <row r="953" spans="2:8" x14ac:dyDescent="0.2">
      <c r="B953" s="92"/>
      <c r="C953" s="94"/>
      <c r="D953" s="43"/>
      <c r="E953" s="63" t="s">
        <v>26</v>
      </c>
      <c r="F953" s="20"/>
      <c r="G953" s="19"/>
      <c r="H953" s="24"/>
    </row>
    <row r="954" spans="2:8" x14ac:dyDescent="0.2">
      <c r="B954" s="88" t="s">
        <v>675</v>
      </c>
      <c r="C954" s="89"/>
      <c r="D954" s="44"/>
      <c r="E954" s="14"/>
      <c r="F954" s="16"/>
      <c r="G954" s="15"/>
      <c r="H954" s="15"/>
    </row>
    <row r="955" spans="2:8" x14ac:dyDescent="0.2">
      <c r="B955" s="90" t="s">
        <v>699</v>
      </c>
      <c r="C955" s="91"/>
      <c r="D955" s="43"/>
      <c r="E955" s="63" t="s">
        <v>22</v>
      </c>
      <c r="F955" s="20"/>
      <c r="G955" s="19"/>
      <c r="H955" s="21" t="b">
        <f>IF(D957="x",H$2,H$1)</f>
        <v>0</v>
      </c>
    </row>
    <row r="956" spans="2:8" x14ac:dyDescent="0.2">
      <c r="B956" s="92" t="s">
        <v>700</v>
      </c>
      <c r="C956" s="93"/>
      <c r="D956" s="43"/>
      <c r="E956" s="63" t="s">
        <v>23</v>
      </c>
      <c r="F956" s="22" t="str">
        <f>IF(H957=1,IF(H955=H$2,H955,""),"")</f>
        <v/>
      </c>
      <c r="G956" s="19"/>
      <c r="H956" s="21" t="str">
        <f>IF(E$972="comprobar",COUNTIF(D955:D959,"x"),"")</f>
        <v/>
      </c>
    </row>
    <row r="957" spans="2:8" x14ac:dyDescent="0.2">
      <c r="B957" s="92" t="s">
        <v>713</v>
      </c>
      <c r="C957" s="93"/>
      <c r="D957" s="43"/>
      <c r="E957" s="63" t="s">
        <v>24</v>
      </c>
      <c r="F957" s="23" t="str">
        <f>IF(H957=-0.33,IF(H955=H$1,H955,""),"")</f>
        <v/>
      </c>
      <c r="G957" s="19"/>
      <c r="H957" s="24">
        <f>IF(H956=1,IF(H955=H$2,1,-0.33),0)</f>
        <v>0</v>
      </c>
    </row>
    <row r="958" spans="2:8" x14ac:dyDescent="0.2">
      <c r="B958" s="92" t="s">
        <v>583</v>
      </c>
      <c r="C958" s="93"/>
      <c r="D958" s="43"/>
      <c r="E958" s="63" t="s">
        <v>25</v>
      </c>
      <c r="F958" s="20"/>
      <c r="G958" s="19"/>
      <c r="H958" s="24"/>
    </row>
    <row r="959" spans="2:8" x14ac:dyDescent="0.2">
      <c r="B959" s="92"/>
      <c r="C959" s="94"/>
      <c r="D959" s="43"/>
      <c r="E959" s="63" t="s">
        <v>26</v>
      </c>
      <c r="F959" s="20"/>
      <c r="G959" s="19"/>
      <c r="H959" s="24"/>
    </row>
    <row r="960" spans="2:8" x14ac:dyDescent="0.2">
      <c r="B960" s="88" t="s">
        <v>676</v>
      </c>
      <c r="C960" s="89"/>
      <c r="D960" s="44"/>
      <c r="E960" s="14"/>
      <c r="F960" s="16"/>
      <c r="G960" s="15"/>
      <c r="H960" s="15"/>
    </row>
    <row r="961" spans="2:8" x14ac:dyDescent="0.2">
      <c r="B961" s="90" t="s">
        <v>714</v>
      </c>
      <c r="C961" s="91"/>
      <c r="D961" s="43"/>
      <c r="E961" s="63" t="s">
        <v>22</v>
      </c>
      <c r="F961" s="20"/>
      <c r="G961" s="19"/>
      <c r="H961" s="21" t="b">
        <f>IF(D961="x",H$2,H$1)</f>
        <v>0</v>
      </c>
    </row>
    <row r="962" spans="2:8" x14ac:dyDescent="0.2">
      <c r="B962" s="92" t="s">
        <v>701</v>
      </c>
      <c r="C962" s="93"/>
      <c r="D962" s="43"/>
      <c r="E962" s="63" t="s">
        <v>23</v>
      </c>
      <c r="F962" s="22" t="str">
        <f>IF(H963=1,IF(H961=H$2,H961,""),"")</f>
        <v/>
      </c>
      <c r="G962" s="19"/>
      <c r="H962" s="21" t="str">
        <f>IF(E$972="comprobar",COUNTIF(D961:D965,"x"),"")</f>
        <v/>
      </c>
    </row>
    <row r="963" spans="2:8" x14ac:dyDescent="0.2">
      <c r="B963" s="92" t="s">
        <v>702</v>
      </c>
      <c r="C963" s="93"/>
      <c r="D963" s="43"/>
      <c r="E963" s="63" t="s">
        <v>24</v>
      </c>
      <c r="F963" s="23" t="str">
        <f>IF(H963=-0.33,IF(H961=H$1,H961,""),"")</f>
        <v/>
      </c>
      <c r="G963" s="19"/>
      <c r="H963" s="24">
        <f>IF(H962=1,IF(H961=H$2,1,-0.33),0)</f>
        <v>0</v>
      </c>
    </row>
    <row r="964" spans="2:8" x14ac:dyDescent="0.2">
      <c r="B964" s="92" t="s">
        <v>703</v>
      </c>
      <c r="C964" s="93"/>
      <c r="D964" s="43"/>
      <c r="E964" s="63" t="s">
        <v>25</v>
      </c>
      <c r="F964" s="20"/>
      <c r="G964" s="19"/>
      <c r="H964" s="24"/>
    </row>
    <row r="965" spans="2:8" x14ac:dyDescent="0.2">
      <c r="B965" s="92"/>
      <c r="C965" s="94"/>
      <c r="D965" s="43"/>
      <c r="E965" s="63" t="s">
        <v>26</v>
      </c>
      <c r="F965" s="12"/>
      <c r="G965" s="19"/>
      <c r="H965" s="24"/>
    </row>
    <row r="966" spans="2:8" x14ac:dyDescent="0.2">
      <c r="B966" s="88" t="s">
        <v>677</v>
      </c>
      <c r="C966" s="89"/>
      <c r="D966" s="44"/>
      <c r="E966" s="14"/>
      <c r="F966" s="30"/>
      <c r="G966" s="29"/>
      <c r="H966" s="15"/>
    </row>
    <row r="967" spans="2:8" x14ac:dyDescent="0.2">
      <c r="B967" s="90" t="s">
        <v>704</v>
      </c>
      <c r="C967" s="91"/>
      <c r="D967" s="43"/>
      <c r="E967" s="63" t="s">
        <v>22</v>
      </c>
      <c r="F967" s="27"/>
      <c r="G967" s="26"/>
      <c r="H967" s="21" t="b">
        <f>IF(D968="x",H$2,H$1)</f>
        <v>0</v>
      </c>
    </row>
    <row r="968" spans="2:8" x14ac:dyDescent="0.2">
      <c r="B968" s="92" t="s">
        <v>715</v>
      </c>
      <c r="C968" s="93"/>
      <c r="D968" s="43"/>
      <c r="E968" s="63" t="s">
        <v>23</v>
      </c>
      <c r="F968" s="22" t="str">
        <f>IF(H969=1,IF(H967=H$2,H967,""),"")</f>
        <v/>
      </c>
      <c r="G968" s="26"/>
      <c r="H968" s="21" t="str">
        <f>IF(E$972="comprobar",COUNTIF(D967:D971,"x"),"")</f>
        <v/>
      </c>
    </row>
    <row r="969" spans="2:8" x14ac:dyDescent="0.2">
      <c r="B969" s="92" t="s">
        <v>705</v>
      </c>
      <c r="C969" s="93"/>
      <c r="D969" s="43"/>
      <c r="E969" s="63" t="s">
        <v>24</v>
      </c>
      <c r="F969" s="23" t="str">
        <f>IF(H969=-0.33,IF(H967=H$1,H967,""),"")</f>
        <v/>
      </c>
      <c r="G969" s="26"/>
      <c r="H969" s="24">
        <f>IF(H968=1,IF(H967=H$2,1,-0.33),0)</f>
        <v>0</v>
      </c>
    </row>
    <row r="970" spans="2:8" x14ac:dyDescent="0.2">
      <c r="B970" s="93" t="s">
        <v>678</v>
      </c>
      <c r="C970" s="93"/>
      <c r="D970" s="43"/>
      <c r="E970" s="63" t="s">
        <v>25</v>
      </c>
      <c r="F970" s="28"/>
      <c r="G970" s="26"/>
      <c r="H970" s="24"/>
    </row>
    <row r="971" spans="2:8" x14ac:dyDescent="0.2">
      <c r="B971" s="92"/>
      <c r="C971" s="94"/>
      <c r="D971" s="43"/>
      <c r="E971" s="63" t="s">
        <v>26</v>
      </c>
      <c r="F971" s="28"/>
      <c r="G971" s="26"/>
      <c r="H971" s="24"/>
    </row>
    <row r="972" spans="2:8" x14ac:dyDescent="0.2">
      <c r="B972" s="50"/>
      <c r="C972" s="46"/>
      <c r="D972" s="65"/>
      <c r="E972" s="77"/>
      <c r="F972" s="20"/>
      <c r="G972" s="19"/>
      <c r="H972" s="19"/>
    </row>
    <row r="973" spans="2:8" x14ac:dyDescent="0.2">
      <c r="B973" s="50"/>
      <c r="C973" s="18"/>
      <c r="D973" s="65"/>
      <c r="E973" s="65"/>
      <c r="F973" s="31" t="s">
        <v>8</v>
      </c>
      <c r="G973" s="19" t="s">
        <v>6</v>
      </c>
      <c r="H973" s="19" t="s">
        <v>7</v>
      </c>
    </row>
    <row r="974" spans="2:8" ht="20" x14ac:dyDescent="0.2">
      <c r="B974" s="50"/>
      <c r="C974" s="18"/>
      <c r="D974" s="62"/>
      <c r="E974" s="1"/>
      <c r="F974" s="32" t="str">
        <f>IF(E972="comprobar",H969+H963+H957+H951+H945+H939+H933+H927+H921+H915,"")</f>
        <v/>
      </c>
      <c r="G974" s="19">
        <f>10/2</f>
        <v>5</v>
      </c>
      <c r="H974" s="19"/>
    </row>
    <row r="975" spans="2:8" ht="17" thickBot="1" x14ac:dyDescent="0.25">
      <c r="B975" s="51"/>
      <c r="C975" s="33"/>
      <c r="D975" s="34"/>
      <c r="E975" s="9"/>
      <c r="F975" s="35" t="str">
        <f>IF(F974&gt;G974,G973,H973)</f>
        <v>APROBADO</v>
      </c>
      <c r="G975" s="19"/>
      <c r="H975" s="19"/>
    </row>
    <row r="976" spans="2:8" ht="29" x14ac:dyDescent="0.35">
      <c r="B976" s="87" t="s">
        <v>78</v>
      </c>
      <c r="C976" s="112" t="s">
        <v>1085</v>
      </c>
      <c r="D976" s="112"/>
      <c r="E976" s="112"/>
      <c r="F976" s="113"/>
    </row>
    <row r="977" spans="1:8" s="17" customFormat="1" x14ac:dyDescent="0.2">
      <c r="A977" s="4"/>
      <c r="B977" s="48" t="s">
        <v>716</v>
      </c>
      <c r="C977" s="36"/>
      <c r="D977" s="14"/>
      <c r="E977" s="14"/>
      <c r="F977" s="16"/>
      <c r="G977" s="29"/>
      <c r="H977" s="15"/>
    </row>
    <row r="978" spans="1:8" x14ac:dyDescent="0.2">
      <c r="B978" s="47" t="s">
        <v>717</v>
      </c>
      <c r="C978" s="56" t="s">
        <v>162</v>
      </c>
      <c r="D978" s="43"/>
      <c r="E978" s="83" t="s">
        <v>22</v>
      </c>
      <c r="F978" s="20"/>
      <c r="G978" s="26"/>
      <c r="H978" s="21" t="b">
        <f>IF(D979="x",H$2,H$1)</f>
        <v>0</v>
      </c>
    </row>
    <row r="979" spans="1:8" x14ac:dyDescent="0.2">
      <c r="B979" s="47" t="s">
        <v>717</v>
      </c>
      <c r="C979" s="57" t="s">
        <v>165</v>
      </c>
      <c r="D979" s="43"/>
      <c r="E979" s="83" t="s">
        <v>23</v>
      </c>
      <c r="F979" s="22" t="str">
        <f>IF(H980=1,IF(H978=H$2,H978,""),"")</f>
        <v/>
      </c>
      <c r="G979" s="26"/>
      <c r="H979" s="21" t="str">
        <f>IF(E$1391="comprobar",COUNTIF(D978:D982,"x"),"")</f>
        <v/>
      </c>
    </row>
    <row r="980" spans="1:8" x14ac:dyDescent="0.2">
      <c r="B980" s="47" t="s">
        <v>717</v>
      </c>
      <c r="C980" s="57" t="s">
        <v>163</v>
      </c>
      <c r="D980" s="43"/>
      <c r="E980" s="83" t="s">
        <v>24</v>
      </c>
      <c r="F980" s="23" t="str">
        <f>IF(H980=-0.33,IF(H978=H$1,H978,""),"")</f>
        <v/>
      </c>
      <c r="G980" s="26"/>
      <c r="H980" s="24">
        <f>IF(H979=1,IF(H978=H$2,1,-0.33),0)</f>
        <v>0</v>
      </c>
    </row>
    <row r="981" spans="1:8" x14ac:dyDescent="0.2">
      <c r="B981" s="47" t="s">
        <v>717</v>
      </c>
      <c r="C981" s="57" t="s">
        <v>161</v>
      </c>
      <c r="D981" s="43"/>
      <c r="E981" s="83" t="s">
        <v>25</v>
      </c>
      <c r="F981" s="20"/>
      <c r="G981" s="26"/>
      <c r="H981" s="24"/>
    </row>
    <row r="982" spans="1:8" x14ac:dyDescent="0.2">
      <c r="B982" s="47"/>
      <c r="C982" s="8"/>
      <c r="D982" s="43"/>
      <c r="E982" s="83" t="s">
        <v>26</v>
      </c>
      <c r="F982" s="20"/>
      <c r="G982" s="19"/>
      <c r="H982" s="24"/>
    </row>
    <row r="983" spans="1:8" s="17" customFormat="1" x14ac:dyDescent="0.2">
      <c r="A983" s="4"/>
      <c r="B983" s="48" t="s">
        <v>718</v>
      </c>
      <c r="C983" s="36"/>
      <c r="D983" s="44"/>
      <c r="E983" s="14"/>
      <c r="F983" s="16"/>
      <c r="G983" s="29"/>
      <c r="H983" s="15"/>
    </row>
    <row r="984" spans="1:8" x14ac:dyDescent="0.2">
      <c r="B984" s="47" t="s">
        <v>717</v>
      </c>
      <c r="C984" s="56" t="s">
        <v>189</v>
      </c>
      <c r="D984" s="43"/>
      <c r="E984" s="83" t="s">
        <v>22</v>
      </c>
      <c r="F984" s="20"/>
      <c r="G984" s="26"/>
      <c r="H984" s="21" t="b">
        <f>IF(D986="x",H$2,H$1)</f>
        <v>0</v>
      </c>
    </row>
    <row r="985" spans="1:8" x14ac:dyDescent="0.2">
      <c r="B985" s="47" t="s">
        <v>717</v>
      </c>
      <c r="C985" s="57" t="s">
        <v>190</v>
      </c>
      <c r="D985" s="43"/>
      <c r="E985" s="83" t="s">
        <v>23</v>
      </c>
      <c r="F985" s="22" t="str">
        <f>IF(H986=1,IF(H984=H$2,H984,""),"")</f>
        <v/>
      </c>
      <c r="G985" s="26"/>
      <c r="H985" s="21" t="str">
        <f>IF(E$1391="comprobar",COUNTIF(D984:D988,"x"),"")</f>
        <v/>
      </c>
    </row>
    <row r="986" spans="1:8" x14ac:dyDescent="0.2">
      <c r="B986" s="47" t="s">
        <v>717</v>
      </c>
      <c r="C986" s="57" t="s">
        <v>192</v>
      </c>
      <c r="D986" s="43"/>
      <c r="E986" s="83" t="s">
        <v>24</v>
      </c>
      <c r="F986" s="23" t="str">
        <f>IF(H986=-0.33,IF(H984=H$1,H984,""),"")</f>
        <v/>
      </c>
      <c r="G986" s="26"/>
      <c r="H986" s="24">
        <f>IF(H985=1,IF(H984=H$2,1,-0.33),0)</f>
        <v>0</v>
      </c>
    </row>
    <row r="987" spans="1:8" x14ac:dyDescent="0.2">
      <c r="B987" s="47" t="s">
        <v>717</v>
      </c>
      <c r="C987" s="57" t="s">
        <v>191</v>
      </c>
      <c r="D987" s="43"/>
      <c r="E987" s="83" t="s">
        <v>25</v>
      </c>
      <c r="F987" s="20"/>
      <c r="G987" s="26"/>
      <c r="H987" s="24"/>
    </row>
    <row r="988" spans="1:8" x14ac:dyDescent="0.2">
      <c r="B988" s="47"/>
      <c r="C988" s="8"/>
      <c r="D988" s="43"/>
      <c r="E988" s="83" t="s">
        <v>26</v>
      </c>
      <c r="F988" s="20"/>
      <c r="G988" s="19"/>
      <c r="H988" s="24"/>
    </row>
    <row r="989" spans="1:8" s="17" customFormat="1" x14ac:dyDescent="0.2">
      <c r="A989" s="4"/>
      <c r="B989" s="48" t="s">
        <v>719</v>
      </c>
      <c r="C989" s="36"/>
      <c r="D989" s="44"/>
      <c r="E989" s="14"/>
      <c r="F989" s="16"/>
      <c r="G989" s="29"/>
      <c r="H989" s="15"/>
    </row>
    <row r="990" spans="1:8" x14ac:dyDescent="0.2">
      <c r="B990" s="47" t="s">
        <v>717</v>
      </c>
      <c r="C990" s="56" t="s">
        <v>74</v>
      </c>
      <c r="D990" s="43"/>
      <c r="E990" s="83" t="s">
        <v>22</v>
      </c>
      <c r="F990" s="20"/>
      <c r="G990" s="26"/>
      <c r="H990" s="21" t="b">
        <f>IF(D991="x",H$2,H$1)</f>
        <v>0</v>
      </c>
    </row>
    <row r="991" spans="1:8" x14ac:dyDescent="0.2">
      <c r="B991" s="47" t="s">
        <v>717</v>
      </c>
      <c r="C991" s="57" t="s">
        <v>720</v>
      </c>
      <c r="D991" s="43"/>
      <c r="E991" s="83" t="s">
        <v>23</v>
      </c>
      <c r="F991" s="22" t="str">
        <f>IF(H992=1,IF(H990=H$2,H990,""),"")</f>
        <v/>
      </c>
      <c r="G991" s="26"/>
      <c r="H991" s="21" t="str">
        <f>IF(E$1391="comprobar",COUNTIF(D990:D994,"x"),"")</f>
        <v/>
      </c>
    </row>
    <row r="992" spans="1:8" x14ac:dyDescent="0.2">
      <c r="B992" s="47" t="s">
        <v>717</v>
      </c>
      <c r="C992" s="57" t="s">
        <v>721</v>
      </c>
      <c r="D992" s="43"/>
      <c r="E992" s="83" t="s">
        <v>24</v>
      </c>
      <c r="F992" s="23" t="str">
        <f>IF(H992=-0.33,IF(H990=H$1,H990,""),"")</f>
        <v/>
      </c>
      <c r="G992" s="26"/>
      <c r="H992" s="24">
        <f>IF(H991=1,IF(H990=H$2,1,-0.33),0)</f>
        <v>0</v>
      </c>
    </row>
    <row r="993" spans="1:8" x14ac:dyDescent="0.2">
      <c r="B993" s="47" t="s">
        <v>717</v>
      </c>
      <c r="C993" s="57" t="s">
        <v>76</v>
      </c>
      <c r="D993" s="43"/>
      <c r="E993" s="83" t="s">
        <v>25</v>
      </c>
      <c r="F993" s="20"/>
      <c r="G993" s="26"/>
      <c r="H993" s="24"/>
    </row>
    <row r="994" spans="1:8" x14ac:dyDescent="0.2">
      <c r="B994" s="47"/>
      <c r="C994" s="8"/>
      <c r="D994" s="43"/>
      <c r="E994" s="83" t="s">
        <v>26</v>
      </c>
      <c r="F994" s="20"/>
      <c r="G994" s="19"/>
      <c r="H994" s="24"/>
    </row>
    <row r="995" spans="1:8" s="17" customFormat="1" x14ac:dyDescent="0.2">
      <c r="A995" s="4"/>
      <c r="B995" s="48" t="s">
        <v>722</v>
      </c>
      <c r="C995" s="36"/>
      <c r="D995" s="44"/>
      <c r="E995" s="14"/>
      <c r="F995" s="16"/>
      <c r="G995" s="29"/>
      <c r="H995" s="15"/>
    </row>
    <row r="996" spans="1:8" x14ac:dyDescent="0.2">
      <c r="B996" s="47" t="s">
        <v>717</v>
      </c>
      <c r="C996" s="56" t="s">
        <v>55</v>
      </c>
      <c r="D996" s="43"/>
      <c r="E996" s="83" t="s">
        <v>22</v>
      </c>
      <c r="F996" s="20"/>
      <c r="G996" s="26"/>
      <c r="H996" s="21" t="b">
        <f>IF(D998="x",H$2,H$1)</f>
        <v>0</v>
      </c>
    </row>
    <row r="997" spans="1:8" x14ac:dyDescent="0.2">
      <c r="B997" s="47" t="s">
        <v>717</v>
      </c>
      <c r="C997" s="57" t="s">
        <v>57</v>
      </c>
      <c r="D997" s="43"/>
      <c r="E997" s="83" t="s">
        <v>23</v>
      </c>
      <c r="F997" s="22" t="str">
        <f>IF(H998=1,IF(H996=H$2,H996,""),"")</f>
        <v/>
      </c>
      <c r="G997" s="26"/>
      <c r="H997" s="21" t="str">
        <f>IF(E$1391="comprobar",COUNTIF(D996:D1000,"x"),"")</f>
        <v/>
      </c>
    </row>
    <row r="998" spans="1:8" x14ac:dyDescent="0.2">
      <c r="B998" s="47" t="s">
        <v>717</v>
      </c>
      <c r="C998" s="57" t="s">
        <v>56</v>
      </c>
      <c r="D998" s="43"/>
      <c r="E998" s="83" t="s">
        <v>24</v>
      </c>
      <c r="F998" s="23" t="str">
        <f>IF(H998=-0.33,IF(H996=H$1,H996,""),"")</f>
        <v/>
      </c>
      <c r="G998" s="26"/>
      <c r="H998" s="24">
        <f>IF(H997=1,IF(H996=H$2,1,-0.33),0)</f>
        <v>0</v>
      </c>
    </row>
    <row r="999" spans="1:8" x14ac:dyDescent="0.2">
      <c r="B999" s="47" t="s">
        <v>717</v>
      </c>
      <c r="C999" s="57" t="s">
        <v>58</v>
      </c>
      <c r="D999" s="43"/>
      <c r="E999" s="83" t="s">
        <v>25</v>
      </c>
      <c r="F999" s="20"/>
      <c r="G999" s="26"/>
      <c r="H999" s="24"/>
    </row>
    <row r="1000" spans="1:8" x14ac:dyDescent="0.2">
      <c r="B1000" s="47"/>
      <c r="C1000" s="8"/>
      <c r="D1000" s="43"/>
      <c r="E1000" s="83" t="s">
        <v>26</v>
      </c>
      <c r="F1000" s="20"/>
      <c r="G1000" s="19"/>
      <c r="H1000" s="24"/>
    </row>
    <row r="1001" spans="1:8" s="17" customFormat="1" x14ac:dyDescent="0.2">
      <c r="A1001" s="4"/>
      <c r="B1001" s="48" t="s">
        <v>723</v>
      </c>
      <c r="C1001" s="36"/>
      <c r="D1001" s="44"/>
      <c r="E1001" s="14"/>
      <c r="F1001" s="16"/>
      <c r="G1001" s="29"/>
      <c r="H1001" s="15"/>
    </row>
    <row r="1002" spans="1:8" x14ac:dyDescent="0.2">
      <c r="B1002" s="47" t="s">
        <v>717</v>
      </c>
      <c r="C1002" s="56" t="s">
        <v>121</v>
      </c>
      <c r="D1002" s="43"/>
      <c r="E1002" s="83" t="s">
        <v>22</v>
      </c>
      <c r="F1002" s="20"/>
      <c r="G1002" s="26"/>
      <c r="H1002" s="21" t="b">
        <f>IF(D1005="x",H$2,H$1)</f>
        <v>0</v>
      </c>
    </row>
    <row r="1003" spans="1:8" x14ac:dyDescent="0.2">
      <c r="B1003" s="47" t="s">
        <v>717</v>
      </c>
      <c r="C1003" s="57" t="s">
        <v>118</v>
      </c>
      <c r="D1003" s="43"/>
      <c r="E1003" s="83" t="s">
        <v>23</v>
      </c>
      <c r="F1003" s="22" t="str">
        <f>IF(H1004=1,IF(H1002=H$2,H1002,""),"")</f>
        <v/>
      </c>
      <c r="G1003" s="26"/>
      <c r="H1003" s="21" t="str">
        <f>IF(E$1391="comprobar",COUNTIF(D1002:D1006,"x"),"")</f>
        <v/>
      </c>
    </row>
    <row r="1004" spans="1:8" x14ac:dyDescent="0.2">
      <c r="B1004" s="47" t="s">
        <v>717</v>
      </c>
      <c r="C1004" s="57" t="s">
        <v>119</v>
      </c>
      <c r="D1004" s="43"/>
      <c r="E1004" s="83" t="s">
        <v>24</v>
      </c>
      <c r="F1004" s="23" t="str">
        <f>IF(H1004=-0.33,IF(H1002=H$1,H1002,""),"")</f>
        <v/>
      </c>
      <c r="G1004" s="26"/>
      <c r="H1004" s="24">
        <f>IF(H1003=1,IF(H1002=H$2,1,-0.33),0)</f>
        <v>0</v>
      </c>
    </row>
    <row r="1005" spans="1:8" x14ac:dyDescent="0.2">
      <c r="B1005" s="47" t="s">
        <v>717</v>
      </c>
      <c r="C1005" s="57" t="s">
        <v>120</v>
      </c>
      <c r="D1005" s="43"/>
      <c r="E1005" s="83" t="s">
        <v>25</v>
      </c>
      <c r="F1005" s="20"/>
      <c r="G1005" s="26"/>
      <c r="H1005" s="24"/>
    </row>
    <row r="1006" spans="1:8" x14ac:dyDescent="0.2">
      <c r="B1006" s="47"/>
      <c r="C1006" s="8"/>
      <c r="D1006" s="43"/>
      <c r="E1006" s="83" t="s">
        <v>26</v>
      </c>
      <c r="F1006" s="20"/>
      <c r="G1006" s="19"/>
      <c r="H1006" s="24"/>
    </row>
    <row r="1007" spans="1:8" s="17" customFormat="1" x14ac:dyDescent="0.2">
      <c r="A1007" s="4"/>
      <c r="B1007" s="48" t="s">
        <v>724</v>
      </c>
      <c r="C1007" s="36"/>
      <c r="D1007" s="44"/>
      <c r="E1007" s="14"/>
      <c r="F1007" s="16"/>
      <c r="G1007" s="29"/>
      <c r="H1007" s="15"/>
    </row>
    <row r="1008" spans="1:8" x14ac:dyDescent="0.2">
      <c r="B1008" s="47" t="s">
        <v>717</v>
      </c>
      <c r="C1008" s="56" t="s">
        <v>725</v>
      </c>
      <c r="D1008" s="43"/>
      <c r="E1008" s="83" t="s">
        <v>22</v>
      </c>
      <c r="F1008" s="20"/>
      <c r="G1008" s="26"/>
      <c r="H1008" s="21" t="b">
        <f>IF(D1009="x",H$2,H$1)</f>
        <v>0</v>
      </c>
    </row>
    <row r="1009" spans="1:8" x14ac:dyDescent="0.2">
      <c r="B1009" s="47" t="s">
        <v>717</v>
      </c>
      <c r="C1009" s="57" t="s">
        <v>726</v>
      </c>
      <c r="D1009" s="43"/>
      <c r="E1009" s="83" t="s">
        <v>23</v>
      </c>
      <c r="F1009" s="22" t="str">
        <f>IF(H1010=1,IF(H1008=H$2,H1008,""),"")</f>
        <v/>
      </c>
      <c r="G1009" s="26"/>
      <c r="H1009" s="21" t="str">
        <f>IF(E$1391="comprobar",COUNTIF(D1008:D1012,"x"),"")</f>
        <v/>
      </c>
    </row>
    <row r="1010" spans="1:8" x14ac:dyDescent="0.2">
      <c r="B1010" s="47" t="s">
        <v>717</v>
      </c>
      <c r="C1010" s="57" t="s">
        <v>727</v>
      </c>
      <c r="D1010" s="43"/>
      <c r="E1010" s="83" t="s">
        <v>24</v>
      </c>
      <c r="F1010" s="23" t="str">
        <f>IF(H1010=-0.33,IF(H1008=H$1,H1008,""),"")</f>
        <v/>
      </c>
      <c r="G1010" s="26"/>
      <c r="H1010" s="24">
        <f>IF(H1009=1,IF(H1008=H$2,1,-0.33),0)</f>
        <v>0</v>
      </c>
    </row>
    <row r="1011" spans="1:8" x14ac:dyDescent="0.2">
      <c r="B1011" s="47" t="s">
        <v>717</v>
      </c>
      <c r="C1011" s="57" t="s">
        <v>728</v>
      </c>
      <c r="D1011" s="43"/>
      <c r="E1011" s="83" t="s">
        <v>25</v>
      </c>
      <c r="F1011" s="20"/>
      <c r="G1011" s="26"/>
      <c r="H1011" s="24"/>
    </row>
    <row r="1012" spans="1:8" x14ac:dyDescent="0.2">
      <c r="B1012" s="47"/>
      <c r="C1012" s="8"/>
      <c r="D1012" s="43"/>
      <c r="E1012" s="83" t="s">
        <v>26</v>
      </c>
      <c r="F1012" s="20"/>
      <c r="G1012" s="19"/>
      <c r="H1012" s="24"/>
    </row>
    <row r="1013" spans="1:8" s="17" customFormat="1" x14ac:dyDescent="0.2">
      <c r="A1013" s="4"/>
      <c r="B1013" s="48" t="s">
        <v>729</v>
      </c>
      <c r="C1013" s="36"/>
      <c r="D1013" s="44"/>
      <c r="E1013" s="14"/>
      <c r="F1013" s="16"/>
      <c r="G1013" s="29"/>
      <c r="H1013" s="15"/>
    </row>
    <row r="1014" spans="1:8" x14ac:dyDescent="0.2">
      <c r="B1014" s="47" t="s">
        <v>717</v>
      </c>
      <c r="C1014" s="56" t="s">
        <v>155</v>
      </c>
      <c r="D1014" s="43"/>
      <c r="E1014" s="83" t="s">
        <v>22</v>
      </c>
      <c r="F1014" s="20"/>
      <c r="G1014" s="26"/>
      <c r="H1014" s="21" t="b">
        <f>IF(D1017="x",H$2,H$1)</f>
        <v>0</v>
      </c>
    </row>
    <row r="1015" spans="1:8" x14ac:dyDescent="0.2">
      <c r="B1015" s="47" t="s">
        <v>717</v>
      </c>
      <c r="C1015" s="57" t="s">
        <v>156</v>
      </c>
      <c r="D1015" s="43"/>
      <c r="E1015" s="83" t="s">
        <v>23</v>
      </c>
      <c r="F1015" s="22" t="str">
        <f>IF(H1016=1,IF(H1014=H$2,H1014,""),"")</f>
        <v/>
      </c>
      <c r="G1015" s="26"/>
      <c r="H1015" s="21" t="str">
        <f>IF(E$1391="comprobar",COUNTIF(D1014:D1018,"x"),"")</f>
        <v/>
      </c>
    </row>
    <row r="1016" spans="1:8" x14ac:dyDescent="0.2">
      <c r="B1016" s="47" t="s">
        <v>717</v>
      </c>
      <c r="C1016" s="57" t="s">
        <v>158</v>
      </c>
      <c r="D1016" s="43"/>
      <c r="E1016" s="83" t="s">
        <v>24</v>
      </c>
      <c r="F1016" s="23" t="str">
        <f>IF(H1016=-0.33,IF(H1014=H$1,H1014,""),"")</f>
        <v/>
      </c>
      <c r="G1016" s="26"/>
      <c r="H1016" s="24">
        <f>IF(H1015=1,IF(H1014=H$2,1,-0.33),0)</f>
        <v>0</v>
      </c>
    </row>
    <row r="1017" spans="1:8" x14ac:dyDescent="0.2">
      <c r="B1017" s="47" t="s">
        <v>717</v>
      </c>
      <c r="C1017" s="57" t="s">
        <v>730</v>
      </c>
      <c r="D1017" s="43"/>
      <c r="E1017" s="83" t="s">
        <v>25</v>
      </c>
      <c r="F1017" s="20"/>
      <c r="G1017" s="26"/>
      <c r="H1017" s="24"/>
    </row>
    <row r="1018" spans="1:8" x14ac:dyDescent="0.2">
      <c r="B1018" s="47"/>
      <c r="C1018" s="8"/>
      <c r="D1018" s="43"/>
      <c r="E1018" s="83" t="s">
        <v>26</v>
      </c>
      <c r="F1018" s="20"/>
      <c r="G1018" s="19"/>
      <c r="H1018" s="24"/>
    </row>
    <row r="1019" spans="1:8" s="17" customFormat="1" x14ac:dyDescent="0.2">
      <c r="A1019" s="4"/>
      <c r="B1019" s="48" t="s">
        <v>731</v>
      </c>
      <c r="C1019" s="36"/>
      <c r="D1019" s="44"/>
      <c r="E1019" s="14"/>
      <c r="F1019" s="16"/>
      <c r="G1019" s="29"/>
      <c r="H1019" s="15"/>
    </row>
    <row r="1020" spans="1:8" x14ac:dyDescent="0.2">
      <c r="B1020" s="47" t="s">
        <v>717</v>
      </c>
      <c r="C1020" s="56" t="s">
        <v>732</v>
      </c>
      <c r="D1020" s="43"/>
      <c r="E1020" s="83" t="s">
        <v>22</v>
      </c>
      <c r="F1020" s="20"/>
      <c r="G1020" s="26"/>
      <c r="H1020" s="21" t="b">
        <f>IF(D1021="x",H$2,H$1)</f>
        <v>0</v>
      </c>
    </row>
    <row r="1021" spans="1:8" x14ac:dyDescent="0.2">
      <c r="B1021" s="47" t="s">
        <v>717</v>
      </c>
      <c r="C1021" s="57" t="s">
        <v>733</v>
      </c>
      <c r="D1021" s="43"/>
      <c r="E1021" s="83" t="s">
        <v>23</v>
      </c>
      <c r="F1021" s="22" t="str">
        <f>IF(H1022=1,IF(H1020=H$2,H1020,""),"")</f>
        <v/>
      </c>
      <c r="G1021" s="26"/>
      <c r="H1021" s="21" t="str">
        <f>IF(E$1391="comprobar",COUNTIF(D1020:D1024,"x"),"")</f>
        <v/>
      </c>
    </row>
    <row r="1022" spans="1:8" x14ac:dyDescent="0.2">
      <c r="B1022" s="47" t="s">
        <v>717</v>
      </c>
      <c r="C1022" s="57" t="s">
        <v>734</v>
      </c>
      <c r="D1022" s="43"/>
      <c r="E1022" s="83" t="s">
        <v>24</v>
      </c>
      <c r="F1022" s="23" t="str">
        <f>IF(H1022=-0.33,IF(H1020=H$1,H1020,""),"")</f>
        <v/>
      </c>
      <c r="G1022" s="26"/>
      <c r="H1022" s="24">
        <f>IF(H1021=1,IF(H1020=H$2,1,-0.33),0)</f>
        <v>0</v>
      </c>
    </row>
    <row r="1023" spans="1:8" x14ac:dyDescent="0.2">
      <c r="B1023" s="47" t="s">
        <v>717</v>
      </c>
      <c r="C1023" s="57" t="s">
        <v>735</v>
      </c>
      <c r="D1023" s="43"/>
      <c r="E1023" s="83" t="s">
        <v>25</v>
      </c>
      <c r="F1023" s="20"/>
      <c r="G1023" s="26"/>
      <c r="H1023" s="24"/>
    </row>
    <row r="1024" spans="1:8" x14ac:dyDescent="0.2">
      <c r="B1024" s="47"/>
      <c r="C1024" s="8"/>
      <c r="D1024" s="43"/>
      <c r="E1024" s="83" t="s">
        <v>26</v>
      </c>
      <c r="F1024" s="20"/>
      <c r="G1024" s="19"/>
      <c r="H1024" s="24"/>
    </row>
    <row r="1025" spans="1:8" s="17" customFormat="1" x14ac:dyDescent="0.2">
      <c r="A1025" s="4"/>
      <c r="B1025" s="48" t="s">
        <v>736</v>
      </c>
      <c r="C1025" s="36"/>
      <c r="D1025" s="44"/>
      <c r="E1025" s="14"/>
      <c r="F1025" s="16"/>
      <c r="G1025" s="29"/>
      <c r="H1025" s="15"/>
    </row>
    <row r="1026" spans="1:8" x14ac:dyDescent="0.2">
      <c r="B1026" s="47" t="s">
        <v>717</v>
      </c>
      <c r="C1026" s="56" t="s">
        <v>737</v>
      </c>
      <c r="D1026" s="43"/>
      <c r="E1026" s="83" t="s">
        <v>22</v>
      </c>
      <c r="F1026" s="20"/>
      <c r="G1026" s="26"/>
      <c r="H1026" s="21" t="b">
        <f>IF(D1027="x",H$2,H$1)</f>
        <v>0</v>
      </c>
    </row>
    <row r="1027" spans="1:8" x14ac:dyDescent="0.2">
      <c r="B1027" s="47" t="s">
        <v>717</v>
      </c>
      <c r="C1027" s="57" t="s">
        <v>738</v>
      </c>
      <c r="D1027" s="43"/>
      <c r="E1027" s="83" t="s">
        <v>23</v>
      </c>
      <c r="F1027" s="22" t="str">
        <f>IF(H1028=1,IF(H1026=H$2,H1026,""),"")</f>
        <v/>
      </c>
      <c r="G1027" s="26"/>
      <c r="H1027" s="21" t="str">
        <f>IF(E$1391="comprobar",COUNTIF(D1026:D1030,"x"),"")</f>
        <v/>
      </c>
    </row>
    <row r="1028" spans="1:8" x14ac:dyDescent="0.2">
      <c r="B1028" s="47" t="s">
        <v>717</v>
      </c>
      <c r="C1028" s="57" t="s">
        <v>739</v>
      </c>
      <c r="D1028" s="43"/>
      <c r="E1028" s="83" t="s">
        <v>24</v>
      </c>
      <c r="F1028" s="23" t="str">
        <f>IF(H1028=-0.33,IF(H1026=H$1,H1026,""),"")</f>
        <v/>
      </c>
      <c r="G1028" s="26"/>
      <c r="H1028" s="24">
        <f>IF(H1027=1,IF(H1026=H$2,1,-0.33),0)</f>
        <v>0</v>
      </c>
    </row>
    <row r="1029" spans="1:8" x14ac:dyDescent="0.2">
      <c r="B1029" s="47" t="s">
        <v>717</v>
      </c>
      <c r="C1029" s="57" t="s">
        <v>740</v>
      </c>
      <c r="D1029" s="43"/>
      <c r="E1029" s="83" t="s">
        <v>25</v>
      </c>
      <c r="F1029" s="20"/>
      <c r="G1029" s="26"/>
      <c r="H1029" s="24"/>
    </row>
    <row r="1030" spans="1:8" x14ac:dyDescent="0.2">
      <c r="B1030" s="47"/>
      <c r="C1030" s="8"/>
      <c r="D1030" s="43"/>
      <c r="E1030" s="83" t="s">
        <v>26</v>
      </c>
      <c r="F1030" s="12"/>
      <c r="G1030" s="19"/>
      <c r="H1030" s="24"/>
    </row>
    <row r="1031" spans="1:8" s="17" customFormat="1" x14ac:dyDescent="0.2">
      <c r="A1031" s="4"/>
      <c r="B1031" s="48" t="s">
        <v>741</v>
      </c>
      <c r="C1031" s="36"/>
      <c r="D1031" s="44"/>
      <c r="E1031" s="14"/>
      <c r="F1031" s="30"/>
      <c r="G1031" s="29"/>
      <c r="H1031" s="15"/>
    </row>
    <row r="1032" spans="1:8" x14ac:dyDescent="0.2">
      <c r="B1032" s="47" t="s">
        <v>742</v>
      </c>
      <c r="C1032" s="56"/>
      <c r="D1032" s="43"/>
      <c r="E1032" s="83" t="s">
        <v>22</v>
      </c>
      <c r="F1032" s="27"/>
      <c r="G1032" s="26"/>
      <c r="H1032" s="21" t="b">
        <f>IF(D1035="x",H$2,H$1)</f>
        <v>0</v>
      </c>
    </row>
    <row r="1033" spans="1:8" x14ac:dyDescent="0.2">
      <c r="B1033" s="47" t="s">
        <v>717</v>
      </c>
      <c r="C1033" s="57" t="s">
        <v>743</v>
      </c>
      <c r="D1033" s="43"/>
      <c r="E1033" s="83" t="s">
        <v>23</v>
      </c>
      <c r="F1033" s="22" t="str">
        <f>IF(H1034=1,IF(H1032=H$2,H1032,""),"")</f>
        <v/>
      </c>
      <c r="G1033" s="26"/>
      <c r="H1033" s="21" t="str">
        <f>IF(E$1391="comprobar",COUNTIF(D1032:D1036,"x"),"")</f>
        <v/>
      </c>
    </row>
    <row r="1034" spans="1:8" x14ac:dyDescent="0.2">
      <c r="B1034" s="47" t="s">
        <v>717</v>
      </c>
      <c r="C1034" s="57" t="s">
        <v>744</v>
      </c>
      <c r="D1034" s="43"/>
      <c r="E1034" s="83" t="s">
        <v>24</v>
      </c>
      <c r="F1034" s="23" t="str">
        <f>IF(H1034=-0.33,IF(H1032=H$1,H1032,""),"")</f>
        <v/>
      </c>
      <c r="G1034" s="26"/>
      <c r="H1034" s="24">
        <f>IF(H1033=1,IF(H1032=H$2,1,-0.33),0)</f>
        <v>0</v>
      </c>
    </row>
    <row r="1035" spans="1:8" x14ac:dyDescent="0.2">
      <c r="B1035" s="47" t="s">
        <v>717</v>
      </c>
      <c r="C1035" s="57" t="s">
        <v>745</v>
      </c>
      <c r="D1035" s="43"/>
      <c r="E1035" s="83" t="s">
        <v>25</v>
      </c>
      <c r="F1035" s="28"/>
      <c r="G1035" s="26"/>
      <c r="H1035" s="24"/>
    </row>
    <row r="1036" spans="1:8" x14ac:dyDescent="0.2">
      <c r="B1036" s="47" t="s">
        <v>717</v>
      </c>
      <c r="C1036" s="8" t="s">
        <v>746</v>
      </c>
      <c r="D1036" s="43"/>
      <c r="E1036" s="83" t="s">
        <v>26</v>
      </c>
      <c r="F1036" s="28"/>
      <c r="G1036" s="19"/>
      <c r="H1036" s="24"/>
    </row>
    <row r="1037" spans="1:8" s="17" customFormat="1" x14ac:dyDescent="0.2">
      <c r="A1037" s="4"/>
      <c r="B1037" s="48" t="s">
        <v>747</v>
      </c>
      <c r="C1037" s="36"/>
      <c r="D1037" s="44"/>
      <c r="E1037" s="14"/>
      <c r="F1037" s="30"/>
      <c r="G1037" s="29"/>
      <c r="H1037" s="15"/>
    </row>
    <row r="1038" spans="1:8" x14ac:dyDescent="0.2">
      <c r="B1038" s="47" t="s">
        <v>717</v>
      </c>
      <c r="C1038" s="56" t="s">
        <v>748</v>
      </c>
      <c r="D1038" s="43"/>
      <c r="E1038" s="83" t="s">
        <v>22</v>
      </c>
      <c r="F1038" s="27"/>
      <c r="G1038" s="26"/>
      <c r="H1038" s="21" t="b">
        <f>IF(D1041="x",H$2,H$1)</f>
        <v>0</v>
      </c>
    </row>
    <row r="1039" spans="1:8" x14ac:dyDescent="0.2">
      <c r="B1039" s="47" t="s">
        <v>717</v>
      </c>
      <c r="C1039" s="57" t="s">
        <v>749</v>
      </c>
      <c r="D1039" s="43"/>
      <c r="E1039" s="83" t="s">
        <v>23</v>
      </c>
      <c r="F1039" s="22" t="str">
        <f>IF(H1040=1,IF(H1038=H$2,H1038,""),"")</f>
        <v/>
      </c>
      <c r="G1039" s="26"/>
      <c r="H1039" s="21" t="str">
        <f>IF(E$1391="comprobar",COUNTIF(D1038:D1042,"x"),"")</f>
        <v/>
      </c>
    </row>
    <row r="1040" spans="1:8" x14ac:dyDescent="0.2">
      <c r="B1040" s="47" t="s">
        <v>717</v>
      </c>
      <c r="C1040" s="57" t="s">
        <v>750</v>
      </c>
      <c r="D1040" s="43"/>
      <c r="E1040" s="83" t="s">
        <v>24</v>
      </c>
      <c r="F1040" s="23" t="str">
        <f>IF(H1040=-0.33,IF(H1038=H$1,H1038,""),"")</f>
        <v/>
      </c>
      <c r="G1040" s="26"/>
      <c r="H1040" s="24">
        <f>IF(H1039=1,IF(H1038=H$2,1,-0.33),0)</f>
        <v>0</v>
      </c>
    </row>
    <row r="1041" spans="1:8" x14ac:dyDescent="0.2">
      <c r="B1041" s="47" t="s">
        <v>717</v>
      </c>
      <c r="C1041" s="57" t="s">
        <v>751</v>
      </c>
      <c r="D1041" s="43"/>
      <c r="E1041" s="83" t="s">
        <v>25</v>
      </c>
      <c r="F1041" s="20"/>
      <c r="G1041" s="26"/>
      <c r="H1041" s="24"/>
    </row>
    <row r="1042" spans="1:8" x14ac:dyDescent="0.2">
      <c r="B1042" s="47"/>
      <c r="C1042" s="8"/>
      <c r="D1042" s="43"/>
      <c r="E1042" s="83" t="s">
        <v>26</v>
      </c>
      <c r="F1042" s="28"/>
      <c r="G1042" s="19"/>
      <c r="H1042" s="24"/>
    </row>
    <row r="1043" spans="1:8" s="17" customFormat="1" x14ac:dyDescent="0.2">
      <c r="A1043" s="4"/>
      <c r="B1043" s="48" t="s">
        <v>752</v>
      </c>
      <c r="C1043" s="36"/>
      <c r="D1043" s="44"/>
      <c r="E1043" s="14"/>
      <c r="F1043" s="30"/>
      <c r="G1043" s="29"/>
      <c r="H1043" s="15"/>
    </row>
    <row r="1044" spans="1:8" x14ac:dyDescent="0.2">
      <c r="B1044" s="47" t="s">
        <v>717</v>
      </c>
      <c r="C1044" s="56" t="s">
        <v>143</v>
      </c>
      <c r="D1044" s="43"/>
      <c r="E1044" s="83" t="s">
        <v>22</v>
      </c>
      <c r="F1044" s="27"/>
      <c r="G1044" s="26"/>
      <c r="H1044" s="21" t="b">
        <f>IF(D1045="x",H$2,H$1)</f>
        <v>0</v>
      </c>
    </row>
    <row r="1045" spans="1:8" x14ac:dyDescent="0.2">
      <c r="B1045" s="47" t="s">
        <v>717</v>
      </c>
      <c r="C1045" s="57" t="s">
        <v>140</v>
      </c>
      <c r="D1045" s="43"/>
      <c r="E1045" s="83" t="s">
        <v>23</v>
      </c>
      <c r="F1045" s="22" t="str">
        <f>IF(H1046=1,IF(H1044=H$2,H1044,""),"")</f>
        <v/>
      </c>
      <c r="G1045" s="26"/>
      <c r="H1045" s="21" t="str">
        <f>IF(E$1391="comprobar",COUNTIF(D1044:D1048,"x"),"")</f>
        <v/>
      </c>
    </row>
    <row r="1046" spans="1:8" x14ac:dyDescent="0.2">
      <c r="B1046" s="47" t="s">
        <v>717</v>
      </c>
      <c r="C1046" s="57" t="s">
        <v>142</v>
      </c>
      <c r="D1046" s="43"/>
      <c r="E1046" s="83" t="s">
        <v>24</v>
      </c>
      <c r="F1046" s="23" t="str">
        <f>IF(H1046=-0.33,IF(H1044=H$1,H1044,""),"")</f>
        <v/>
      </c>
      <c r="G1046" s="26"/>
      <c r="H1046" s="24">
        <f>IF(H1045=1,IF(H1044=H$2,1,-0.33),0)</f>
        <v>0</v>
      </c>
    </row>
    <row r="1047" spans="1:8" x14ac:dyDescent="0.2">
      <c r="B1047" s="47" t="s">
        <v>717</v>
      </c>
      <c r="C1047" s="57" t="s">
        <v>141</v>
      </c>
      <c r="D1047" s="43"/>
      <c r="E1047" s="83" t="s">
        <v>25</v>
      </c>
      <c r="F1047" s="28"/>
      <c r="G1047" s="26"/>
      <c r="H1047" s="24"/>
    </row>
    <row r="1048" spans="1:8" x14ac:dyDescent="0.2">
      <c r="B1048" s="47"/>
      <c r="C1048" s="8"/>
      <c r="D1048" s="43"/>
      <c r="E1048" s="83" t="s">
        <v>26</v>
      </c>
      <c r="F1048" s="28"/>
      <c r="G1048" s="19"/>
      <c r="H1048" s="24"/>
    </row>
    <row r="1049" spans="1:8" s="17" customFormat="1" x14ac:dyDescent="0.2">
      <c r="A1049" s="4"/>
      <c r="B1049" s="48" t="s">
        <v>753</v>
      </c>
      <c r="C1049" s="36"/>
      <c r="D1049" s="44"/>
      <c r="E1049" s="14"/>
      <c r="F1049" s="16"/>
      <c r="G1049" s="29"/>
      <c r="H1049" s="15"/>
    </row>
    <row r="1050" spans="1:8" x14ac:dyDescent="0.2">
      <c r="B1050" s="47" t="s">
        <v>717</v>
      </c>
      <c r="C1050" s="56" t="s">
        <v>72</v>
      </c>
      <c r="D1050" s="43"/>
      <c r="E1050" s="83" t="s">
        <v>22</v>
      </c>
      <c r="F1050" s="20"/>
      <c r="G1050" s="26"/>
      <c r="H1050" s="21" t="b">
        <f>IF(D1050="x",H$2,H$1)</f>
        <v>0</v>
      </c>
    </row>
    <row r="1051" spans="1:8" x14ac:dyDescent="0.2">
      <c r="B1051" s="47" t="s">
        <v>717</v>
      </c>
      <c r="C1051" s="57" t="s">
        <v>69</v>
      </c>
      <c r="D1051" s="43"/>
      <c r="E1051" s="83" t="s">
        <v>23</v>
      </c>
      <c r="F1051" s="22" t="str">
        <f>IF(H1052=1,IF(H1050=H$2,H1050,""),"")</f>
        <v/>
      </c>
      <c r="G1051" s="26"/>
      <c r="H1051" s="21" t="str">
        <f>IF(E$1391="comprobar",COUNTIF(D1050:D1054,"x"),"")</f>
        <v/>
      </c>
    </row>
    <row r="1052" spans="1:8" x14ac:dyDescent="0.2">
      <c r="B1052" s="47" t="s">
        <v>717</v>
      </c>
      <c r="C1052" s="57" t="s">
        <v>70</v>
      </c>
      <c r="D1052" s="43"/>
      <c r="E1052" s="83" t="s">
        <v>24</v>
      </c>
      <c r="F1052" s="23" t="str">
        <f>IF(H1052=-0.33,IF(H1050=H$1,H1050,""),"")</f>
        <v/>
      </c>
      <c r="G1052" s="26"/>
      <c r="H1052" s="24">
        <f>IF(H1051=1,IF(H1050=H$2,1,-0.33),0)</f>
        <v>0</v>
      </c>
    </row>
    <row r="1053" spans="1:8" x14ac:dyDescent="0.2">
      <c r="B1053" s="47" t="s">
        <v>717</v>
      </c>
      <c r="C1053" s="57" t="s">
        <v>71</v>
      </c>
      <c r="D1053" s="43"/>
      <c r="E1053" s="83" t="s">
        <v>25</v>
      </c>
      <c r="F1053" s="20"/>
      <c r="G1053" s="26"/>
      <c r="H1053" s="24"/>
    </row>
    <row r="1054" spans="1:8" x14ac:dyDescent="0.2">
      <c r="B1054" s="47"/>
      <c r="C1054" s="8"/>
      <c r="D1054" s="43"/>
      <c r="E1054" s="83" t="s">
        <v>26</v>
      </c>
      <c r="F1054" s="20"/>
      <c r="G1054" s="19"/>
      <c r="H1054" s="24"/>
    </row>
    <row r="1055" spans="1:8" s="17" customFormat="1" x14ac:dyDescent="0.2">
      <c r="A1055" s="4"/>
      <c r="B1055" s="48" t="s">
        <v>754</v>
      </c>
      <c r="C1055" s="36"/>
      <c r="D1055" s="44"/>
      <c r="E1055" s="14"/>
      <c r="F1055" s="30"/>
      <c r="G1055" s="29"/>
      <c r="H1055" s="15"/>
    </row>
    <row r="1056" spans="1:8" x14ac:dyDescent="0.2">
      <c r="B1056" s="47" t="s">
        <v>717</v>
      </c>
      <c r="C1056" s="56" t="s">
        <v>755</v>
      </c>
      <c r="D1056" s="43"/>
      <c r="E1056" s="83" t="s">
        <v>22</v>
      </c>
      <c r="F1056" s="27"/>
      <c r="G1056" s="26"/>
      <c r="H1056" s="21" t="b">
        <f>IF(D1058="x",H$2,H$1)</f>
        <v>0</v>
      </c>
    </row>
    <row r="1057" spans="1:8" x14ac:dyDescent="0.2">
      <c r="B1057" s="47" t="s">
        <v>717</v>
      </c>
      <c r="C1057" s="57" t="s">
        <v>756</v>
      </c>
      <c r="D1057" s="43"/>
      <c r="E1057" s="83" t="s">
        <v>23</v>
      </c>
      <c r="F1057" s="22" t="str">
        <f>IF(H1058=1,IF(H1056=H$2,H1056,""),"")</f>
        <v/>
      </c>
      <c r="G1057" s="26"/>
      <c r="H1057" s="21" t="str">
        <f>IF(E$1391="comprobar",COUNTIF(D1056:D1060,"x"),"")</f>
        <v/>
      </c>
    </row>
    <row r="1058" spans="1:8" x14ac:dyDescent="0.2">
      <c r="B1058" s="47" t="s">
        <v>717</v>
      </c>
      <c r="C1058" s="57" t="s">
        <v>757</v>
      </c>
      <c r="D1058" s="43"/>
      <c r="E1058" s="83" t="s">
        <v>24</v>
      </c>
      <c r="F1058" s="23" t="str">
        <f>IF(H1058=-0.33,IF(H1056=H$1,H1056,""),"")</f>
        <v/>
      </c>
      <c r="G1058" s="26"/>
      <c r="H1058" s="24">
        <f>IF(H1057=1,IF(H1056=H$2,1,-0.33),0)</f>
        <v>0</v>
      </c>
    </row>
    <row r="1059" spans="1:8" x14ac:dyDescent="0.2">
      <c r="B1059" s="47" t="s">
        <v>717</v>
      </c>
      <c r="C1059" s="57" t="s">
        <v>758</v>
      </c>
      <c r="D1059" s="43"/>
      <c r="E1059" s="83" t="s">
        <v>25</v>
      </c>
      <c r="F1059" s="28"/>
      <c r="G1059" s="26"/>
      <c r="H1059" s="24"/>
    </row>
    <row r="1060" spans="1:8" x14ac:dyDescent="0.2">
      <c r="B1060" s="47"/>
      <c r="C1060" s="8"/>
      <c r="D1060" s="43"/>
      <c r="E1060" s="83" t="s">
        <v>26</v>
      </c>
      <c r="F1060" s="28"/>
      <c r="G1060" s="19"/>
      <c r="H1060" s="24"/>
    </row>
    <row r="1061" spans="1:8" s="17" customFormat="1" x14ac:dyDescent="0.2">
      <c r="A1061" s="4"/>
      <c r="B1061" s="48" t="s">
        <v>759</v>
      </c>
      <c r="C1061" s="36"/>
      <c r="D1061" s="44"/>
      <c r="E1061" s="14"/>
      <c r="F1061" s="30"/>
      <c r="G1061" s="29"/>
      <c r="H1061" s="15"/>
    </row>
    <row r="1062" spans="1:8" x14ac:dyDescent="0.2">
      <c r="B1062" s="47" t="s">
        <v>717</v>
      </c>
      <c r="C1062" s="56" t="s">
        <v>124</v>
      </c>
      <c r="D1062" s="43"/>
      <c r="E1062" s="83" t="s">
        <v>22</v>
      </c>
      <c r="F1062" s="28"/>
      <c r="G1062" s="26"/>
      <c r="H1062" s="21" t="b">
        <f>IF(D1064="x",H$2,H$1)</f>
        <v>0</v>
      </c>
    </row>
    <row r="1063" spans="1:8" x14ac:dyDescent="0.2">
      <c r="B1063" s="47" t="s">
        <v>717</v>
      </c>
      <c r="C1063" s="57" t="s">
        <v>125</v>
      </c>
      <c r="D1063" s="43"/>
      <c r="E1063" s="83" t="s">
        <v>23</v>
      </c>
      <c r="F1063" s="22" t="str">
        <f>IF(H1064=1,IF(H1062=H$2,H1062,""),"")</f>
        <v/>
      </c>
      <c r="G1063" s="26"/>
      <c r="H1063" s="21" t="str">
        <f>IF(E$1391="comprobar",COUNTIF(D1062:D1066,"x"),"")</f>
        <v/>
      </c>
    </row>
    <row r="1064" spans="1:8" x14ac:dyDescent="0.2">
      <c r="B1064" s="47" t="s">
        <v>717</v>
      </c>
      <c r="C1064" s="57" t="s">
        <v>123</v>
      </c>
      <c r="D1064" s="43"/>
      <c r="E1064" s="83" t="s">
        <v>24</v>
      </c>
      <c r="F1064" s="23" t="str">
        <f>IF(H1064=-0.33,IF(H1062=H$1,H1062,""),"")</f>
        <v/>
      </c>
      <c r="G1064" s="26"/>
      <c r="H1064" s="24">
        <f>IF(H1063=1,IF(H1062=H$2,1,-0.33),0)</f>
        <v>0</v>
      </c>
    </row>
    <row r="1065" spans="1:8" x14ac:dyDescent="0.2">
      <c r="B1065" s="47" t="s">
        <v>717</v>
      </c>
      <c r="C1065" s="57" t="s">
        <v>92</v>
      </c>
      <c r="D1065" s="43"/>
      <c r="E1065" s="83" t="s">
        <v>25</v>
      </c>
      <c r="F1065" s="28"/>
      <c r="G1065" s="26"/>
      <c r="H1065" s="24"/>
    </row>
    <row r="1066" spans="1:8" x14ac:dyDescent="0.2">
      <c r="B1066" s="47"/>
      <c r="C1066" s="8"/>
      <c r="D1066" s="43"/>
      <c r="E1066" s="83" t="s">
        <v>26</v>
      </c>
      <c r="F1066" s="28"/>
      <c r="G1066" s="19"/>
      <c r="H1066" s="24"/>
    </row>
    <row r="1067" spans="1:8" s="17" customFormat="1" x14ac:dyDescent="0.2">
      <c r="A1067" s="4"/>
      <c r="B1067" s="48" t="s">
        <v>760</v>
      </c>
      <c r="C1067" s="36"/>
      <c r="D1067" s="44"/>
      <c r="E1067" s="14"/>
      <c r="F1067" s="30"/>
      <c r="G1067" s="29"/>
      <c r="H1067" s="15"/>
    </row>
    <row r="1068" spans="1:8" x14ac:dyDescent="0.2">
      <c r="B1068" s="47" t="s">
        <v>717</v>
      </c>
      <c r="C1068" s="56" t="s">
        <v>163</v>
      </c>
      <c r="D1068" s="43"/>
      <c r="E1068" s="83" t="s">
        <v>22</v>
      </c>
      <c r="F1068" s="27"/>
      <c r="G1068" s="26"/>
      <c r="H1068" s="21" t="b">
        <f>IF(D1068="x",H$2,H$1)</f>
        <v>0</v>
      </c>
    </row>
    <row r="1069" spans="1:8" x14ac:dyDescent="0.2">
      <c r="B1069" s="47" t="s">
        <v>717</v>
      </c>
      <c r="C1069" s="57" t="s">
        <v>172</v>
      </c>
      <c r="D1069" s="43"/>
      <c r="E1069" s="83" t="s">
        <v>23</v>
      </c>
      <c r="F1069" s="22" t="str">
        <f>IF(H1070=1,IF(H1068=H$2,H1068,""),"")</f>
        <v/>
      </c>
      <c r="G1069" s="26"/>
      <c r="H1069" s="21" t="str">
        <f>IF(E$1391="comprobar",COUNTIF(D1068:D1072,"x"),"")</f>
        <v/>
      </c>
    </row>
    <row r="1070" spans="1:8" x14ac:dyDescent="0.2">
      <c r="B1070" s="47" t="s">
        <v>717</v>
      </c>
      <c r="C1070" s="57" t="s">
        <v>162</v>
      </c>
      <c r="D1070" s="43"/>
      <c r="E1070" s="83" t="s">
        <v>24</v>
      </c>
      <c r="F1070" s="23" t="str">
        <f>IF(H1070=-0.33,IF(H1068=H$1,H1068,""),"")</f>
        <v/>
      </c>
      <c r="G1070" s="26"/>
      <c r="H1070" s="24">
        <f>IF(H1069=1,IF(H1068=H$2,1,-0.33),0)</f>
        <v>0</v>
      </c>
    </row>
    <row r="1071" spans="1:8" x14ac:dyDescent="0.2">
      <c r="B1071" s="47" t="s">
        <v>717</v>
      </c>
      <c r="C1071" s="57" t="s">
        <v>161</v>
      </c>
      <c r="D1071" s="43"/>
      <c r="E1071" s="83" t="s">
        <v>25</v>
      </c>
      <c r="F1071" s="28"/>
      <c r="G1071" s="26"/>
      <c r="H1071" s="24"/>
    </row>
    <row r="1072" spans="1:8" x14ac:dyDescent="0.2">
      <c r="B1072" s="47"/>
      <c r="C1072" s="8"/>
      <c r="D1072" s="43"/>
      <c r="E1072" s="83" t="s">
        <v>26</v>
      </c>
      <c r="F1072" s="28"/>
      <c r="G1072" s="19"/>
      <c r="H1072" s="24"/>
    </row>
    <row r="1073" spans="1:8" s="17" customFormat="1" x14ac:dyDescent="0.2">
      <c r="A1073" s="4"/>
      <c r="B1073" s="48" t="s">
        <v>761</v>
      </c>
      <c r="C1073" s="36"/>
      <c r="D1073" s="44"/>
      <c r="E1073" s="14"/>
      <c r="F1073" s="30"/>
      <c r="G1073" s="29"/>
      <c r="H1073" s="15"/>
    </row>
    <row r="1074" spans="1:8" x14ac:dyDescent="0.2">
      <c r="B1074" s="47" t="s">
        <v>717</v>
      </c>
      <c r="C1074" s="56" t="s">
        <v>762</v>
      </c>
      <c r="D1074" s="43"/>
      <c r="E1074" s="83" t="s">
        <v>22</v>
      </c>
      <c r="F1074" s="28"/>
      <c r="G1074" s="26"/>
      <c r="H1074" s="21" t="b">
        <f>IF(D1076="x",H$2,H$1)</f>
        <v>0</v>
      </c>
    </row>
    <row r="1075" spans="1:8" x14ac:dyDescent="0.2">
      <c r="B1075" s="47" t="s">
        <v>717</v>
      </c>
      <c r="C1075" s="57" t="s">
        <v>763</v>
      </c>
      <c r="D1075" s="43"/>
      <c r="E1075" s="83" t="s">
        <v>23</v>
      </c>
      <c r="F1075" s="22" t="str">
        <f>IF(H1076=1,IF(H1074=H$2,H1074,""),"")</f>
        <v/>
      </c>
      <c r="G1075" s="26"/>
      <c r="H1075" s="21" t="str">
        <f>IF(E$1391="comprobar",COUNTIF(D1074:D1078,"x"),"")</f>
        <v/>
      </c>
    </row>
    <row r="1076" spans="1:8" x14ac:dyDescent="0.2">
      <c r="B1076" s="47" t="s">
        <v>717</v>
      </c>
      <c r="C1076" s="57" t="s">
        <v>764</v>
      </c>
      <c r="D1076" s="43"/>
      <c r="E1076" s="83" t="s">
        <v>24</v>
      </c>
      <c r="F1076" s="23" t="str">
        <f>IF(H1076=-0.33,IF(H1074=H$1,H1074,""),"")</f>
        <v/>
      </c>
      <c r="G1076" s="26"/>
      <c r="H1076" s="24">
        <f>IF(H1075=1,IF(H1074=H$2,1,-0.33),0)</f>
        <v>0</v>
      </c>
    </row>
    <row r="1077" spans="1:8" x14ac:dyDescent="0.2">
      <c r="B1077" s="47" t="s">
        <v>717</v>
      </c>
      <c r="C1077" s="57" t="s">
        <v>765</v>
      </c>
      <c r="D1077" s="43"/>
      <c r="E1077" s="83" t="s">
        <v>25</v>
      </c>
      <c r="F1077" s="28"/>
      <c r="G1077" s="26"/>
      <c r="H1077" s="24"/>
    </row>
    <row r="1078" spans="1:8" x14ac:dyDescent="0.2">
      <c r="B1078" s="47"/>
      <c r="C1078" s="8"/>
      <c r="D1078" s="43"/>
      <c r="E1078" s="83" t="s">
        <v>26</v>
      </c>
      <c r="F1078" s="28"/>
      <c r="G1078" s="19"/>
      <c r="H1078" s="24"/>
    </row>
    <row r="1079" spans="1:8" s="17" customFormat="1" x14ac:dyDescent="0.2">
      <c r="A1079" s="4"/>
      <c r="B1079" s="48" t="s">
        <v>766</v>
      </c>
      <c r="C1079" s="36"/>
      <c r="D1079" s="44"/>
      <c r="E1079" s="14"/>
      <c r="F1079" s="30"/>
      <c r="G1079" s="29"/>
      <c r="H1079" s="15"/>
    </row>
    <row r="1080" spans="1:8" x14ac:dyDescent="0.2">
      <c r="B1080" s="47" t="s">
        <v>717</v>
      </c>
      <c r="C1080" s="56" t="s">
        <v>767</v>
      </c>
      <c r="D1080" s="43"/>
      <c r="E1080" s="83" t="s">
        <v>22</v>
      </c>
      <c r="F1080" s="27"/>
      <c r="G1080" s="26"/>
      <c r="H1080" s="21" t="b">
        <f>IF(D1083="x",H$2,H$1)</f>
        <v>0</v>
      </c>
    </row>
    <row r="1081" spans="1:8" x14ac:dyDescent="0.2">
      <c r="B1081" s="47" t="s">
        <v>717</v>
      </c>
      <c r="C1081" s="57" t="s">
        <v>768</v>
      </c>
      <c r="D1081" s="43"/>
      <c r="E1081" s="83" t="s">
        <v>23</v>
      </c>
      <c r="F1081" s="22" t="str">
        <f>IF(H1082=1,IF(H1080=H$2,H1080,""),"")</f>
        <v/>
      </c>
      <c r="G1081" s="26"/>
      <c r="H1081" s="21" t="str">
        <f>IF(E$1391="comprobar",COUNTIF(D1080:D1084,"x"),"")</f>
        <v/>
      </c>
    </row>
    <row r="1082" spans="1:8" x14ac:dyDescent="0.2">
      <c r="B1082" s="47" t="s">
        <v>717</v>
      </c>
      <c r="C1082" s="57" t="s">
        <v>769</v>
      </c>
      <c r="D1082" s="43"/>
      <c r="E1082" s="83" t="s">
        <v>24</v>
      </c>
      <c r="F1082" s="23" t="str">
        <f>IF(H1082=-0.33,IF(H1080=H$1,H1080,""),"")</f>
        <v/>
      </c>
      <c r="G1082" s="26"/>
      <c r="H1082" s="24">
        <f>IF(H1081=1,IF(H1080=H$2,1,-0.33),0)</f>
        <v>0</v>
      </c>
    </row>
    <row r="1083" spans="1:8" x14ac:dyDescent="0.2">
      <c r="B1083" s="47" t="s">
        <v>717</v>
      </c>
      <c r="C1083" s="57" t="s">
        <v>770</v>
      </c>
      <c r="D1083" s="43"/>
      <c r="E1083" s="83" t="s">
        <v>25</v>
      </c>
      <c r="F1083" s="28"/>
      <c r="G1083" s="26"/>
      <c r="H1083" s="24"/>
    </row>
    <row r="1084" spans="1:8" x14ac:dyDescent="0.2">
      <c r="B1084" s="47"/>
      <c r="C1084" s="8"/>
      <c r="D1084" s="43"/>
      <c r="E1084" s="83" t="s">
        <v>26</v>
      </c>
      <c r="F1084" s="28"/>
      <c r="G1084" s="19"/>
      <c r="H1084" s="24"/>
    </row>
    <row r="1085" spans="1:8" s="58" customFormat="1" ht="16" customHeight="1" x14ac:dyDescent="0.2">
      <c r="A1085" s="101"/>
      <c r="B1085" s="48" t="s">
        <v>771</v>
      </c>
      <c r="C1085" s="36"/>
      <c r="D1085" s="59"/>
      <c r="E1085" s="14"/>
      <c r="F1085" s="60"/>
      <c r="G1085" s="61"/>
      <c r="H1085" s="15"/>
    </row>
    <row r="1086" spans="1:8" x14ac:dyDescent="0.2">
      <c r="B1086" s="47" t="s">
        <v>717</v>
      </c>
      <c r="C1086" s="56" t="s">
        <v>229</v>
      </c>
      <c r="D1086" s="43"/>
      <c r="E1086" s="83" t="s">
        <v>22</v>
      </c>
      <c r="F1086" s="27"/>
      <c r="G1086" s="26"/>
      <c r="H1086" s="21" t="b">
        <f>IF(D1088="x",H$2,H$1)</f>
        <v>0</v>
      </c>
    </row>
    <row r="1087" spans="1:8" x14ac:dyDescent="0.2">
      <c r="B1087" s="47" t="s">
        <v>717</v>
      </c>
      <c r="C1087" s="57" t="s">
        <v>227</v>
      </c>
      <c r="D1087" s="43"/>
      <c r="E1087" s="83" t="s">
        <v>23</v>
      </c>
      <c r="F1087" s="22" t="str">
        <f>IF(H1088=1,IF(H1086=H$2,H1086,""),"")</f>
        <v/>
      </c>
      <c r="G1087" s="26"/>
      <c r="H1087" s="21" t="str">
        <f>IF(E$1391="comprobar",COUNTIF(D1086:D1090,"x"),"")</f>
        <v/>
      </c>
    </row>
    <row r="1088" spans="1:8" x14ac:dyDescent="0.2">
      <c r="B1088" s="47" t="s">
        <v>717</v>
      </c>
      <c r="C1088" s="57" t="s">
        <v>228</v>
      </c>
      <c r="D1088" s="43"/>
      <c r="E1088" s="83" t="s">
        <v>24</v>
      </c>
      <c r="F1088" s="23" t="str">
        <f>IF(H1088=-0.33,IF(H1086=H$1,H1086,""),"")</f>
        <v/>
      </c>
      <c r="G1088" s="26"/>
      <c r="H1088" s="24">
        <f>IF(H1087=1,IF(H1086=H$2,1,-0.33),0)</f>
        <v>0</v>
      </c>
    </row>
    <row r="1089" spans="1:8" x14ac:dyDescent="0.2">
      <c r="B1089" s="47" t="s">
        <v>717</v>
      </c>
      <c r="C1089" s="57" t="s">
        <v>230</v>
      </c>
      <c r="D1089" s="43"/>
      <c r="E1089" s="83" t="s">
        <v>25</v>
      </c>
      <c r="F1089" s="28"/>
      <c r="G1089" s="26"/>
      <c r="H1089" s="24"/>
    </row>
    <row r="1090" spans="1:8" x14ac:dyDescent="0.2">
      <c r="B1090" s="47"/>
      <c r="C1090" s="8"/>
      <c r="D1090" s="43"/>
      <c r="E1090" s="83" t="s">
        <v>26</v>
      </c>
      <c r="F1090" s="28"/>
      <c r="G1090" s="19"/>
      <c r="H1090" s="24"/>
    </row>
    <row r="1091" spans="1:8" s="17" customFormat="1" x14ac:dyDescent="0.2">
      <c r="A1091" s="4"/>
      <c r="B1091" s="48" t="s">
        <v>772</v>
      </c>
      <c r="C1091" s="36"/>
      <c r="D1091" s="44"/>
      <c r="E1091" s="14"/>
      <c r="F1091" s="30"/>
      <c r="G1091" s="29"/>
      <c r="H1091" s="15"/>
    </row>
    <row r="1092" spans="1:8" x14ac:dyDescent="0.2">
      <c r="B1092" s="47" t="s">
        <v>717</v>
      </c>
      <c r="C1092" s="56" t="s">
        <v>16</v>
      </c>
      <c r="D1092" s="43"/>
      <c r="E1092" s="83" t="s">
        <v>22</v>
      </c>
      <c r="F1092" s="28"/>
      <c r="G1092" s="26"/>
      <c r="H1092" s="21" t="b">
        <f>IF(D1093="x",H$2,H$1)</f>
        <v>0</v>
      </c>
    </row>
    <row r="1093" spans="1:8" x14ac:dyDescent="0.2">
      <c r="B1093" s="47" t="s">
        <v>717</v>
      </c>
      <c r="C1093" s="57" t="s">
        <v>773</v>
      </c>
      <c r="D1093" s="43"/>
      <c r="E1093" s="83" t="s">
        <v>23</v>
      </c>
      <c r="F1093" s="22" t="str">
        <f>IF(H1094=1,IF(H1092=H$2,H1092,""),"")</f>
        <v/>
      </c>
      <c r="G1093" s="26"/>
      <c r="H1093" s="21" t="str">
        <f>IF(E$1391="comprobar",COUNTIF(D1092:D1096,"x"),"")</f>
        <v/>
      </c>
    </row>
    <row r="1094" spans="1:8" x14ac:dyDescent="0.2">
      <c r="B1094" s="47" t="s">
        <v>717</v>
      </c>
      <c r="C1094" s="57" t="s">
        <v>774</v>
      </c>
      <c r="D1094" s="43"/>
      <c r="E1094" s="83" t="s">
        <v>24</v>
      </c>
      <c r="F1094" s="23" t="str">
        <f>IF(H1094=-0.33,IF(H1092=H$1,H1092,""),"")</f>
        <v/>
      </c>
      <c r="G1094" s="26"/>
      <c r="H1094" s="24">
        <f>IF(H1093=1,IF(H1092=H$2,1,-0.33),0)</f>
        <v>0</v>
      </c>
    </row>
    <row r="1095" spans="1:8" x14ac:dyDescent="0.2">
      <c r="B1095" s="47" t="s">
        <v>717</v>
      </c>
      <c r="C1095" s="57" t="s">
        <v>775</v>
      </c>
      <c r="D1095" s="43"/>
      <c r="E1095" s="83" t="s">
        <v>25</v>
      </c>
      <c r="F1095" s="28"/>
      <c r="G1095" s="26"/>
      <c r="H1095" s="24"/>
    </row>
    <row r="1096" spans="1:8" x14ac:dyDescent="0.2">
      <c r="B1096" s="47"/>
      <c r="C1096" s="8"/>
      <c r="D1096" s="43"/>
      <c r="E1096" s="83" t="s">
        <v>26</v>
      </c>
      <c r="F1096" s="20"/>
      <c r="G1096" s="19"/>
      <c r="H1096" s="24"/>
    </row>
    <row r="1097" spans="1:8" s="17" customFormat="1" x14ac:dyDescent="0.2">
      <c r="A1097" s="4"/>
      <c r="B1097" s="48" t="s">
        <v>776</v>
      </c>
      <c r="C1097" s="36"/>
      <c r="D1097" s="44"/>
      <c r="E1097" s="14"/>
      <c r="F1097" s="30"/>
      <c r="G1097" s="29"/>
      <c r="H1097" s="15"/>
    </row>
    <row r="1098" spans="1:8" x14ac:dyDescent="0.2">
      <c r="B1098" s="47" t="s">
        <v>717</v>
      </c>
      <c r="C1098" s="56" t="s">
        <v>777</v>
      </c>
      <c r="D1098" s="43"/>
      <c r="E1098" s="83" t="s">
        <v>22</v>
      </c>
      <c r="F1098" s="28"/>
      <c r="G1098" s="26"/>
      <c r="H1098" s="21" t="b">
        <f>IF(D1100="x",H$2,H$1)</f>
        <v>0</v>
      </c>
    </row>
    <row r="1099" spans="1:8" x14ac:dyDescent="0.2">
      <c r="B1099" s="47" t="s">
        <v>717</v>
      </c>
      <c r="C1099" s="57" t="s">
        <v>778</v>
      </c>
      <c r="D1099" s="43"/>
      <c r="E1099" s="83" t="s">
        <v>23</v>
      </c>
      <c r="F1099" s="22" t="str">
        <f>IF(H1100=1,IF(H1098=H$2,H1098,""),"")</f>
        <v/>
      </c>
      <c r="G1099" s="26"/>
      <c r="H1099" s="21" t="str">
        <f>IF(E$1391="comprobar",COUNTIF(D1098:D1102,"x"),"")</f>
        <v/>
      </c>
    </row>
    <row r="1100" spans="1:8" x14ac:dyDescent="0.2">
      <c r="B1100" s="47" t="s">
        <v>717</v>
      </c>
      <c r="C1100" s="57" t="s">
        <v>779</v>
      </c>
      <c r="D1100" s="43"/>
      <c r="E1100" s="83" t="s">
        <v>24</v>
      </c>
      <c r="F1100" s="23" t="str">
        <f>IF(H1100=-0.33,IF(H1098=H$1,H1098,""),"")</f>
        <v/>
      </c>
      <c r="G1100" s="26"/>
      <c r="H1100" s="24">
        <f>IF(H1099=1,IF(H1098=H$2,1,-0.33),0)</f>
        <v>0</v>
      </c>
    </row>
    <row r="1101" spans="1:8" x14ac:dyDescent="0.2">
      <c r="B1101" s="47" t="s">
        <v>717</v>
      </c>
      <c r="C1101" s="57" t="s">
        <v>780</v>
      </c>
      <c r="D1101" s="43"/>
      <c r="E1101" s="83" t="s">
        <v>25</v>
      </c>
      <c r="F1101" s="28"/>
      <c r="G1101" s="26"/>
      <c r="H1101" s="24"/>
    </row>
    <row r="1102" spans="1:8" x14ac:dyDescent="0.2">
      <c r="B1102" s="47"/>
      <c r="C1102" s="8"/>
      <c r="D1102" s="43"/>
      <c r="E1102" s="83" t="s">
        <v>26</v>
      </c>
      <c r="F1102" s="20"/>
      <c r="G1102" s="19"/>
      <c r="H1102" s="24"/>
    </row>
    <row r="1103" spans="1:8" s="17" customFormat="1" x14ac:dyDescent="0.2">
      <c r="A1103" s="4"/>
      <c r="B1103" s="48" t="s">
        <v>781</v>
      </c>
      <c r="C1103" s="36"/>
      <c r="D1103" s="44"/>
      <c r="E1103" s="14"/>
      <c r="F1103" s="30"/>
      <c r="G1103" s="29"/>
      <c r="H1103" s="15"/>
    </row>
    <row r="1104" spans="1:8" x14ac:dyDescent="0.2">
      <c r="B1104" s="47" t="s">
        <v>717</v>
      </c>
      <c r="C1104" s="56" t="s">
        <v>148</v>
      </c>
      <c r="D1104" s="43"/>
      <c r="E1104" s="83" t="s">
        <v>22</v>
      </c>
      <c r="F1104" s="28"/>
      <c r="G1104" s="26"/>
      <c r="H1104" s="21" t="b">
        <f>IF(D1104="x",H$2,H$1)</f>
        <v>0</v>
      </c>
    </row>
    <row r="1105" spans="1:8" x14ac:dyDescent="0.2">
      <c r="B1105" s="47" t="s">
        <v>717</v>
      </c>
      <c r="C1105" s="57" t="s">
        <v>145</v>
      </c>
      <c r="D1105" s="43"/>
      <c r="E1105" s="83" t="s">
        <v>23</v>
      </c>
      <c r="F1105" s="22" t="str">
        <f>IF(H1106=1,IF(H1104=H$2,H1104,""),"")</f>
        <v/>
      </c>
      <c r="G1105" s="26"/>
      <c r="H1105" s="21" t="str">
        <f>IF(E$1391="comprobar",COUNTIF(D1104:D1108,"x"),"")</f>
        <v/>
      </c>
    </row>
    <row r="1106" spans="1:8" x14ac:dyDescent="0.2">
      <c r="B1106" s="47" t="s">
        <v>717</v>
      </c>
      <c r="C1106" s="57" t="s">
        <v>146</v>
      </c>
      <c r="D1106" s="43"/>
      <c r="E1106" s="83" t="s">
        <v>24</v>
      </c>
      <c r="F1106" s="23" t="str">
        <f>IF(H1106=-0.33,IF(H1104=H$1,H1104,""),"")</f>
        <v/>
      </c>
      <c r="G1106" s="26"/>
      <c r="H1106" s="24">
        <f>IF(H1105=1,IF(H1104=H$2,1,-0.33),0)</f>
        <v>0</v>
      </c>
    </row>
    <row r="1107" spans="1:8" x14ac:dyDescent="0.2">
      <c r="B1107" s="47" t="s">
        <v>717</v>
      </c>
      <c r="C1107" s="57" t="s">
        <v>782</v>
      </c>
      <c r="D1107" s="43"/>
      <c r="E1107" s="83" t="s">
        <v>25</v>
      </c>
      <c r="F1107" s="28"/>
      <c r="G1107" s="26"/>
      <c r="H1107" s="24"/>
    </row>
    <row r="1108" spans="1:8" x14ac:dyDescent="0.2">
      <c r="B1108" s="47"/>
      <c r="C1108" s="8"/>
      <c r="D1108" s="43"/>
      <c r="E1108" s="83" t="s">
        <v>26</v>
      </c>
      <c r="F1108" s="20"/>
      <c r="G1108" s="19"/>
      <c r="H1108" s="24"/>
    </row>
    <row r="1109" spans="1:8" s="17" customFormat="1" x14ac:dyDescent="0.2">
      <c r="A1109" s="4"/>
      <c r="B1109" s="48" t="s">
        <v>783</v>
      </c>
      <c r="C1109" s="36"/>
      <c r="D1109" s="44"/>
      <c r="E1109" s="14"/>
      <c r="F1109" s="30"/>
      <c r="G1109" s="29"/>
      <c r="H1109" s="15"/>
    </row>
    <row r="1110" spans="1:8" x14ac:dyDescent="0.2">
      <c r="B1110" s="47" t="s">
        <v>717</v>
      </c>
      <c r="C1110" s="56" t="s">
        <v>784</v>
      </c>
      <c r="D1110" s="43"/>
      <c r="E1110" s="83" t="s">
        <v>22</v>
      </c>
      <c r="F1110" s="28"/>
      <c r="G1110" s="26"/>
      <c r="H1110" s="21" t="b">
        <f>IF(D1113="x",H$2,H$1)</f>
        <v>0</v>
      </c>
    </row>
    <row r="1111" spans="1:8" x14ac:dyDescent="0.2">
      <c r="B1111" s="47" t="s">
        <v>717</v>
      </c>
      <c r="C1111" s="57" t="s">
        <v>785</v>
      </c>
      <c r="D1111" s="43"/>
      <c r="E1111" s="83" t="s">
        <v>23</v>
      </c>
      <c r="F1111" s="22" t="str">
        <f>IF(H1112=1,IF(H1110=H$2,H1110,""),"")</f>
        <v/>
      </c>
      <c r="G1111" s="26"/>
      <c r="H1111" s="21" t="str">
        <f>IF(E$1391="comprobar",COUNTIF(D1110:D1114,"x"),"")</f>
        <v/>
      </c>
    </row>
    <row r="1112" spans="1:8" x14ac:dyDescent="0.2">
      <c r="B1112" s="47" t="s">
        <v>717</v>
      </c>
      <c r="C1112" s="57" t="s">
        <v>786</v>
      </c>
      <c r="D1112" s="43"/>
      <c r="E1112" s="83" t="s">
        <v>24</v>
      </c>
      <c r="F1112" s="23" t="str">
        <f>IF(H1112=-0.33,IF(H1110=H$1,H1110,""),"")</f>
        <v/>
      </c>
      <c r="G1112" s="26"/>
      <c r="H1112" s="24">
        <f>IF(H1111=1,IF(H1110=H$2,1,-0.33),0)</f>
        <v>0</v>
      </c>
    </row>
    <row r="1113" spans="1:8" x14ac:dyDescent="0.2">
      <c r="B1113" s="47" t="s">
        <v>717</v>
      </c>
      <c r="C1113" s="57" t="s">
        <v>787</v>
      </c>
      <c r="D1113" s="43"/>
      <c r="E1113" s="83" t="s">
        <v>25</v>
      </c>
      <c r="F1113" s="28"/>
      <c r="G1113" s="26"/>
      <c r="H1113" s="24"/>
    </row>
    <row r="1114" spans="1:8" x14ac:dyDescent="0.2">
      <c r="B1114" s="47"/>
      <c r="C1114" s="8"/>
      <c r="D1114" s="43"/>
      <c r="E1114" s="83" t="s">
        <v>26</v>
      </c>
      <c r="F1114" s="20"/>
      <c r="G1114" s="19"/>
      <c r="H1114" s="24"/>
    </row>
    <row r="1115" spans="1:8" s="17" customFormat="1" x14ac:dyDescent="0.2">
      <c r="A1115" s="4"/>
      <c r="B1115" s="48" t="s">
        <v>788</v>
      </c>
      <c r="C1115" s="36"/>
      <c r="D1115" s="44"/>
      <c r="E1115" s="14"/>
      <c r="F1115" s="30"/>
      <c r="G1115" s="29"/>
      <c r="H1115" s="15"/>
    </row>
    <row r="1116" spans="1:8" x14ac:dyDescent="0.2">
      <c r="B1116" s="47" t="s">
        <v>717</v>
      </c>
      <c r="C1116" s="56" t="s">
        <v>152</v>
      </c>
      <c r="D1116" s="43"/>
      <c r="E1116" s="83" t="s">
        <v>22</v>
      </c>
      <c r="F1116" s="28"/>
      <c r="G1116" s="26"/>
      <c r="H1116" s="21" t="b">
        <f>IF(D1118="x",H$2,H$1)</f>
        <v>0</v>
      </c>
    </row>
    <row r="1117" spans="1:8" x14ac:dyDescent="0.2">
      <c r="B1117" s="47" t="s">
        <v>717</v>
      </c>
      <c r="C1117" s="57" t="s">
        <v>151</v>
      </c>
      <c r="D1117" s="43"/>
      <c r="E1117" s="83" t="s">
        <v>23</v>
      </c>
      <c r="F1117" s="22" t="str">
        <f>IF(H1118=1,IF(H1116=H$2,H1116,""),"")</f>
        <v/>
      </c>
      <c r="G1117" s="26"/>
      <c r="H1117" s="21" t="str">
        <f>IF(E$1391="comprobar",COUNTIF(D1116:D1120,"x"),"")</f>
        <v/>
      </c>
    </row>
    <row r="1118" spans="1:8" x14ac:dyDescent="0.2">
      <c r="B1118" s="47" t="s">
        <v>717</v>
      </c>
      <c r="C1118" s="57" t="s">
        <v>150</v>
      </c>
      <c r="D1118" s="43"/>
      <c r="E1118" s="83" t="s">
        <v>24</v>
      </c>
      <c r="F1118" s="23" t="str">
        <f>IF(H1118=-0.33,IF(H1116=H$1,H1116,""),"")</f>
        <v/>
      </c>
      <c r="G1118" s="26"/>
      <c r="H1118" s="24">
        <f>IF(H1117=1,IF(H1116=H$2,1,-0.33),0)</f>
        <v>0</v>
      </c>
    </row>
    <row r="1119" spans="1:8" x14ac:dyDescent="0.2">
      <c r="B1119" s="47" t="s">
        <v>717</v>
      </c>
      <c r="C1119" s="57" t="s">
        <v>789</v>
      </c>
      <c r="D1119" s="43"/>
      <c r="E1119" s="83" t="s">
        <v>25</v>
      </c>
      <c r="F1119" s="28"/>
      <c r="G1119" s="26"/>
      <c r="H1119" s="24"/>
    </row>
    <row r="1120" spans="1:8" x14ac:dyDescent="0.2">
      <c r="B1120" s="47"/>
      <c r="C1120" s="8"/>
      <c r="D1120" s="43"/>
      <c r="E1120" s="83" t="s">
        <v>26</v>
      </c>
      <c r="F1120" s="20"/>
      <c r="G1120" s="19"/>
      <c r="H1120" s="24"/>
    </row>
    <row r="1121" spans="1:8" s="17" customFormat="1" x14ac:dyDescent="0.2">
      <c r="A1121" s="4"/>
      <c r="B1121" s="48" t="s">
        <v>790</v>
      </c>
      <c r="C1121" s="36"/>
      <c r="D1121" s="44"/>
      <c r="E1121" s="14"/>
      <c r="F1121" s="30"/>
      <c r="G1121" s="29"/>
      <c r="H1121" s="15"/>
    </row>
    <row r="1122" spans="1:8" x14ac:dyDescent="0.2">
      <c r="B1122" s="47" t="s">
        <v>717</v>
      </c>
      <c r="C1122" s="56" t="s">
        <v>111</v>
      </c>
      <c r="D1122" s="43"/>
      <c r="E1122" s="83" t="s">
        <v>22</v>
      </c>
      <c r="F1122" s="28"/>
      <c r="G1122" s="26"/>
      <c r="H1122" s="21" t="b">
        <f>IF(D1122="x",H$2,H$1)</f>
        <v>0</v>
      </c>
    </row>
    <row r="1123" spans="1:8" x14ac:dyDescent="0.2">
      <c r="B1123" s="47" t="s">
        <v>717</v>
      </c>
      <c r="C1123" s="57" t="s">
        <v>109</v>
      </c>
      <c r="D1123" s="43"/>
      <c r="E1123" s="83" t="s">
        <v>23</v>
      </c>
      <c r="F1123" s="22" t="str">
        <f>IF(H1124=1,IF(H1122=H$2,H1122,""),"")</f>
        <v/>
      </c>
      <c r="G1123" s="26"/>
      <c r="H1123" s="21" t="str">
        <f>IF(E$1391="comprobar",COUNTIF(D1122:D1126,"x"),"")</f>
        <v/>
      </c>
    </row>
    <row r="1124" spans="1:8" x14ac:dyDescent="0.2">
      <c r="B1124" s="47" t="s">
        <v>717</v>
      </c>
      <c r="C1124" s="57" t="s">
        <v>112</v>
      </c>
      <c r="D1124" s="43"/>
      <c r="E1124" s="83" t="s">
        <v>24</v>
      </c>
      <c r="F1124" s="23" t="str">
        <f>IF(H1124=-0.33,IF(H1122=H$1,H1122,""),"")</f>
        <v/>
      </c>
      <c r="G1124" s="26"/>
      <c r="H1124" s="24">
        <f>IF(H1123=1,IF(H1122=H$2,1,-0.33),0)</f>
        <v>0</v>
      </c>
    </row>
    <row r="1125" spans="1:8" x14ac:dyDescent="0.2">
      <c r="B1125" s="47" t="s">
        <v>717</v>
      </c>
      <c r="C1125" s="57" t="s">
        <v>110</v>
      </c>
      <c r="D1125" s="43"/>
      <c r="E1125" s="83" t="s">
        <v>25</v>
      </c>
      <c r="F1125" s="28"/>
      <c r="G1125" s="26"/>
      <c r="H1125" s="24"/>
    </row>
    <row r="1126" spans="1:8" x14ac:dyDescent="0.2">
      <c r="B1126" s="47"/>
      <c r="C1126" s="8"/>
      <c r="D1126" s="43"/>
      <c r="E1126" s="83" t="s">
        <v>26</v>
      </c>
      <c r="F1126" s="20"/>
      <c r="G1126" s="19"/>
      <c r="H1126" s="24"/>
    </row>
    <row r="1127" spans="1:8" s="17" customFormat="1" x14ac:dyDescent="0.2">
      <c r="A1127" s="4"/>
      <c r="B1127" s="48" t="s">
        <v>791</v>
      </c>
      <c r="C1127" s="36"/>
      <c r="D1127" s="44"/>
      <c r="E1127" s="14"/>
      <c r="F1127" s="30"/>
      <c r="G1127" s="29"/>
      <c r="H1127" s="15"/>
    </row>
    <row r="1128" spans="1:8" x14ac:dyDescent="0.2">
      <c r="B1128" s="47" t="s">
        <v>717</v>
      </c>
      <c r="C1128" s="56" t="s">
        <v>792</v>
      </c>
      <c r="D1128" s="43"/>
      <c r="E1128" s="83" t="s">
        <v>22</v>
      </c>
      <c r="F1128" s="28"/>
      <c r="G1128" s="26"/>
      <c r="H1128" s="21" t="b">
        <f>IF(D1131="x",H$2,H$1)</f>
        <v>0</v>
      </c>
    </row>
    <row r="1129" spans="1:8" x14ac:dyDescent="0.2">
      <c r="B1129" s="47" t="s">
        <v>717</v>
      </c>
      <c r="C1129" s="57" t="s">
        <v>793</v>
      </c>
      <c r="D1129" s="43"/>
      <c r="E1129" s="83" t="s">
        <v>23</v>
      </c>
      <c r="F1129" s="22" t="str">
        <f>IF(H1130=1,IF(H1128=H$2,H1128,""),"")</f>
        <v/>
      </c>
      <c r="G1129" s="26"/>
      <c r="H1129" s="21" t="str">
        <f>IF(E$1391="comprobar",COUNTIF(D1128:D1132,"x"),"")</f>
        <v/>
      </c>
    </row>
    <row r="1130" spans="1:8" x14ac:dyDescent="0.2">
      <c r="B1130" s="47" t="s">
        <v>717</v>
      </c>
      <c r="C1130" s="57" t="s">
        <v>794</v>
      </c>
      <c r="D1130" s="43"/>
      <c r="E1130" s="83" t="s">
        <v>24</v>
      </c>
      <c r="F1130" s="23" t="str">
        <f>IF(H1130=-0.33,IF(H1128=H$1,H1128,""),"")</f>
        <v/>
      </c>
      <c r="G1130" s="26"/>
      <c r="H1130" s="24">
        <f>IF(H1129=1,IF(H1128=H$2,1,-0.33),0)</f>
        <v>0</v>
      </c>
    </row>
    <row r="1131" spans="1:8" x14ac:dyDescent="0.2">
      <c r="B1131" s="47" t="s">
        <v>717</v>
      </c>
      <c r="C1131" s="57" t="s">
        <v>795</v>
      </c>
      <c r="D1131" s="43"/>
      <c r="E1131" s="83" t="s">
        <v>25</v>
      </c>
      <c r="F1131" s="28"/>
      <c r="G1131" s="26"/>
      <c r="H1131" s="24"/>
    </row>
    <row r="1132" spans="1:8" x14ac:dyDescent="0.2">
      <c r="B1132" s="47"/>
      <c r="C1132" s="8"/>
      <c r="D1132" s="43"/>
      <c r="E1132" s="83" t="s">
        <v>26</v>
      </c>
      <c r="F1132" s="20"/>
      <c r="G1132" s="19"/>
      <c r="H1132" s="24"/>
    </row>
    <row r="1133" spans="1:8" s="17" customFormat="1" x14ac:dyDescent="0.2">
      <c r="A1133" s="4"/>
      <c r="B1133" s="48" t="s">
        <v>796</v>
      </c>
      <c r="C1133" s="36"/>
      <c r="D1133" s="44"/>
      <c r="E1133" s="14"/>
      <c r="F1133" s="30"/>
      <c r="G1133" s="29"/>
      <c r="H1133" s="15"/>
    </row>
    <row r="1134" spans="1:8" x14ac:dyDescent="0.2">
      <c r="B1134" s="47" t="s">
        <v>717</v>
      </c>
      <c r="C1134" s="56" t="s">
        <v>116</v>
      </c>
      <c r="D1134" s="43"/>
      <c r="E1134" s="83" t="s">
        <v>22</v>
      </c>
      <c r="F1134" s="28"/>
      <c r="G1134" s="26"/>
      <c r="H1134" s="21" t="b">
        <f>IF(D1134="x",H$2,H$1)</f>
        <v>0</v>
      </c>
    </row>
    <row r="1135" spans="1:8" x14ac:dyDescent="0.2">
      <c r="B1135" s="47" t="s">
        <v>717</v>
      </c>
      <c r="C1135" s="57" t="s">
        <v>114</v>
      </c>
      <c r="D1135" s="43"/>
      <c r="E1135" s="83" t="s">
        <v>23</v>
      </c>
      <c r="F1135" s="22" t="str">
        <f>IF(H1136=1,IF(H1134=H$2,H1134,""),"")</f>
        <v/>
      </c>
      <c r="G1135" s="26"/>
      <c r="H1135" s="21" t="str">
        <f>IF(E$1391="comprobar",COUNTIF(D1134:D1138,"x"),"")</f>
        <v/>
      </c>
    </row>
    <row r="1136" spans="1:8" x14ac:dyDescent="0.2">
      <c r="B1136" s="47" t="s">
        <v>717</v>
      </c>
      <c r="C1136" s="57" t="s">
        <v>115</v>
      </c>
      <c r="D1136" s="43"/>
      <c r="E1136" s="83" t="s">
        <v>24</v>
      </c>
      <c r="F1136" s="23" t="str">
        <f>IF(H1136=-0.33,IF(H1134=H$1,H1134,""),"")</f>
        <v/>
      </c>
      <c r="G1136" s="26"/>
      <c r="H1136" s="24">
        <f>IF(H1135=1,IF(H1134=H$2,1,-0.33),0)</f>
        <v>0</v>
      </c>
    </row>
    <row r="1137" spans="1:8" x14ac:dyDescent="0.2">
      <c r="B1137" s="47" t="s">
        <v>717</v>
      </c>
      <c r="C1137" s="57" t="s">
        <v>92</v>
      </c>
      <c r="D1137" s="43"/>
      <c r="E1137" s="83" t="s">
        <v>25</v>
      </c>
      <c r="F1137" s="28"/>
      <c r="G1137" s="26"/>
      <c r="H1137" s="24"/>
    </row>
    <row r="1138" spans="1:8" x14ac:dyDescent="0.2">
      <c r="B1138" s="47"/>
      <c r="C1138" s="8"/>
      <c r="D1138" s="43"/>
      <c r="E1138" s="83" t="s">
        <v>26</v>
      </c>
      <c r="F1138" s="20"/>
      <c r="G1138" s="19"/>
      <c r="H1138" s="24"/>
    </row>
    <row r="1139" spans="1:8" s="17" customFormat="1" x14ac:dyDescent="0.2">
      <c r="A1139" s="4"/>
      <c r="B1139" s="48" t="s">
        <v>797</v>
      </c>
      <c r="C1139" s="36"/>
      <c r="D1139" s="44"/>
      <c r="E1139" s="14"/>
      <c r="F1139" s="30"/>
      <c r="G1139" s="29"/>
      <c r="H1139" s="15"/>
    </row>
    <row r="1140" spans="1:8" x14ac:dyDescent="0.2">
      <c r="B1140" s="47" t="s">
        <v>717</v>
      </c>
      <c r="C1140" s="56" t="s">
        <v>224</v>
      </c>
      <c r="D1140" s="43"/>
      <c r="E1140" s="83" t="s">
        <v>22</v>
      </c>
      <c r="F1140" s="28"/>
      <c r="G1140" s="26"/>
      <c r="H1140" s="21" t="b">
        <f>IF(D1142="x",H$2,H$1)</f>
        <v>0</v>
      </c>
    </row>
    <row r="1141" spans="1:8" x14ac:dyDescent="0.2">
      <c r="B1141" s="47" t="s">
        <v>717</v>
      </c>
      <c r="C1141" s="57" t="s">
        <v>222</v>
      </c>
      <c r="D1141" s="43"/>
      <c r="E1141" s="83" t="s">
        <v>23</v>
      </c>
      <c r="F1141" s="22" t="str">
        <f>IF(H1142=1,IF(H1140=H$2,H1140,""),"")</f>
        <v/>
      </c>
      <c r="G1141" s="26"/>
      <c r="H1141" s="21" t="str">
        <f>IF(E$1391="comprobar",COUNTIF(D1140:D1144,"x"),"")</f>
        <v/>
      </c>
    </row>
    <row r="1142" spans="1:8" x14ac:dyDescent="0.2">
      <c r="B1142" s="47" t="s">
        <v>717</v>
      </c>
      <c r="C1142" s="57" t="s">
        <v>223</v>
      </c>
      <c r="D1142" s="43"/>
      <c r="E1142" s="83" t="s">
        <v>24</v>
      </c>
      <c r="F1142" s="23" t="str">
        <f>IF(H1142=-0.33,IF(H1140=H$1,H1140,""),"")</f>
        <v/>
      </c>
      <c r="G1142" s="26"/>
      <c r="H1142" s="24">
        <f>IF(H1141=1,IF(H1140=H$2,1,-0.33),0)</f>
        <v>0</v>
      </c>
    </row>
    <row r="1143" spans="1:8" x14ac:dyDescent="0.2">
      <c r="B1143" s="47" t="s">
        <v>717</v>
      </c>
      <c r="C1143" s="57" t="s">
        <v>798</v>
      </c>
      <c r="D1143" s="43"/>
      <c r="E1143" s="83" t="s">
        <v>25</v>
      </c>
      <c r="F1143" s="28"/>
      <c r="G1143" s="26"/>
      <c r="H1143" s="24"/>
    </row>
    <row r="1144" spans="1:8" x14ac:dyDescent="0.2">
      <c r="B1144" s="47"/>
      <c r="C1144" s="8"/>
      <c r="D1144" s="43"/>
      <c r="E1144" s="83" t="s">
        <v>26</v>
      </c>
      <c r="F1144" s="20"/>
      <c r="G1144" s="19"/>
      <c r="H1144" s="24"/>
    </row>
    <row r="1145" spans="1:8" s="17" customFormat="1" x14ac:dyDescent="0.2">
      <c r="A1145" s="4"/>
      <c r="B1145" s="48" t="s">
        <v>799</v>
      </c>
      <c r="C1145" s="36"/>
      <c r="D1145" s="44"/>
      <c r="E1145" s="14"/>
      <c r="F1145" s="30"/>
      <c r="G1145" s="29"/>
      <c r="H1145" s="15"/>
    </row>
    <row r="1146" spans="1:8" x14ac:dyDescent="0.2">
      <c r="B1146" s="47" t="s">
        <v>717</v>
      </c>
      <c r="C1146" s="56" t="s">
        <v>67</v>
      </c>
      <c r="D1146" s="43"/>
      <c r="E1146" s="83" t="s">
        <v>22</v>
      </c>
      <c r="F1146" s="28"/>
      <c r="G1146" s="26"/>
      <c r="H1146" s="21" t="b">
        <f>IF(D1147="x",H$2,H$1)</f>
        <v>0</v>
      </c>
    </row>
    <row r="1147" spans="1:8" x14ac:dyDescent="0.2">
      <c r="B1147" s="47" t="s">
        <v>717</v>
      </c>
      <c r="C1147" s="57" t="s">
        <v>65</v>
      </c>
      <c r="D1147" s="43"/>
      <c r="E1147" s="83" t="s">
        <v>23</v>
      </c>
      <c r="F1147" s="22" t="str">
        <f>IF(H1148=1,IF(H1146=H$2,H1146,""),"")</f>
        <v/>
      </c>
      <c r="G1147" s="26"/>
      <c r="H1147" s="21" t="str">
        <f>IF(E$1391="comprobar",COUNTIF(D1146:D1150,"x"),"")</f>
        <v/>
      </c>
    </row>
    <row r="1148" spans="1:8" x14ac:dyDescent="0.2">
      <c r="B1148" s="47" t="s">
        <v>717</v>
      </c>
      <c r="C1148" s="57" t="s">
        <v>64</v>
      </c>
      <c r="D1148" s="43"/>
      <c r="E1148" s="83" t="s">
        <v>24</v>
      </c>
      <c r="F1148" s="23" t="str">
        <f>IF(H1148=-0.33,IF(H1146=H$1,H1146,""),"")</f>
        <v/>
      </c>
      <c r="G1148" s="26"/>
      <c r="H1148" s="24">
        <f>IF(H1147=1,IF(H1146=H$2,1,-0.33),0)</f>
        <v>0</v>
      </c>
    </row>
    <row r="1149" spans="1:8" x14ac:dyDescent="0.2">
      <c r="B1149" s="47" t="s">
        <v>717</v>
      </c>
      <c r="C1149" s="57" t="s">
        <v>66</v>
      </c>
      <c r="D1149" s="43"/>
      <c r="E1149" s="83" t="s">
        <v>25</v>
      </c>
      <c r="F1149" s="28"/>
      <c r="G1149" s="26"/>
      <c r="H1149" s="24"/>
    </row>
    <row r="1150" spans="1:8" x14ac:dyDescent="0.2">
      <c r="B1150" s="47"/>
      <c r="C1150" s="8"/>
      <c r="D1150" s="43"/>
      <c r="E1150" s="83" t="s">
        <v>26</v>
      </c>
      <c r="F1150" s="20"/>
      <c r="G1150" s="19"/>
      <c r="H1150" s="24"/>
    </row>
    <row r="1151" spans="1:8" s="17" customFormat="1" x14ac:dyDescent="0.2">
      <c r="A1151" s="4"/>
      <c r="B1151" s="48" t="s">
        <v>800</v>
      </c>
      <c r="C1151" s="36"/>
      <c r="D1151" s="44"/>
      <c r="E1151" s="14"/>
      <c r="F1151" s="30"/>
      <c r="G1151" s="29"/>
      <c r="H1151" s="15"/>
    </row>
    <row r="1152" spans="1:8" x14ac:dyDescent="0.2">
      <c r="B1152" s="47" t="s">
        <v>717</v>
      </c>
      <c r="C1152" s="56" t="s">
        <v>74</v>
      </c>
      <c r="D1152" s="43"/>
      <c r="E1152" s="83" t="s">
        <v>22</v>
      </c>
      <c r="F1152" s="28"/>
      <c r="G1152" s="26"/>
      <c r="H1152" s="21" t="b">
        <f>IF(D1153="x",H$2,H$1)</f>
        <v>0</v>
      </c>
    </row>
    <row r="1153" spans="1:8" x14ac:dyDescent="0.2">
      <c r="B1153" s="47" t="s">
        <v>717</v>
      </c>
      <c r="C1153" s="57" t="s">
        <v>77</v>
      </c>
      <c r="D1153" s="43"/>
      <c r="E1153" s="83" t="s">
        <v>23</v>
      </c>
      <c r="F1153" s="22" t="str">
        <f>IF(H1154=1,IF(H1152=H$2,H1152,""),"")</f>
        <v/>
      </c>
      <c r="G1153" s="26"/>
      <c r="H1153" s="21" t="str">
        <f>IF(E$1391="comprobar",COUNTIF(D1152:D1156,"x"),"")</f>
        <v/>
      </c>
    </row>
    <row r="1154" spans="1:8" x14ac:dyDescent="0.2">
      <c r="B1154" s="47" t="s">
        <v>717</v>
      </c>
      <c r="C1154" s="57" t="s">
        <v>76</v>
      </c>
      <c r="D1154" s="43"/>
      <c r="E1154" s="83" t="s">
        <v>24</v>
      </c>
      <c r="F1154" s="23" t="str">
        <f>IF(H1154=-0.33,IF(H1152=H$1,H1152,""),"")</f>
        <v/>
      </c>
      <c r="G1154" s="26"/>
      <c r="H1154" s="24">
        <f>IF(H1153=1,IF(H1152=H$2,1,-0.33),0)</f>
        <v>0</v>
      </c>
    </row>
    <row r="1155" spans="1:8" x14ac:dyDescent="0.2">
      <c r="B1155" s="47" t="s">
        <v>717</v>
      </c>
      <c r="C1155" s="57" t="s">
        <v>75</v>
      </c>
      <c r="D1155" s="43"/>
      <c r="E1155" s="83" t="s">
        <v>25</v>
      </c>
      <c r="F1155" s="28"/>
      <c r="G1155" s="26"/>
      <c r="H1155" s="24"/>
    </row>
    <row r="1156" spans="1:8" x14ac:dyDescent="0.2">
      <c r="B1156" s="47"/>
      <c r="C1156" s="8"/>
      <c r="D1156" s="43"/>
      <c r="E1156" s="83" t="s">
        <v>26</v>
      </c>
      <c r="F1156" s="20"/>
      <c r="G1156" s="19"/>
      <c r="H1156" s="24"/>
    </row>
    <row r="1157" spans="1:8" s="17" customFormat="1" x14ac:dyDescent="0.2">
      <c r="A1157" s="4"/>
      <c r="B1157" s="48" t="s">
        <v>801</v>
      </c>
      <c r="C1157" s="36"/>
      <c r="D1157" s="44"/>
      <c r="E1157" s="14"/>
      <c r="F1157" s="30"/>
      <c r="G1157" s="29"/>
      <c r="H1157" s="15"/>
    </row>
    <row r="1158" spans="1:8" x14ac:dyDescent="0.2">
      <c r="B1158" s="47" t="s">
        <v>717</v>
      </c>
      <c r="C1158" s="56" t="s">
        <v>100</v>
      </c>
      <c r="D1158" s="43"/>
      <c r="E1158" s="83" t="s">
        <v>22</v>
      </c>
      <c r="F1158" s="28"/>
      <c r="G1158" s="26"/>
      <c r="H1158" s="21" t="b">
        <f>IF(D1160="x",H$2,H$1)</f>
        <v>0</v>
      </c>
    </row>
    <row r="1159" spans="1:8" x14ac:dyDescent="0.2">
      <c r="B1159" s="47" t="s">
        <v>717</v>
      </c>
      <c r="C1159" s="57" t="s">
        <v>99</v>
      </c>
      <c r="D1159" s="43"/>
      <c r="E1159" s="83" t="s">
        <v>23</v>
      </c>
      <c r="F1159" s="22" t="str">
        <f>IF(H1160=1,IF(H1158=H$2,H1158,""),"")</f>
        <v/>
      </c>
      <c r="G1159" s="26"/>
      <c r="H1159" s="21" t="str">
        <f>IF(E$1391="comprobar",COUNTIF(D1158:D1162,"x"),"")</f>
        <v/>
      </c>
    </row>
    <row r="1160" spans="1:8" x14ac:dyDescent="0.2">
      <c r="B1160" s="47" t="s">
        <v>717</v>
      </c>
      <c r="C1160" s="57" t="s">
        <v>98</v>
      </c>
      <c r="D1160" s="43"/>
      <c r="E1160" s="83" t="s">
        <v>24</v>
      </c>
      <c r="F1160" s="23" t="str">
        <f>IF(H1160=-0.33,IF(H1158=H$1,H1158,""),"")</f>
        <v/>
      </c>
      <c r="G1160" s="26"/>
      <c r="H1160" s="24">
        <f>IF(H1159=1,IF(H1158=H$2,1,-0.33),0)</f>
        <v>0</v>
      </c>
    </row>
    <row r="1161" spans="1:8" x14ac:dyDescent="0.2">
      <c r="B1161" s="47" t="s">
        <v>717</v>
      </c>
      <c r="C1161" s="57" t="s">
        <v>97</v>
      </c>
      <c r="D1161" s="43"/>
      <c r="E1161" s="83" t="s">
        <v>25</v>
      </c>
      <c r="F1161" s="28"/>
      <c r="G1161" s="26"/>
      <c r="H1161" s="24"/>
    </row>
    <row r="1162" spans="1:8" x14ac:dyDescent="0.2">
      <c r="B1162" s="47"/>
      <c r="C1162" s="8"/>
      <c r="D1162" s="43"/>
      <c r="E1162" s="83" t="s">
        <v>26</v>
      </c>
      <c r="F1162" s="20"/>
      <c r="G1162" s="19"/>
      <c r="H1162" s="24"/>
    </row>
    <row r="1163" spans="1:8" s="17" customFormat="1" x14ac:dyDescent="0.2">
      <c r="A1163" s="4"/>
      <c r="B1163" s="48" t="s">
        <v>802</v>
      </c>
      <c r="C1163" s="36"/>
      <c r="D1163" s="44"/>
      <c r="E1163" s="14"/>
      <c r="F1163" s="30"/>
      <c r="G1163" s="29"/>
      <c r="H1163" s="15"/>
    </row>
    <row r="1164" spans="1:8" x14ac:dyDescent="0.2">
      <c r="B1164" s="47" t="s">
        <v>717</v>
      </c>
      <c r="C1164" s="56" t="s">
        <v>60</v>
      </c>
      <c r="D1164" s="43"/>
      <c r="E1164" s="83" t="s">
        <v>22</v>
      </c>
      <c r="F1164" s="28"/>
      <c r="G1164" s="26"/>
      <c r="H1164" s="21" t="b">
        <f>IF(D1166="x",H$2,H$1)</f>
        <v>0</v>
      </c>
    </row>
    <row r="1165" spans="1:8" x14ac:dyDescent="0.2">
      <c r="B1165" s="47" t="s">
        <v>717</v>
      </c>
      <c r="C1165" s="57" t="s">
        <v>59</v>
      </c>
      <c r="D1165" s="43"/>
      <c r="E1165" s="83" t="s">
        <v>23</v>
      </c>
      <c r="F1165" s="22" t="str">
        <f>IF(H1166=1,IF(H1164=H$2,H1164,""),"")</f>
        <v/>
      </c>
      <c r="G1165" s="26"/>
      <c r="H1165" s="21" t="str">
        <f>IF(E$1391="comprobar",COUNTIF(D1164:D1168,"x"),"")</f>
        <v/>
      </c>
    </row>
    <row r="1166" spans="1:8" x14ac:dyDescent="0.2">
      <c r="B1166" s="47" t="s">
        <v>717</v>
      </c>
      <c r="C1166" s="57" t="s">
        <v>61</v>
      </c>
      <c r="D1166" s="43"/>
      <c r="E1166" s="83" t="s">
        <v>24</v>
      </c>
      <c r="F1166" s="23" t="str">
        <f>IF(H1166=-0.33,IF(H1164=H$1,H1164,""),"")</f>
        <v/>
      </c>
      <c r="G1166" s="26"/>
      <c r="H1166" s="24">
        <f>IF(H1165=1,IF(H1164=H$2,1,-0.33),0)</f>
        <v>0</v>
      </c>
    </row>
    <row r="1167" spans="1:8" x14ac:dyDescent="0.2">
      <c r="B1167" s="47" t="s">
        <v>717</v>
      </c>
      <c r="C1167" s="57" t="s">
        <v>62</v>
      </c>
      <c r="D1167" s="43"/>
      <c r="E1167" s="83" t="s">
        <v>25</v>
      </c>
      <c r="F1167" s="28"/>
      <c r="G1167" s="26"/>
      <c r="H1167" s="24"/>
    </row>
    <row r="1168" spans="1:8" x14ac:dyDescent="0.2">
      <c r="B1168" s="47"/>
      <c r="C1168" s="8"/>
      <c r="D1168" s="43"/>
      <c r="E1168" s="83" t="s">
        <v>26</v>
      </c>
      <c r="F1168" s="20"/>
      <c r="G1168" s="19"/>
      <c r="H1168" s="24"/>
    </row>
    <row r="1169" spans="1:8" s="17" customFormat="1" x14ac:dyDescent="0.2">
      <c r="A1169" s="4"/>
      <c r="B1169" s="48" t="s">
        <v>803</v>
      </c>
      <c r="C1169" s="36"/>
      <c r="D1169" s="44"/>
      <c r="E1169" s="14"/>
      <c r="F1169" s="30"/>
      <c r="G1169" s="29"/>
      <c r="H1169" s="15"/>
    </row>
    <row r="1170" spans="1:8" x14ac:dyDescent="0.2">
      <c r="B1170" s="47" t="s">
        <v>717</v>
      </c>
      <c r="C1170" s="56" t="s">
        <v>785</v>
      </c>
      <c r="D1170" s="43"/>
      <c r="E1170" s="83" t="s">
        <v>22</v>
      </c>
      <c r="F1170" s="28"/>
      <c r="G1170" s="26"/>
      <c r="H1170" s="21" t="b">
        <f>IF(D1172="x",H$2,H$1)</f>
        <v>0</v>
      </c>
    </row>
    <row r="1171" spans="1:8" x14ac:dyDescent="0.2">
      <c r="B1171" s="47" t="s">
        <v>717</v>
      </c>
      <c r="C1171" s="57" t="s">
        <v>786</v>
      </c>
      <c r="D1171" s="43"/>
      <c r="E1171" s="83" t="s">
        <v>23</v>
      </c>
      <c r="F1171" s="22" t="str">
        <f>IF(H1172=1,IF(H1170=H$2,H1170,""),"")</f>
        <v/>
      </c>
      <c r="G1171" s="26"/>
      <c r="H1171" s="21" t="str">
        <f>IF(E$1391="comprobar",COUNTIF(D1170:D1174,"x"),"")</f>
        <v/>
      </c>
    </row>
    <row r="1172" spans="1:8" x14ac:dyDescent="0.2">
      <c r="B1172" s="47" t="s">
        <v>717</v>
      </c>
      <c r="C1172" s="57" t="s">
        <v>784</v>
      </c>
      <c r="D1172" s="43"/>
      <c r="E1172" s="83" t="s">
        <v>24</v>
      </c>
      <c r="F1172" s="23" t="str">
        <f>IF(H1172=-0.33,IF(H1170=H$1,H1170,""),"")</f>
        <v/>
      </c>
      <c r="G1172" s="26"/>
      <c r="H1172" s="24">
        <f>IF(H1171=1,IF(H1170=H$2,1,-0.33),0)</f>
        <v>0</v>
      </c>
    </row>
    <row r="1173" spans="1:8" x14ac:dyDescent="0.2">
      <c r="B1173" s="47" t="s">
        <v>717</v>
      </c>
      <c r="C1173" s="57" t="s">
        <v>787</v>
      </c>
      <c r="D1173" s="43"/>
      <c r="E1173" s="83" t="s">
        <v>25</v>
      </c>
      <c r="F1173" s="28"/>
      <c r="G1173" s="26"/>
      <c r="H1173" s="24"/>
    </row>
    <row r="1174" spans="1:8" x14ac:dyDescent="0.2">
      <c r="B1174" s="47"/>
      <c r="C1174" s="8"/>
      <c r="D1174" s="43"/>
      <c r="E1174" s="83" t="s">
        <v>26</v>
      </c>
      <c r="F1174" s="20"/>
      <c r="G1174" s="19"/>
      <c r="H1174" s="24"/>
    </row>
    <row r="1175" spans="1:8" s="17" customFormat="1" x14ac:dyDescent="0.2">
      <c r="A1175" s="4"/>
      <c r="B1175" s="48" t="s">
        <v>804</v>
      </c>
      <c r="C1175" s="36"/>
      <c r="D1175" s="44"/>
      <c r="E1175" s="14"/>
      <c r="F1175" s="30"/>
      <c r="G1175" s="29"/>
      <c r="H1175" s="15"/>
    </row>
    <row r="1176" spans="1:8" x14ac:dyDescent="0.2">
      <c r="B1176" s="47" t="s">
        <v>717</v>
      </c>
      <c r="C1176" s="114">
        <v>1</v>
      </c>
      <c r="D1176" s="43"/>
      <c r="E1176" s="83" t="s">
        <v>22</v>
      </c>
      <c r="F1176" s="28"/>
      <c r="G1176" s="26"/>
      <c r="H1176" s="21" t="b">
        <f>IF(D1177="x",H$2,H$1)</f>
        <v>0</v>
      </c>
    </row>
    <row r="1177" spans="1:8" x14ac:dyDescent="0.2">
      <c r="B1177" s="47" t="s">
        <v>717</v>
      </c>
      <c r="C1177" s="115">
        <v>2</v>
      </c>
      <c r="D1177" s="43"/>
      <c r="E1177" s="83" t="s">
        <v>23</v>
      </c>
      <c r="F1177" s="22" t="str">
        <f>IF(H1178=1,IF(H1176=H$2,H1176,""),"")</f>
        <v/>
      </c>
      <c r="G1177" s="26"/>
      <c r="H1177" s="21" t="str">
        <f>IF(E$1391="comprobar",COUNTIF(D1176:D1180,"x"),"")</f>
        <v/>
      </c>
    </row>
    <row r="1178" spans="1:8" x14ac:dyDescent="0.2">
      <c r="B1178" s="47" t="s">
        <v>717</v>
      </c>
      <c r="C1178" s="115">
        <v>24</v>
      </c>
      <c r="D1178" s="43"/>
      <c r="E1178" s="83" t="s">
        <v>24</v>
      </c>
      <c r="F1178" s="23" t="str">
        <f>IF(H1178=-0.33,IF(H1176=H$1,H1176,""),"")</f>
        <v/>
      </c>
      <c r="G1178" s="26"/>
      <c r="H1178" s="24">
        <f>IF(H1177=1,IF(H1176=H$2,1,-0.33),0)</f>
        <v>0</v>
      </c>
    </row>
    <row r="1179" spans="1:8" x14ac:dyDescent="0.2">
      <c r="B1179" s="47" t="s">
        <v>717</v>
      </c>
      <c r="C1179" s="57" t="s">
        <v>107</v>
      </c>
      <c r="D1179" s="43"/>
      <c r="E1179" s="83" t="s">
        <v>25</v>
      </c>
      <c r="F1179" s="28"/>
      <c r="G1179" s="26"/>
      <c r="H1179" s="24"/>
    </row>
    <row r="1180" spans="1:8" x14ac:dyDescent="0.2">
      <c r="B1180" s="47"/>
      <c r="C1180" s="8"/>
      <c r="D1180" s="43"/>
      <c r="E1180" s="83" t="s">
        <v>26</v>
      </c>
      <c r="F1180" s="20"/>
      <c r="G1180" s="19"/>
      <c r="H1180" s="24"/>
    </row>
    <row r="1181" spans="1:8" s="17" customFormat="1" x14ac:dyDescent="0.2">
      <c r="A1181" s="4"/>
      <c r="B1181" s="48" t="s">
        <v>805</v>
      </c>
      <c r="C1181" s="36"/>
      <c r="D1181" s="44"/>
      <c r="E1181" s="14"/>
      <c r="F1181" s="30"/>
      <c r="G1181" s="29"/>
      <c r="H1181" s="15"/>
    </row>
    <row r="1182" spans="1:8" x14ac:dyDescent="0.2">
      <c r="B1182" s="47" t="s">
        <v>717</v>
      </c>
      <c r="C1182" s="56" t="s">
        <v>806</v>
      </c>
      <c r="D1182" s="43"/>
      <c r="E1182" s="83" t="s">
        <v>22</v>
      </c>
      <c r="F1182" s="28"/>
      <c r="G1182" s="26"/>
      <c r="H1182" s="21" t="b">
        <f>IF(D1184="x",H$2,H$1)</f>
        <v>0</v>
      </c>
    </row>
    <row r="1183" spans="1:8" x14ac:dyDescent="0.2">
      <c r="B1183" s="47" t="s">
        <v>717</v>
      </c>
      <c r="C1183" s="57" t="s">
        <v>807</v>
      </c>
      <c r="D1183" s="43"/>
      <c r="E1183" s="83" t="s">
        <v>23</v>
      </c>
      <c r="F1183" s="22" t="str">
        <f>IF(H1184=1,IF(H1182=H$2,H1182,""),"")</f>
        <v/>
      </c>
      <c r="G1183" s="26"/>
      <c r="H1183" s="21" t="str">
        <f>IF(E$1391="comprobar",COUNTIF(D1182:D1186,"x"),"")</f>
        <v/>
      </c>
    </row>
    <row r="1184" spans="1:8" x14ac:dyDescent="0.2">
      <c r="B1184" s="47" t="s">
        <v>717</v>
      </c>
      <c r="C1184" s="57" t="s">
        <v>808</v>
      </c>
      <c r="D1184" s="43"/>
      <c r="E1184" s="83" t="s">
        <v>24</v>
      </c>
      <c r="F1184" s="23" t="str">
        <f>IF(H1184=-0.33,IF(H1182=H$1,H1182,""),"")</f>
        <v/>
      </c>
      <c r="G1184" s="26"/>
      <c r="H1184" s="24">
        <f>IF(H1183=1,IF(H1182=H$2,1,-0.33),0)</f>
        <v>0</v>
      </c>
    </row>
    <row r="1185" spans="1:8" x14ac:dyDescent="0.2">
      <c r="B1185" s="47" t="s">
        <v>717</v>
      </c>
      <c r="C1185" s="57" t="s">
        <v>809</v>
      </c>
      <c r="D1185" s="43"/>
      <c r="E1185" s="83" t="s">
        <v>25</v>
      </c>
      <c r="F1185" s="28"/>
      <c r="G1185" s="26"/>
      <c r="H1185" s="24"/>
    </row>
    <row r="1186" spans="1:8" x14ac:dyDescent="0.2">
      <c r="B1186" s="47"/>
      <c r="C1186" s="8"/>
      <c r="D1186" s="43"/>
      <c r="E1186" s="83" t="s">
        <v>26</v>
      </c>
      <c r="F1186" s="20"/>
      <c r="G1186" s="19"/>
      <c r="H1186" s="24"/>
    </row>
    <row r="1187" spans="1:8" s="17" customFormat="1" x14ac:dyDescent="0.2">
      <c r="A1187" s="4"/>
      <c r="B1187" s="48" t="s">
        <v>810</v>
      </c>
      <c r="C1187" s="36"/>
      <c r="D1187" s="44"/>
      <c r="E1187" s="14"/>
      <c r="F1187" s="30"/>
      <c r="G1187" s="29"/>
      <c r="H1187" s="15"/>
    </row>
    <row r="1188" spans="1:8" x14ac:dyDescent="0.2">
      <c r="B1188" s="47" t="s">
        <v>717</v>
      </c>
      <c r="C1188" s="56" t="s">
        <v>34</v>
      </c>
      <c r="D1188" s="43"/>
      <c r="E1188" s="83" t="s">
        <v>22</v>
      </c>
      <c r="F1188" s="28"/>
      <c r="G1188" s="26"/>
      <c r="H1188" s="21" t="b">
        <f>IF(D1189="x",H$2,H$1)</f>
        <v>0</v>
      </c>
    </row>
    <row r="1189" spans="1:8" x14ac:dyDescent="0.2">
      <c r="B1189" s="47" t="s">
        <v>717</v>
      </c>
      <c r="C1189" s="57" t="s">
        <v>33</v>
      </c>
      <c r="D1189" s="43"/>
      <c r="E1189" s="83" t="s">
        <v>23</v>
      </c>
      <c r="F1189" s="22" t="str">
        <f>IF(H1190=1,IF(H1188=H$2,H1188,""),"")</f>
        <v/>
      </c>
      <c r="G1189" s="26"/>
      <c r="H1189" s="21" t="str">
        <f>IF(E$1391="comprobar",COUNTIF(D1188:D1192,"x"),"")</f>
        <v/>
      </c>
    </row>
    <row r="1190" spans="1:8" x14ac:dyDescent="0.2">
      <c r="B1190" s="47" t="s">
        <v>717</v>
      </c>
      <c r="C1190" s="57" t="s">
        <v>32</v>
      </c>
      <c r="D1190" s="43"/>
      <c r="E1190" s="83" t="s">
        <v>24</v>
      </c>
      <c r="F1190" s="23" t="str">
        <f>IF(H1190=-0.33,IF(H1188=H$1,H1188,""),"")</f>
        <v/>
      </c>
      <c r="G1190" s="26"/>
      <c r="H1190" s="24">
        <f>IF(H1189=1,IF(H1188=H$2,1,-0.33),0)</f>
        <v>0</v>
      </c>
    </row>
    <row r="1191" spans="1:8" x14ac:dyDescent="0.2">
      <c r="B1191" s="47" t="s">
        <v>717</v>
      </c>
      <c r="C1191" s="57" t="s">
        <v>31</v>
      </c>
      <c r="D1191" s="43"/>
      <c r="E1191" s="83" t="s">
        <v>25</v>
      </c>
      <c r="F1191" s="28"/>
      <c r="G1191" s="26"/>
      <c r="H1191" s="24"/>
    </row>
    <row r="1192" spans="1:8" x14ac:dyDescent="0.2">
      <c r="B1192" s="47"/>
      <c r="C1192" s="8"/>
      <c r="D1192" s="43"/>
      <c r="E1192" s="83" t="s">
        <v>26</v>
      </c>
      <c r="F1192" s="20"/>
      <c r="G1192" s="19"/>
      <c r="H1192" s="24"/>
    </row>
    <row r="1193" spans="1:8" s="17" customFormat="1" x14ac:dyDescent="0.2">
      <c r="A1193" s="4"/>
      <c r="B1193" s="48" t="s">
        <v>811</v>
      </c>
      <c r="C1193" s="36"/>
      <c r="D1193" s="44"/>
      <c r="E1193" s="14"/>
      <c r="F1193" s="30"/>
      <c r="G1193" s="29"/>
      <c r="H1193" s="15"/>
    </row>
    <row r="1194" spans="1:8" x14ac:dyDescent="0.2">
      <c r="B1194" s="47" t="s">
        <v>717</v>
      </c>
      <c r="C1194" s="56" t="s">
        <v>50</v>
      </c>
      <c r="D1194" s="43"/>
      <c r="E1194" s="83" t="s">
        <v>22</v>
      </c>
      <c r="F1194" s="28"/>
      <c r="G1194" s="26"/>
      <c r="H1194" s="21" t="b">
        <f>IF(D1194="x",H$2,H$1)</f>
        <v>0</v>
      </c>
    </row>
    <row r="1195" spans="1:8" x14ac:dyDescent="0.2">
      <c r="B1195" s="47" t="s">
        <v>717</v>
      </c>
      <c r="C1195" s="57" t="s">
        <v>51</v>
      </c>
      <c r="D1195" s="43"/>
      <c r="E1195" s="83" t="s">
        <v>23</v>
      </c>
      <c r="F1195" s="22" t="str">
        <f>IF(H1196=1,IF(H1194=H$2,H1194,""),"")</f>
        <v/>
      </c>
      <c r="G1195" s="26"/>
      <c r="H1195" s="21" t="str">
        <f>IF(E$1391="comprobar",COUNTIF(D1194:D1198,"x"),"")</f>
        <v/>
      </c>
    </row>
    <row r="1196" spans="1:8" x14ac:dyDescent="0.2">
      <c r="B1196" s="47" t="s">
        <v>717</v>
      </c>
      <c r="C1196" s="57" t="s">
        <v>53</v>
      </c>
      <c r="D1196" s="43"/>
      <c r="E1196" s="83" t="s">
        <v>24</v>
      </c>
      <c r="F1196" s="23" t="str">
        <f>IF(H1196=-0.33,IF(H1194=H$1,H1194,""),"")</f>
        <v/>
      </c>
      <c r="G1196" s="26"/>
      <c r="H1196" s="24">
        <f>IF(H1195=1,IF(H1194=H$2,1,-0.33),0)</f>
        <v>0</v>
      </c>
    </row>
    <row r="1197" spans="1:8" x14ac:dyDescent="0.2">
      <c r="B1197" s="47" t="s">
        <v>717</v>
      </c>
      <c r="C1197" s="57" t="s">
        <v>52</v>
      </c>
      <c r="D1197" s="43"/>
      <c r="E1197" s="83" t="s">
        <v>25</v>
      </c>
      <c r="F1197" s="28"/>
      <c r="G1197" s="26"/>
      <c r="H1197" s="24"/>
    </row>
    <row r="1198" spans="1:8" x14ac:dyDescent="0.2">
      <c r="B1198" s="47"/>
      <c r="C1198" s="8"/>
      <c r="D1198" s="43"/>
      <c r="E1198" s="83" t="s">
        <v>26</v>
      </c>
      <c r="F1198" s="20"/>
      <c r="G1198" s="19"/>
      <c r="H1198" s="24"/>
    </row>
    <row r="1199" spans="1:8" s="17" customFormat="1" x14ac:dyDescent="0.2">
      <c r="A1199" s="4"/>
      <c r="B1199" s="48" t="s">
        <v>812</v>
      </c>
      <c r="C1199" s="36"/>
      <c r="D1199" s="44"/>
      <c r="E1199" s="14"/>
      <c r="F1199" s="30"/>
      <c r="G1199" s="29"/>
      <c r="H1199" s="15"/>
    </row>
    <row r="1200" spans="1:8" x14ac:dyDescent="0.2">
      <c r="B1200" s="47" t="s">
        <v>717</v>
      </c>
      <c r="C1200" s="56" t="s">
        <v>90</v>
      </c>
      <c r="D1200" s="43"/>
      <c r="E1200" s="83" t="s">
        <v>22</v>
      </c>
      <c r="F1200" s="28"/>
      <c r="G1200" s="26"/>
      <c r="H1200" s="21" t="b">
        <f>IF(D1202="x",H$2,H$1)</f>
        <v>0</v>
      </c>
    </row>
    <row r="1201" spans="1:8" x14ac:dyDescent="0.2">
      <c r="B1201" s="47" t="s">
        <v>717</v>
      </c>
      <c r="C1201" s="57" t="s">
        <v>87</v>
      </c>
      <c r="D1201" s="43"/>
      <c r="E1201" s="83" t="s">
        <v>23</v>
      </c>
      <c r="F1201" s="22" t="str">
        <f>IF(H1202=1,IF(H1200=H$2,H1200,""),"")</f>
        <v/>
      </c>
      <c r="G1201" s="26"/>
      <c r="H1201" s="21" t="str">
        <f>IF(E$1391="comprobar",COUNTIF(D1200:D1204,"x"),"")</f>
        <v/>
      </c>
    </row>
    <row r="1202" spans="1:8" x14ac:dyDescent="0.2">
      <c r="B1202" s="47" t="s">
        <v>717</v>
      </c>
      <c r="C1202" s="57" t="s">
        <v>88</v>
      </c>
      <c r="D1202" s="43"/>
      <c r="E1202" s="83" t="s">
        <v>24</v>
      </c>
      <c r="F1202" s="23" t="str">
        <f>IF(H1202=-0.33,IF(H1200=H$1,H1200,""),"")</f>
        <v/>
      </c>
      <c r="G1202" s="26"/>
      <c r="H1202" s="24">
        <f>IF(H1201=1,IF(H1200=H$2,1,-0.33),0)</f>
        <v>0</v>
      </c>
    </row>
    <row r="1203" spans="1:8" x14ac:dyDescent="0.2">
      <c r="B1203" s="47" t="s">
        <v>717</v>
      </c>
      <c r="C1203" s="57" t="s">
        <v>89</v>
      </c>
      <c r="D1203" s="43"/>
      <c r="E1203" s="83" t="s">
        <v>25</v>
      </c>
      <c r="F1203" s="28"/>
      <c r="G1203" s="26"/>
      <c r="H1203" s="24"/>
    </row>
    <row r="1204" spans="1:8" x14ac:dyDescent="0.2">
      <c r="B1204" s="47"/>
      <c r="C1204" s="8"/>
      <c r="D1204" s="43"/>
      <c r="E1204" s="83" t="s">
        <v>26</v>
      </c>
      <c r="F1204" s="20"/>
      <c r="G1204" s="19"/>
      <c r="H1204" s="24"/>
    </row>
    <row r="1205" spans="1:8" s="17" customFormat="1" x14ac:dyDescent="0.2">
      <c r="A1205" s="4"/>
      <c r="B1205" s="48" t="s">
        <v>813</v>
      </c>
      <c r="C1205" s="36"/>
      <c r="D1205" s="44"/>
      <c r="E1205" s="14"/>
      <c r="F1205" s="30"/>
      <c r="G1205" s="29"/>
      <c r="H1205" s="15"/>
    </row>
    <row r="1206" spans="1:8" x14ac:dyDescent="0.2">
      <c r="B1206" s="47" t="s">
        <v>717</v>
      </c>
      <c r="C1206" s="56" t="s">
        <v>814</v>
      </c>
      <c r="D1206" s="43"/>
      <c r="E1206" s="83" t="s">
        <v>22</v>
      </c>
      <c r="F1206" s="28"/>
      <c r="G1206" s="26"/>
      <c r="H1206" s="21" t="b">
        <f>IF(D1207="x",H$2,H$1)</f>
        <v>0</v>
      </c>
    </row>
    <row r="1207" spans="1:8" x14ac:dyDescent="0.2">
      <c r="B1207" s="47" t="s">
        <v>717</v>
      </c>
      <c r="C1207" s="57" t="s">
        <v>815</v>
      </c>
      <c r="D1207" s="43"/>
      <c r="E1207" s="83" t="s">
        <v>23</v>
      </c>
      <c r="F1207" s="22" t="str">
        <f>IF(H1208=1,IF(H1206=H$2,H1206,""),"")</f>
        <v/>
      </c>
      <c r="G1207" s="26"/>
      <c r="H1207" s="21" t="str">
        <f>IF(E$1391="comprobar",COUNTIF(D1206:D1210,"x"),"")</f>
        <v/>
      </c>
    </row>
    <row r="1208" spans="1:8" x14ac:dyDescent="0.2">
      <c r="B1208" s="47" t="s">
        <v>717</v>
      </c>
      <c r="C1208" s="57" t="s">
        <v>816</v>
      </c>
      <c r="D1208" s="43"/>
      <c r="E1208" s="83" t="s">
        <v>24</v>
      </c>
      <c r="F1208" s="23" t="str">
        <f>IF(H1208=-0.33,IF(H1206=H$1,H1206,""),"")</f>
        <v/>
      </c>
      <c r="G1208" s="26"/>
      <c r="H1208" s="24">
        <f>IF(H1207=1,IF(H1206=H$2,1,-0.33),0)</f>
        <v>0</v>
      </c>
    </row>
    <row r="1209" spans="1:8" x14ac:dyDescent="0.2">
      <c r="B1209" s="47" t="s">
        <v>717</v>
      </c>
      <c r="C1209" s="57" t="s">
        <v>817</v>
      </c>
      <c r="D1209" s="43"/>
      <c r="E1209" s="83" t="s">
        <v>25</v>
      </c>
      <c r="F1209" s="28"/>
      <c r="G1209" s="26"/>
      <c r="H1209" s="24"/>
    </row>
    <row r="1210" spans="1:8" x14ac:dyDescent="0.2">
      <c r="B1210" s="47"/>
      <c r="C1210" s="8"/>
      <c r="D1210" s="43"/>
      <c r="E1210" s="83" t="s">
        <v>26</v>
      </c>
      <c r="F1210" s="20"/>
      <c r="G1210" s="19"/>
      <c r="H1210" s="24"/>
    </row>
    <row r="1211" spans="1:8" s="17" customFormat="1" x14ac:dyDescent="0.2">
      <c r="A1211" s="4"/>
      <c r="B1211" s="48" t="s">
        <v>818</v>
      </c>
      <c r="C1211" s="36"/>
      <c r="D1211" s="44"/>
      <c r="E1211" s="14"/>
      <c r="F1211" s="30"/>
      <c r="G1211" s="29"/>
      <c r="H1211" s="15"/>
    </row>
    <row r="1212" spans="1:8" x14ac:dyDescent="0.2">
      <c r="B1212" s="47" t="s">
        <v>717</v>
      </c>
      <c r="C1212" s="56" t="s">
        <v>756</v>
      </c>
      <c r="D1212" s="43"/>
      <c r="E1212" s="83" t="s">
        <v>22</v>
      </c>
      <c r="F1212" s="28"/>
      <c r="G1212" s="26"/>
      <c r="H1212" s="21" t="b">
        <f>IF(D1213="x",H$2,H$1)</f>
        <v>0</v>
      </c>
    </row>
    <row r="1213" spans="1:8" x14ac:dyDescent="0.2">
      <c r="B1213" s="47" t="s">
        <v>717</v>
      </c>
      <c r="C1213" s="57" t="s">
        <v>819</v>
      </c>
      <c r="D1213" s="43"/>
      <c r="E1213" s="83" t="s">
        <v>23</v>
      </c>
      <c r="F1213" s="22" t="str">
        <f>IF(H1214=1,IF(H1212=H$2,H1212,""),"")</f>
        <v/>
      </c>
      <c r="G1213" s="26"/>
      <c r="H1213" s="21" t="str">
        <f>IF(E$1391="comprobar",COUNTIF(D1212:D1216,"x"),"")</f>
        <v/>
      </c>
    </row>
    <row r="1214" spans="1:8" x14ac:dyDescent="0.2">
      <c r="B1214" s="47" t="s">
        <v>717</v>
      </c>
      <c r="C1214" s="57" t="s">
        <v>820</v>
      </c>
      <c r="D1214" s="43"/>
      <c r="E1214" s="83" t="s">
        <v>24</v>
      </c>
      <c r="F1214" s="23" t="str">
        <f>IF(H1214=-0.33,IF(H1212=H$1,H1212,""),"")</f>
        <v/>
      </c>
      <c r="G1214" s="26"/>
      <c r="H1214" s="24">
        <f>IF(H1213=1,IF(H1212=H$2,1,-0.33),0)</f>
        <v>0</v>
      </c>
    </row>
    <row r="1215" spans="1:8" x14ac:dyDescent="0.2">
      <c r="B1215" s="47" t="s">
        <v>717</v>
      </c>
      <c r="C1215" s="57" t="s">
        <v>821</v>
      </c>
      <c r="D1215" s="43"/>
      <c r="E1215" s="83" t="s">
        <v>25</v>
      </c>
      <c r="F1215" s="28"/>
      <c r="G1215" s="26"/>
      <c r="H1215" s="24"/>
    </row>
    <row r="1216" spans="1:8" x14ac:dyDescent="0.2">
      <c r="B1216" s="47"/>
      <c r="C1216" s="8"/>
      <c r="D1216" s="43"/>
      <c r="E1216" s="83" t="s">
        <v>26</v>
      </c>
      <c r="F1216" s="20"/>
      <c r="G1216" s="19"/>
      <c r="H1216" s="24"/>
    </row>
    <row r="1217" spans="2:8" x14ac:dyDescent="0.2">
      <c r="B1217" s="48" t="s">
        <v>822</v>
      </c>
      <c r="C1217" s="36"/>
      <c r="D1217" s="44"/>
      <c r="E1217" s="14"/>
      <c r="F1217" s="30"/>
      <c r="G1217" s="29"/>
      <c r="H1217" s="15"/>
    </row>
    <row r="1218" spans="2:8" x14ac:dyDescent="0.2">
      <c r="B1218" s="47" t="s">
        <v>717</v>
      </c>
      <c r="C1218" s="56" t="s">
        <v>823</v>
      </c>
      <c r="D1218" s="43"/>
      <c r="E1218" s="83" t="s">
        <v>22</v>
      </c>
      <c r="F1218" s="28"/>
      <c r="G1218" s="26"/>
      <c r="H1218" s="21" t="b">
        <f>IF(D1218="x",H$2,H$1)</f>
        <v>0</v>
      </c>
    </row>
    <row r="1219" spans="2:8" x14ac:dyDescent="0.2">
      <c r="B1219" s="47" t="s">
        <v>717</v>
      </c>
      <c r="C1219" s="57" t="s">
        <v>127</v>
      </c>
      <c r="D1219" s="43"/>
      <c r="E1219" s="83" t="s">
        <v>23</v>
      </c>
      <c r="F1219" s="22" t="str">
        <f>IF(H1220=1,IF(H1218=H$2,H1218,""),"")</f>
        <v/>
      </c>
      <c r="G1219" s="26"/>
      <c r="H1219" s="21" t="str">
        <f>IF(E$1391="comprobar",COUNTIF(D1218:D1222,"x"),"")</f>
        <v/>
      </c>
    </row>
    <row r="1220" spans="2:8" x14ac:dyDescent="0.2">
      <c r="B1220" s="47" t="s">
        <v>717</v>
      </c>
      <c r="C1220" s="57" t="s">
        <v>110</v>
      </c>
      <c r="D1220" s="43"/>
      <c r="E1220" s="83" t="s">
        <v>24</v>
      </c>
      <c r="F1220" s="23" t="str">
        <f>IF(H1220=-0.33,IF(H1218=H$1,H1218,""),"")</f>
        <v/>
      </c>
      <c r="G1220" s="26"/>
      <c r="H1220" s="24">
        <f>IF(H1219=1,IF(H1218=H$2,1,-0.33),0)</f>
        <v>0</v>
      </c>
    </row>
    <row r="1221" spans="2:8" x14ac:dyDescent="0.2">
      <c r="B1221" s="47" t="s">
        <v>717</v>
      </c>
      <c r="C1221" s="57" t="s">
        <v>128</v>
      </c>
      <c r="D1221" s="43"/>
      <c r="E1221" s="83" t="s">
        <v>25</v>
      </c>
      <c r="F1221" s="28"/>
      <c r="G1221" s="26"/>
      <c r="H1221" s="24"/>
    </row>
    <row r="1222" spans="2:8" x14ac:dyDescent="0.2">
      <c r="B1222" s="47"/>
      <c r="C1222" s="8"/>
      <c r="D1222" s="43"/>
      <c r="E1222" s="83" t="s">
        <v>26</v>
      </c>
      <c r="F1222" s="20"/>
      <c r="G1222" s="19"/>
      <c r="H1222" s="24"/>
    </row>
    <row r="1223" spans="2:8" x14ac:dyDescent="0.2">
      <c r="B1223" s="48" t="s">
        <v>824</v>
      </c>
      <c r="C1223" s="36"/>
      <c r="D1223" s="44"/>
      <c r="E1223" s="14"/>
      <c r="F1223" s="30"/>
      <c r="G1223" s="29"/>
      <c r="H1223" s="15"/>
    </row>
    <row r="1224" spans="2:8" x14ac:dyDescent="0.2">
      <c r="B1224" s="47" t="s">
        <v>717</v>
      </c>
      <c r="C1224" s="56" t="s">
        <v>92</v>
      </c>
      <c r="D1224" s="43"/>
      <c r="E1224" s="83" t="s">
        <v>22</v>
      </c>
      <c r="F1224" s="28"/>
      <c r="G1224" s="26"/>
      <c r="H1224" s="21" t="b">
        <f>IF(D1227="x",H$2,H$1)</f>
        <v>0</v>
      </c>
    </row>
    <row r="1225" spans="2:8" x14ac:dyDescent="0.2">
      <c r="B1225" s="47" t="s">
        <v>717</v>
      </c>
      <c r="C1225" s="57" t="s">
        <v>94</v>
      </c>
      <c r="D1225" s="43"/>
      <c r="E1225" s="83" t="s">
        <v>23</v>
      </c>
      <c r="F1225" s="22" t="str">
        <f>IF(H1226=1,IF(H1224=H$2,H1224,""),"")</f>
        <v/>
      </c>
      <c r="G1225" s="26"/>
      <c r="H1225" s="21" t="str">
        <f>IF(E$1391="comprobar",COUNTIF(D1224:D1228,"x"),"")</f>
        <v/>
      </c>
    </row>
    <row r="1226" spans="2:8" x14ac:dyDescent="0.2">
      <c r="B1226" s="47" t="s">
        <v>717</v>
      </c>
      <c r="C1226" s="57" t="s">
        <v>93</v>
      </c>
      <c r="D1226" s="43"/>
      <c r="E1226" s="83" t="s">
        <v>24</v>
      </c>
      <c r="F1226" s="23" t="str">
        <f>IF(H1226=-0.33,IF(H1224=H$1,H1224,""),"")</f>
        <v/>
      </c>
      <c r="G1226" s="26"/>
      <c r="H1226" s="24">
        <f>IF(H1225=1,IF(H1224=H$2,1,-0.33),0)</f>
        <v>0</v>
      </c>
    </row>
    <row r="1227" spans="2:8" x14ac:dyDescent="0.2">
      <c r="B1227" s="47" t="s">
        <v>717</v>
      </c>
      <c r="C1227" s="57" t="s">
        <v>95</v>
      </c>
      <c r="D1227" s="43"/>
      <c r="E1227" s="83" t="s">
        <v>25</v>
      </c>
      <c r="F1227" s="28"/>
      <c r="G1227" s="26"/>
      <c r="H1227" s="24"/>
    </row>
    <row r="1228" spans="2:8" x14ac:dyDescent="0.2">
      <c r="B1228" s="47"/>
      <c r="C1228" s="8"/>
      <c r="D1228" s="43"/>
      <c r="E1228" s="83" t="s">
        <v>26</v>
      </c>
      <c r="F1228" s="20"/>
      <c r="G1228" s="19"/>
      <c r="H1228" s="24"/>
    </row>
    <row r="1229" spans="2:8" x14ac:dyDescent="0.2">
      <c r="B1229" s="48" t="s">
        <v>825</v>
      </c>
      <c r="C1229" s="36"/>
      <c r="D1229" s="44"/>
      <c r="E1229" s="14"/>
      <c r="F1229" s="30"/>
      <c r="G1229" s="29"/>
      <c r="H1229" s="15"/>
    </row>
    <row r="1230" spans="2:8" x14ac:dyDescent="0.2">
      <c r="B1230" s="47" t="s">
        <v>717</v>
      </c>
      <c r="C1230" s="56" t="s">
        <v>185</v>
      </c>
      <c r="D1230" s="43"/>
      <c r="E1230" s="83" t="s">
        <v>22</v>
      </c>
      <c r="F1230" s="28"/>
      <c r="G1230" s="26"/>
      <c r="H1230" s="21" t="b">
        <f>IF(D1232="x",H$2,H$1)</f>
        <v>0</v>
      </c>
    </row>
    <row r="1231" spans="2:8" x14ac:dyDescent="0.2">
      <c r="B1231" s="47" t="s">
        <v>717</v>
      </c>
      <c r="C1231" s="57" t="s">
        <v>187</v>
      </c>
      <c r="D1231" s="43"/>
      <c r="E1231" s="83" t="s">
        <v>23</v>
      </c>
      <c r="F1231" s="22" t="str">
        <f>IF(H1232=1,IF(H1230=H$2,H1230,""),"")</f>
        <v/>
      </c>
      <c r="G1231" s="26"/>
      <c r="H1231" s="21" t="str">
        <f>IF(E$1391="comprobar",COUNTIF(D1230:D1234,"x"),"")</f>
        <v/>
      </c>
    </row>
    <row r="1232" spans="2:8" x14ac:dyDescent="0.2">
      <c r="B1232" s="47" t="s">
        <v>717</v>
      </c>
      <c r="C1232" s="57" t="s">
        <v>184</v>
      </c>
      <c r="D1232" s="43"/>
      <c r="E1232" s="83" t="s">
        <v>24</v>
      </c>
      <c r="F1232" s="23" t="str">
        <f>IF(H1232=-0.33,IF(H1230=H$1,H1230,""),"")</f>
        <v/>
      </c>
      <c r="G1232" s="26"/>
      <c r="H1232" s="24">
        <f>IF(H1231=1,IF(H1230=H$2,1,-0.33),0)</f>
        <v>0</v>
      </c>
    </row>
    <row r="1233" spans="2:8" x14ac:dyDescent="0.2">
      <c r="B1233" s="47" t="s">
        <v>717</v>
      </c>
      <c r="C1233" s="57" t="s">
        <v>826</v>
      </c>
      <c r="D1233" s="43"/>
      <c r="E1233" s="83" t="s">
        <v>25</v>
      </c>
      <c r="F1233" s="28"/>
      <c r="G1233" s="26"/>
      <c r="H1233" s="24"/>
    </row>
    <row r="1234" spans="2:8" x14ac:dyDescent="0.2">
      <c r="B1234" s="47"/>
      <c r="C1234" s="8"/>
      <c r="D1234" s="43"/>
      <c r="E1234" s="83" t="s">
        <v>26</v>
      </c>
      <c r="F1234" s="20"/>
      <c r="G1234" s="19"/>
      <c r="H1234" s="24"/>
    </row>
    <row r="1235" spans="2:8" x14ac:dyDescent="0.2">
      <c r="B1235" s="48" t="s">
        <v>827</v>
      </c>
      <c r="C1235" s="36"/>
      <c r="D1235" s="44"/>
      <c r="E1235" s="14"/>
      <c r="F1235" s="30"/>
      <c r="G1235" s="29"/>
      <c r="H1235" s="15"/>
    </row>
    <row r="1236" spans="2:8" x14ac:dyDescent="0.2">
      <c r="B1236" s="47" t="s">
        <v>717</v>
      </c>
      <c r="C1236" s="114">
        <v>2</v>
      </c>
      <c r="D1236" s="43"/>
      <c r="E1236" s="83" t="s">
        <v>22</v>
      </c>
      <c r="F1236" s="28"/>
      <c r="G1236" s="26"/>
      <c r="H1236" s="21" t="b">
        <f>IF(D1239="x",H$2,H$1)</f>
        <v>0</v>
      </c>
    </row>
    <row r="1237" spans="2:8" x14ac:dyDescent="0.2">
      <c r="B1237" s="47" t="s">
        <v>717</v>
      </c>
      <c r="C1237" s="115" t="s">
        <v>80</v>
      </c>
      <c r="D1237" s="43"/>
      <c r="E1237" s="83" t="s">
        <v>23</v>
      </c>
      <c r="F1237" s="22" t="str">
        <f>IF(H1238=1,IF(H1236=H$2,H1236,""),"")</f>
        <v/>
      </c>
      <c r="G1237" s="26"/>
      <c r="H1237" s="21" t="str">
        <f>IF(E$1391="comprobar",COUNTIF(D1236:D1240,"x"),"")</f>
        <v/>
      </c>
    </row>
    <row r="1238" spans="2:8" x14ac:dyDescent="0.2">
      <c r="B1238" s="47" t="s">
        <v>717</v>
      </c>
      <c r="C1238" s="115">
        <v>1</v>
      </c>
      <c r="D1238" s="43"/>
      <c r="E1238" s="83" t="s">
        <v>24</v>
      </c>
      <c r="F1238" s="23" t="str">
        <f>IF(H1238=-0.33,IF(H1236=H$1,H1236,""),"")</f>
        <v/>
      </c>
      <c r="G1238" s="26"/>
      <c r="H1238" s="24">
        <f>IF(H1237=1,IF(H1236=H$2,1,-0.33),0)</f>
        <v>0</v>
      </c>
    </row>
    <row r="1239" spans="2:8" x14ac:dyDescent="0.2">
      <c r="B1239" s="47" t="s">
        <v>717</v>
      </c>
      <c r="C1239" s="115">
        <v>4</v>
      </c>
      <c r="D1239" s="43"/>
      <c r="E1239" s="83" t="s">
        <v>25</v>
      </c>
      <c r="F1239" s="28"/>
      <c r="G1239" s="26"/>
      <c r="H1239" s="24"/>
    </row>
    <row r="1240" spans="2:8" x14ac:dyDescent="0.2">
      <c r="B1240" s="47"/>
      <c r="C1240" s="8"/>
      <c r="D1240" s="43"/>
      <c r="E1240" s="83" t="s">
        <v>26</v>
      </c>
      <c r="F1240" s="20"/>
      <c r="G1240" s="19"/>
      <c r="H1240" s="24"/>
    </row>
    <row r="1241" spans="2:8" x14ac:dyDescent="0.2">
      <c r="B1241" s="48" t="s">
        <v>828</v>
      </c>
      <c r="C1241" s="36"/>
      <c r="D1241" s="44"/>
      <c r="E1241" s="14"/>
      <c r="F1241" s="30"/>
      <c r="G1241" s="29"/>
      <c r="H1241" s="15"/>
    </row>
    <row r="1242" spans="2:8" x14ac:dyDescent="0.2">
      <c r="B1242" s="47" t="s">
        <v>717</v>
      </c>
      <c r="C1242" s="56" t="s">
        <v>829</v>
      </c>
      <c r="D1242" s="43"/>
      <c r="E1242" s="83" t="s">
        <v>22</v>
      </c>
      <c r="F1242" s="28"/>
      <c r="G1242" s="26"/>
      <c r="H1242" s="21" t="b">
        <f>IF(D1245="x",H$2,H$1)</f>
        <v>0</v>
      </c>
    </row>
    <row r="1243" spans="2:8" x14ac:dyDescent="0.2">
      <c r="B1243" s="47" t="s">
        <v>717</v>
      </c>
      <c r="C1243" s="57" t="s">
        <v>830</v>
      </c>
      <c r="D1243" s="43"/>
      <c r="E1243" s="83" t="s">
        <v>23</v>
      </c>
      <c r="F1243" s="22" t="str">
        <f>IF(H1244=1,IF(H1242=H$2,H1242,""),"")</f>
        <v/>
      </c>
      <c r="G1243" s="26"/>
      <c r="H1243" s="21" t="str">
        <f>IF(E$1391="comprobar",COUNTIF(D1242:D1246,"x"),"")</f>
        <v/>
      </c>
    </row>
    <row r="1244" spans="2:8" x14ac:dyDescent="0.2">
      <c r="B1244" s="47" t="s">
        <v>717</v>
      </c>
      <c r="C1244" s="57" t="s">
        <v>831</v>
      </c>
      <c r="D1244" s="43"/>
      <c r="E1244" s="83" t="s">
        <v>24</v>
      </c>
      <c r="F1244" s="23" t="str">
        <f>IF(H1244=-0.33,IF(H1242=H$1,H1242,""),"")</f>
        <v/>
      </c>
      <c r="G1244" s="26"/>
      <c r="H1244" s="24">
        <f>IF(H1243=1,IF(H1242=H$2,1,-0.33),0)</f>
        <v>0</v>
      </c>
    </row>
    <row r="1245" spans="2:8" x14ac:dyDescent="0.2">
      <c r="B1245" s="47" t="s">
        <v>717</v>
      </c>
      <c r="C1245" s="57" t="s">
        <v>832</v>
      </c>
      <c r="D1245" s="43"/>
      <c r="E1245" s="83" t="s">
        <v>25</v>
      </c>
      <c r="F1245" s="28"/>
      <c r="G1245" s="26"/>
      <c r="H1245" s="24"/>
    </row>
    <row r="1246" spans="2:8" x14ac:dyDescent="0.2">
      <c r="B1246" s="47"/>
      <c r="C1246" s="8"/>
      <c r="D1246" s="43"/>
      <c r="E1246" s="83" t="s">
        <v>26</v>
      </c>
      <c r="F1246" s="20"/>
      <c r="G1246" s="19"/>
      <c r="H1246" s="24"/>
    </row>
    <row r="1247" spans="2:8" x14ac:dyDescent="0.2">
      <c r="B1247" s="48" t="s">
        <v>833</v>
      </c>
      <c r="C1247" s="36"/>
      <c r="D1247" s="44"/>
      <c r="E1247" s="14"/>
      <c r="F1247" s="30"/>
      <c r="G1247" s="29"/>
      <c r="H1247" s="15"/>
    </row>
    <row r="1248" spans="2:8" x14ac:dyDescent="0.2">
      <c r="B1248" s="47" t="s">
        <v>717</v>
      </c>
      <c r="C1248" s="56" t="s">
        <v>131</v>
      </c>
      <c r="D1248" s="43"/>
      <c r="E1248" s="83" t="s">
        <v>22</v>
      </c>
      <c r="F1248" s="28"/>
      <c r="G1248" s="26"/>
      <c r="H1248" s="21" t="b">
        <f>IF(D1250="x",H$2,H$1)</f>
        <v>0</v>
      </c>
    </row>
    <row r="1249" spans="2:8" x14ac:dyDescent="0.2">
      <c r="B1249" s="47" t="s">
        <v>717</v>
      </c>
      <c r="C1249" s="57" t="s">
        <v>130</v>
      </c>
      <c r="D1249" s="43"/>
      <c r="E1249" s="83" t="s">
        <v>23</v>
      </c>
      <c r="F1249" s="22" t="str">
        <f>IF(H1250=1,IF(H1248=H$2,H1248,""),"")</f>
        <v/>
      </c>
      <c r="G1249" s="26"/>
      <c r="H1249" s="21" t="str">
        <f>IF(E$1391="comprobar",COUNTIF(D1248:D1252,"x"),"")</f>
        <v/>
      </c>
    </row>
    <row r="1250" spans="2:8" x14ac:dyDescent="0.2">
      <c r="B1250" s="47" t="s">
        <v>717</v>
      </c>
      <c r="C1250" s="57" t="s">
        <v>132</v>
      </c>
      <c r="D1250" s="43"/>
      <c r="E1250" s="83" t="s">
        <v>24</v>
      </c>
      <c r="F1250" s="23" t="str">
        <f>IF(H1250=-0.33,IF(H1248=H$1,H1248,""),"")</f>
        <v/>
      </c>
      <c r="G1250" s="26"/>
      <c r="H1250" s="24">
        <f>IF(H1249=1,IF(H1248=H$2,1,-0.33),0)</f>
        <v>0</v>
      </c>
    </row>
    <row r="1251" spans="2:8" x14ac:dyDescent="0.2">
      <c r="B1251" s="47" t="s">
        <v>717</v>
      </c>
      <c r="C1251" s="57" t="s">
        <v>133</v>
      </c>
      <c r="D1251" s="43"/>
      <c r="E1251" s="83" t="s">
        <v>25</v>
      </c>
      <c r="F1251" s="28"/>
      <c r="G1251" s="26"/>
      <c r="H1251" s="24"/>
    </row>
    <row r="1252" spans="2:8" x14ac:dyDescent="0.2">
      <c r="B1252" s="47"/>
      <c r="C1252" s="8"/>
      <c r="D1252" s="43"/>
      <c r="E1252" s="83" t="s">
        <v>26</v>
      </c>
      <c r="F1252" s="20"/>
      <c r="G1252" s="19"/>
      <c r="H1252" s="24"/>
    </row>
    <row r="1253" spans="2:8" x14ac:dyDescent="0.2">
      <c r="B1253" s="48" t="s">
        <v>834</v>
      </c>
      <c r="C1253" s="36"/>
      <c r="D1253" s="44"/>
      <c r="E1253" s="14"/>
      <c r="F1253" s="30"/>
      <c r="G1253" s="29"/>
      <c r="H1253" s="15"/>
    </row>
    <row r="1254" spans="2:8" x14ac:dyDescent="0.2">
      <c r="B1254" s="47" t="s">
        <v>717</v>
      </c>
      <c r="C1254" s="56" t="s">
        <v>835</v>
      </c>
      <c r="D1254" s="43"/>
      <c r="E1254" s="83" t="s">
        <v>22</v>
      </c>
      <c r="F1254" s="28"/>
      <c r="G1254" s="26"/>
      <c r="H1254" s="21" t="b">
        <f>IF(D1256="x",H$2,H$1)</f>
        <v>0</v>
      </c>
    </row>
    <row r="1255" spans="2:8" x14ac:dyDescent="0.2">
      <c r="B1255" s="47" t="s">
        <v>717</v>
      </c>
      <c r="C1255" s="57" t="s">
        <v>836</v>
      </c>
      <c r="D1255" s="43"/>
      <c r="E1255" s="83" t="s">
        <v>23</v>
      </c>
      <c r="F1255" s="22" t="str">
        <f>IF(H1256=1,IF(H1254=H$2,H1254,""),"")</f>
        <v/>
      </c>
      <c r="G1255" s="26"/>
      <c r="H1255" s="21" t="str">
        <f>IF(E$1391="comprobar",COUNTIF(D1254:D1258,"x"),"")</f>
        <v/>
      </c>
    </row>
    <row r="1256" spans="2:8" x14ac:dyDescent="0.2">
      <c r="B1256" s="47" t="s">
        <v>717</v>
      </c>
      <c r="C1256" s="57" t="s">
        <v>837</v>
      </c>
      <c r="D1256" s="43"/>
      <c r="E1256" s="83" t="s">
        <v>24</v>
      </c>
      <c r="F1256" s="23" t="str">
        <f>IF(H1256=-0.33,IF(H1254=H$1,H1254,""),"")</f>
        <v/>
      </c>
      <c r="G1256" s="26"/>
      <c r="H1256" s="24">
        <f>IF(H1255=1,IF(H1254=H$2,1,-0.33),0)</f>
        <v>0</v>
      </c>
    </row>
    <row r="1257" spans="2:8" x14ac:dyDescent="0.2">
      <c r="B1257" s="47" t="s">
        <v>717</v>
      </c>
      <c r="C1257" s="57" t="s">
        <v>838</v>
      </c>
      <c r="D1257" s="43"/>
      <c r="E1257" s="83" t="s">
        <v>25</v>
      </c>
      <c r="F1257" s="28"/>
      <c r="G1257" s="26"/>
      <c r="H1257" s="24"/>
    </row>
    <row r="1258" spans="2:8" x14ac:dyDescent="0.2">
      <c r="B1258" s="47"/>
      <c r="C1258" s="8"/>
      <c r="D1258" s="43"/>
      <c r="E1258" s="83" t="s">
        <v>26</v>
      </c>
      <c r="F1258" s="20"/>
      <c r="G1258" s="19"/>
      <c r="H1258" s="24"/>
    </row>
    <row r="1259" spans="2:8" x14ac:dyDescent="0.2">
      <c r="B1259" s="48" t="s">
        <v>839</v>
      </c>
      <c r="C1259" s="36"/>
      <c r="D1259" s="44"/>
      <c r="E1259" s="14"/>
      <c r="F1259" s="30"/>
      <c r="G1259" s="29"/>
      <c r="H1259" s="15"/>
    </row>
    <row r="1260" spans="2:8" x14ac:dyDescent="0.2">
      <c r="B1260" s="47" t="s">
        <v>717</v>
      </c>
      <c r="C1260" s="56" t="s">
        <v>840</v>
      </c>
      <c r="D1260" s="43"/>
      <c r="E1260" s="83" t="s">
        <v>22</v>
      </c>
      <c r="F1260" s="28"/>
      <c r="G1260" s="26"/>
      <c r="H1260" s="21" t="b">
        <f>IF(D1263="x",H$2,H$1)</f>
        <v>0</v>
      </c>
    </row>
    <row r="1261" spans="2:8" x14ac:dyDescent="0.2">
      <c r="B1261" s="47" t="s">
        <v>717</v>
      </c>
      <c r="C1261" s="57" t="s">
        <v>841</v>
      </c>
      <c r="D1261" s="43"/>
      <c r="E1261" s="83" t="s">
        <v>23</v>
      </c>
      <c r="F1261" s="22" t="str">
        <f>IF(H1262=1,IF(H1260=H$2,H1260,""),"")</f>
        <v/>
      </c>
      <c r="G1261" s="26"/>
      <c r="H1261" s="21" t="str">
        <f>IF(E$1391="comprobar",COUNTIF(D1260:D1264,"x"),"")</f>
        <v/>
      </c>
    </row>
    <row r="1262" spans="2:8" x14ac:dyDescent="0.2">
      <c r="B1262" s="47" t="s">
        <v>717</v>
      </c>
      <c r="C1262" s="57" t="s">
        <v>842</v>
      </c>
      <c r="D1262" s="43"/>
      <c r="E1262" s="83" t="s">
        <v>24</v>
      </c>
      <c r="F1262" s="23" t="str">
        <f>IF(H1262=-0.33,IF(H1260=H$1,H1260,""),"")</f>
        <v/>
      </c>
      <c r="G1262" s="26"/>
      <c r="H1262" s="24">
        <f>IF(H1261=1,IF(H1260=H$2,1,-0.33),0)</f>
        <v>0</v>
      </c>
    </row>
    <row r="1263" spans="2:8" x14ac:dyDescent="0.2">
      <c r="B1263" s="47" t="s">
        <v>717</v>
      </c>
      <c r="C1263" s="57" t="s">
        <v>843</v>
      </c>
      <c r="D1263" s="43"/>
      <c r="E1263" s="83" t="s">
        <v>25</v>
      </c>
      <c r="F1263" s="28"/>
      <c r="G1263" s="26"/>
      <c r="H1263" s="24"/>
    </row>
    <row r="1264" spans="2:8" x14ac:dyDescent="0.2">
      <c r="B1264" s="47"/>
      <c r="C1264" s="8"/>
      <c r="D1264" s="43"/>
      <c r="E1264" s="83" t="s">
        <v>26</v>
      </c>
      <c r="F1264" s="20"/>
      <c r="G1264" s="19"/>
      <c r="H1264" s="24"/>
    </row>
    <row r="1265" spans="2:8" x14ac:dyDescent="0.2">
      <c r="B1265" s="48" t="s">
        <v>844</v>
      </c>
      <c r="C1265" s="36"/>
      <c r="D1265" s="44"/>
      <c r="E1265" s="14"/>
      <c r="F1265" s="30"/>
      <c r="G1265" s="29"/>
      <c r="H1265" s="15"/>
    </row>
    <row r="1266" spans="2:8" x14ac:dyDescent="0.2">
      <c r="B1266" s="47" t="s">
        <v>717</v>
      </c>
      <c r="C1266" s="56" t="s">
        <v>181</v>
      </c>
      <c r="D1266" s="43"/>
      <c r="E1266" s="83" t="s">
        <v>22</v>
      </c>
      <c r="F1266" s="28"/>
      <c r="G1266" s="26"/>
      <c r="H1266" s="21" t="b">
        <f>IF(D1266="x",H$2,H$1)</f>
        <v>0</v>
      </c>
    </row>
    <row r="1267" spans="2:8" x14ac:dyDescent="0.2">
      <c r="B1267" s="47" t="s">
        <v>717</v>
      </c>
      <c r="C1267" s="57" t="s">
        <v>182</v>
      </c>
      <c r="D1267" s="43"/>
      <c r="E1267" s="83" t="s">
        <v>23</v>
      </c>
      <c r="F1267" s="22" t="str">
        <f>IF(H1268=1,IF(H1266=H$2,H1266,""),"")</f>
        <v/>
      </c>
      <c r="G1267" s="26"/>
      <c r="H1267" s="21" t="str">
        <f>IF(E$1391="comprobar",COUNTIF(D1266:D1270,"x"),"")</f>
        <v/>
      </c>
    </row>
    <row r="1268" spans="2:8" x14ac:dyDescent="0.2">
      <c r="B1268" s="47" t="s">
        <v>717</v>
      </c>
      <c r="C1268" s="57" t="s">
        <v>179</v>
      </c>
      <c r="D1268" s="43"/>
      <c r="E1268" s="83" t="s">
        <v>24</v>
      </c>
      <c r="F1268" s="23" t="str">
        <f>IF(H1268=-0.33,IF(H1266=H$1,H1266,""),"")</f>
        <v/>
      </c>
      <c r="G1268" s="26"/>
      <c r="H1268" s="24">
        <f>IF(H1267=1,IF(H1266=H$2,1,-0.33),0)</f>
        <v>0</v>
      </c>
    </row>
    <row r="1269" spans="2:8" x14ac:dyDescent="0.2">
      <c r="B1269" s="47" t="s">
        <v>717</v>
      </c>
      <c r="C1269" s="57" t="s">
        <v>845</v>
      </c>
      <c r="D1269" s="43"/>
      <c r="E1269" s="83" t="s">
        <v>25</v>
      </c>
      <c r="F1269" s="28"/>
      <c r="G1269" s="26"/>
      <c r="H1269" s="24"/>
    </row>
    <row r="1270" spans="2:8" x14ac:dyDescent="0.2">
      <c r="B1270" s="47"/>
      <c r="C1270" s="8"/>
      <c r="D1270" s="43"/>
      <c r="E1270" s="83" t="s">
        <v>26</v>
      </c>
      <c r="F1270" s="20"/>
      <c r="G1270" s="19"/>
      <c r="H1270" s="24"/>
    </row>
    <row r="1271" spans="2:8" x14ac:dyDescent="0.2">
      <c r="B1271" s="48" t="s">
        <v>846</v>
      </c>
      <c r="C1271" s="36"/>
      <c r="D1271" s="44"/>
      <c r="E1271" s="14"/>
      <c r="F1271" s="30"/>
      <c r="G1271" s="29"/>
      <c r="H1271" s="15"/>
    </row>
    <row r="1272" spans="2:8" x14ac:dyDescent="0.2">
      <c r="B1272" s="47" t="s">
        <v>717</v>
      </c>
      <c r="C1272" s="56" t="s">
        <v>847</v>
      </c>
      <c r="D1272" s="43"/>
      <c r="E1272" s="83" t="s">
        <v>22</v>
      </c>
      <c r="F1272" s="28"/>
      <c r="G1272" s="26"/>
      <c r="H1272" s="21" t="b">
        <f>IF(D1275="x",H$2,H$1)</f>
        <v>0</v>
      </c>
    </row>
    <row r="1273" spans="2:8" x14ac:dyDescent="0.2">
      <c r="B1273" s="47" t="s">
        <v>717</v>
      </c>
      <c r="C1273" s="57" t="s">
        <v>848</v>
      </c>
      <c r="D1273" s="43"/>
      <c r="E1273" s="83" t="s">
        <v>23</v>
      </c>
      <c r="F1273" s="22" t="str">
        <f>IF(H1274=1,IF(H1272=H$2,H1272,""),"")</f>
        <v/>
      </c>
      <c r="G1273" s="26"/>
      <c r="H1273" s="21" t="str">
        <f>IF(E$1391="comprobar",COUNTIF(D1272:D1276,"x"),"")</f>
        <v/>
      </c>
    </row>
    <row r="1274" spans="2:8" x14ac:dyDescent="0.2">
      <c r="B1274" s="47" t="s">
        <v>717</v>
      </c>
      <c r="C1274" s="57" t="s">
        <v>849</v>
      </c>
      <c r="D1274" s="43"/>
      <c r="E1274" s="83" t="s">
        <v>24</v>
      </c>
      <c r="F1274" s="23" t="str">
        <f>IF(H1274=-0.33,IF(H1272=H$1,H1272,""),"")</f>
        <v/>
      </c>
      <c r="G1274" s="26"/>
      <c r="H1274" s="24">
        <f>IF(H1273=1,IF(H1272=H$2,1,-0.33),0)</f>
        <v>0</v>
      </c>
    </row>
    <row r="1275" spans="2:8" x14ac:dyDescent="0.2">
      <c r="B1275" s="47" t="s">
        <v>717</v>
      </c>
      <c r="C1275" s="57" t="s">
        <v>850</v>
      </c>
      <c r="D1275" s="43"/>
      <c r="E1275" s="83" t="s">
        <v>25</v>
      </c>
      <c r="F1275" s="28"/>
      <c r="G1275" s="26"/>
      <c r="H1275" s="24"/>
    </row>
    <row r="1276" spans="2:8" x14ac:dyDescent="0.2">
      <c r="B1276" s="47"/>
      <c r="C1276" s="8"/>
      <c r="D1276" s="43"/>
      <c r="E1276" s="83" t="s">
        <v>26</v>
      </c>
      <c r="F1276" s="20"/>
      <c r="G1276" s="19"/>
      <c r="H1276" s="24"/>
    </row>
    <row r="1277" spans="2:8" x14ac:dyDescent="0.2">
      <c r="B1277" s="48" t="s">
        <v>851</v>
      </c>
      <c r="C1277" s="36"/>
      <c r="D1277" s="44"/>
      <c r="E1277" s="14"/>
      <c r="F1277" s="30"/>
      <c r="G1277" s="29"/>
      <c r="H1277" s="15"/>
    </row>
    <row r="1278" spans="2:8" x14ac:dyDescent="0.2">
      <c r="B1278" s="47" t="s">
        <v>717</v>
      </c>
      <c r="C1278" s="56" t="s">
        <v>49</v>
      </c>
      <c r="D1278" s="43"/>
      <c r="E1278" s="83" t="s">
        <v>22</v>
      </c>
      <c r="F1278" s="28"/>
      <c r="G1278" s="26"/>
      <c r="H1278" s="21" t="b">
        <f>IF(D1281="x",H$2,H$1)</f>
        <v>0</v>
      </c>
    </row>
    <row r="1279" spans="2:8" x14ac:dyDescent="0.2">
      <c r="B1279" s="47" t="s">
        <v>717</v>
      </c>
      <c r="C1279" s="57" t="s">
        <v>47</v>
      </c>
      <c r="D1279" s="43"/>
      <c r="E1279" s="83" t="s">
        <v>23</v>
      </c>
      <c r="F1279" s="22" t="str">
        <f>IF(H1280=1,IF(H1278=H$2,H1278,""),"")</f>
        <v/>
      </c>
      <c r="G1279" s="26"/>
      <c r="H1279" s="21" t="str">
        <f>IF(E$1391="comprobar",COUNTIF(D1278:D1282,"x"),"")</f>
        <v/>
      </c>
    </row>
    <row r="1280" spans="2:8" x14ac:dyDescent="0.2">
      <c r="B1280" s="47" t="s">
        <v>717</v>
      </c>
      <c r="C1280" s="57" t="s">
        <v>48</v>
      </c>
      <c r="D1280" s="43"/>
      <c r="E1280" s="83" t="s">
        <v>24</v>
      </c>
      <c r="F1280" s="23" t="str">
        <f>IF(H1280=-0.33,IF(H1278=H$1,H1278,""),"")</f>
        <v/>
      </c>
      <c r="G1280" s="26"/>
      <c r="H1280" s="24">
        <f>IF(H1279=1,IF(H1278=H$2,1,-0.33),0)</f>
        <v>0</v>
      </c>
    </row>
    <row r="1281" spans="2:8" x14ac:dyDescent="0.2">
      <c r="B1281" s="47" t="s">
        <v>717</v>
      </c>
      <c r="C1281" s="57" t="s">
        <v>46</v>
      </c>
      <c r="D1281" s="43"/>
      <c r="E1281" s="83" t="s">
        <v>25</v>
      </c>
      <c r="F1281" s="28"/>
      <c r="G1281" s="26"/>
      <c r="H1281" s="24"/>
    </row>
    <row r="1282" spans="2:8" x14ac:dyDescent="0.2">
      <c r="B1282" s="47"/>
      <c r="C1282" s="8"/>
      <c r="D1282" s="43"/>
      <c r="E1282" s="83" t="s">
        <v>26</v>
      </c>
      <c r="F1282" s="20"/>
      <c r="G1282" s="19"/>
      <c r="H1282" s="24"/>
    </row>
    <row r="1283" spans="2:8" x14ac:dyDescent="0.2">
      <c r="B1283" s="48" t="s">
        <v>852</v>
      </c>
      <c r="C1283" s="36"/>
      <c r="D1283" s="44"/>
      <c r="E1283" s="14"/>
      <c r="F1283" s="30"/>
      <c r="G1283" s="29"/>
      <c r="H1283" s="15"/>
    </row>
    <row r="1284" spans="2:8" x14ac:dyDescent="0.2">
      <c r="B1284" s="47" t="s">
        <v>717</v>
      </c>
      <c r="C1284" s="56" t="s">
        <v>110</v>
      </c>
      <c r="D1284" s="43"/>
      <c r="E1284" s="83" t="s">
        <v>22</v>
      </c>
      <c r="F1284" s="28"/>
      <c r="G1284" s="26"/>
      <c r="H1284" s="21" t="b">
        <f>IF(D1285="x",H$2,H$1)</f>
        <v>0</v>
      </c>
    </row>
    <row r="1285" spans="2:8" x14ac:dyDescent="0.2">
      <c r="B1285" s="47" t="s">
        <v>717</v>
      </c>
      <c r="C1285" s="57" t="s">
        <v>128</v>
      </c>
      <c r="D1285" s="43"/>
      <c r="E1285" s="83" t="s">
        <v>23</v>
      </c>
      <c r="F1285" s="22" t="str">
        <f>IF(H1286=1,IF(H1284=H$2,H1284,""),"")</f>
        <v/>
      </c>
      <c r="G1285" s="26"/>
      <c r="H1285" s="21" t="str">
        <f>IF(E$1391="comprobar",COUNTIF(D1284:D1288,"x"),"")</f>
        <v/>
      </c>
    </row>
    <row r="1286" spans="2:8" x14ac:dyDescent="0.2">
      <c r="B1286" s="47" t="s">
        <v>717</v>
      </c>
      <c r="C1286" s="57" t="s">
        <v>89</v>
      </c>
      <c r="D1286" s="43"/>
      <c r="E1286" s="83" t="s">
        <v>24</v>
      </c>
      <c r="F1286" s="23" t="str">
        <f>IF(H1286=-0.33,IF(H1284=H$1,H1284,""),"")</f>
        <v/>
      </c>
      <c r="G1286" s="26"/>
      <c r="H1286" s="24">
        <f>IF(H1285=1,IF(H1284=H$2,1,-0.33),0)</f>
        <v>0</v>
      </c>
    </row>
    <row r="1287" spans="2:8" x14ac:dyDescent="0.2">
      <c r="B1287" s="47" t="s">
        <v>717</v>
      </c>
      <c r="C1287" s="57" t="s">
        <v>127</v>
      </c>
      <c r="D1287" s="43"/>
      <c r="E1287" s="83" t="s">
        <v>25</v>
      </c>
      <c r="F1287" s="28"/>
      <c r="G1287" s="26"/>
      <c r="H1287" s="24"/>
    </row>
    <row r="1288" spans="2:8" x14ac:dyDescent="0.2">
      <c r="B1288" s="47"/>
      <c r="C1288" s="8"/>
      <c r="D1288" s="43"/>
      <c r="E1288" s="83" t="s">
        <v>26</v>
      </c>
      <c r="F1288" s="20"/>
      <c r="G1288" s="19"/>
      <c r="H1288" s="24"/>
    </row>
    <row r="1289" spans="2:8" x14ac:dyDescent="0.2">
      <c r="B1289" s="48" t="s">
        <v>853</v>
      </c>
      <c r="C1289" s="36"/>
      <c r="D1289" s="44"/>
      <c r="E1289" s="14"/>
      <c r="F1289" s="30"/>
      <c r="G1289" s="29"/>
      <c r="H1289" s="15"/>
    </row>
    <row r="1290" spans="2:8" x14ac:dyDescent="0.2">
      <c r="B1290" s="47" t="s">
        <v>717</v>
      </c>
      <c r="C1290" s="56" t="s">
        <v>854</v>
      </c>
      <c r="D1290" s="43"/>
      <c r="E1290" s="83" t="s">
        <v>22</v>
      </c>
      <c r="F1290" s="28"/>
      <c r="G1290" s="26"/>
      <c r="H1290" s="21" t="b">
        <f>IF(D1293="x",H$2,H$1)</f>
        <v>0</v>
      </c>
    </row>
    <row r="1291" spans="2:8" x14ac:dyDescent="0.2">
      <c r="B1291" s="47" t="s">
        <v>717</v>
      </c>
      <c r="C1291" s="57" t="s">
        <v>855</v>
      </c>
      <c r="D1291" s="43"/>
      <c r="E1291" s="83" t="s">
        <v>23</v>
      </c>
      <c r="F1291" s="22" t="str">
        <f>IF(H1292=1,IF(H1290=H$2,H1290,""),"")</f>
        <v/>
      </c>
      <c r="G1291" s="26"/>
      <c r="H1291" s="21" t="str">
        <f>IF(E$1391="comprobar",COUNTIF(D1290:D1294,"x"),"")</f>
        <v/>
      </c>
    </row>
    <row r="1292" spans="2:8" x14ac:dyDescent="0.2">
      <c r="B1292" s="47" t="s">
        <v>717</v>
      </c>
      <c r="C1292" s="57" t="s">
        <v>90</v>
      </c>
      <c r="D1292" s="43"/>
      <c r="E1292" s="83" t="s">
        <v>24</v>
      </c>
      <c r="F1292" s="23" t="str">
        <f>IF(H1292=-0.33,IF(H1290=H$1,H1290,""),"")</f>
        <v/>
      </c>
      <c r="G1292" s="26"/>
      <c r="H1292" s="24">
        <f>IF(H1291=1,IF(H1290=H$2,1,-0.33),0)</f>
        <v>0</v>
      </c>
    </row>
    <row r="1293" spans="2:8" x14ac:dyDescent="0.2">
      <c r="B1293" s="47" t="s">
        <v>717</v>
      </c>
      <c r="C1293" s="57" t="s">
        <v>856</v>
      </c>
      <c r="D1293" s="43"/>
      <c r="E1293" s="83" t="s">
        <v>25</v>
      </c>
      <c r="F1293" s="28"/>
      <c r="G1293" s="26"/>
      <c r="H1293" s="24"/>
    </row>
    <row r="1294" spans="2:8" x14ac:dyDescent="0.2">
      <c r="B1294" s="47"/>
      <c r="C1294" s="8"/>
      <c r="D1294" s="43"/>
      <c r="E1294" s="83" t="s">
        <v>26</v>
      </c>
      <c r="F1294" s="20"/>
      <c r="G1294" s="19"/>
      <c r="H1294" s="24"/>
    </row>
    <row r="1295" spans="2:8" x14ac:dyDescent="0.2">
      <c r="B1295" s="48" t="s">
        <v>857</v>
      </c>
      <c r="C1295" s="36"/>
      <c r="D1295" s="44"/>
      <c r="E1295" s="14"/>
      <c r="F1295" s="30"/>
      <c r="G1295" s="29"/>
      <c r="H1295" s="15"/>
    </row>
    <row r="1296" spans="2:8" x14ac:dyDescent="0.2">
      <c r="B1296" s="47" t="s">
        <v>717</v>
      </c>
      <c r="C1296" s="56" t="s">
        <v>858</v>
      </c>
      <c r="D1296" s="43"/>
      <c r="E1296" s="83" t="s">
        <v>22</v>
      </c>
      <c r="F1296" s="28"/>
      <c r="G1296" s="26"/>
      <c r="H1296" s="21" t="b">
        <f>IF(D1298="x",H$2,H$1)</f>
        <v>0</v>
      </c>
    </row>
    <row r="1297" spans="2:8" x14ac:dyDescent="0.2">
      <c r="B1297" s="47" t="s">
        <v>717</v>
      </c>
      <c r="C1297" s="57" t="s">
        <v>859</v>
      </c>
      <c r="D1297" s="43"/>
      <c r="E1297" s="83" t="s">
        <v>23</v>
      </c>
      <c r="F1297" s="22" t="str">
        <f>IF(H1298=1,IF(H1296=H$2,H1296,""),"")</f>
        <v/>
      </c>
      <c r="G1297" s="26"/>
      <c r="H1297" s="21" t="str">
        <f>IF(E$1391="comprobar",COUNTIF(D1296:D1300,"x"),"")</f>
        <v/>
      </c>
    </row>
    <row r="1298" spans="2:8" x14ac:dyDescent="0.2">
      <c r="B1298" s="47" t="s">
        <v>717</v>
      </c>
      <c r="C1298" s="57" t="s">
        <v>860</v>
      </c>
      <c r="D1298" s="43"/>
      <c r="E1298" s="83" t="s">
        <v>24</v>
      </c>
      <c r="F1298" s="23" t="str">
        <f>IF(H1298=-0.33,IF(H1296=H$1,H1296,""),"")</f>
        <v/>
      </c>
      <c r="G1298" s="26"/>
      <c r="H1298" s="24">
        <f>IF(H1297=1,IF(H1296=H$2,1,-0.33),0)</f>
        <v>0</v>
      </c>
    </row>
    <row r="1299" spans="2:8" x14ac:dyDescent="0.2">
      <c r="B1299" s="47" t="s">
        <v>717</v>
      </c>
      <c r="C1299" s="57" t="s">
        <v>861</v>
      </c>
      <c r="D1299" s="43"/>
      <c r="E1299" s="83" t="s">
        <v>25</v>
      </c>
      <c r="F1299" s="28"/>
      <c r="G1299" s="26"/>
      <c r="H1299" s="24"/>
    </row>
    <row r="1300" spans="2:8" x14ac:dyDescent="0.2">
      <c r="B1300" s="47"/>
      <c r="C1300" s="8"/>
      <c r="D1300" s="43"/>
      <c r="E1300" s="83" t="s">
        <v>26</v>
      </c>
      <c r="F1300" s="20"/>
      <c r="G1300" s="19"/>
      <c r="H1300" s="24"/>
    </row>
    <row r="1301" spans="2:8" x14ac:dyDescent="0.2">
      <c r="B1301" s="48" t="s">
        <v>862</v>
      </c>
      <c r="C1301" s="36"/>
      <c r="D1301" s="44"/>
      <c r="E1301" s="14"/>
      <c r="F1301" s="30"/>
      <c r="G1301" s="29"/>
      <c r="H1301" s="15"/>
    </row>
    <row r="1302" spans="2:8" x14ac:dyDescent="0.2">
      <c r="B1302" s="47" t="s">
        <v>717</v>
      </c>
      <c r="C1302" s="56" t="s">
        <v>39</v>
      </c>
      <c r="D1302" s="43"/>
      <c r="E1302" s="83" t="s">
        <v>22</v>
      </c>
      <c r="F1302" s="28"/>
      <c r="G1302" s="26"/>
      <c r="H1302" s="21" t="b">
        <f>IF(D1304="x",H$2,H$1)</f>
        <v>0</v>
      </c>
    </row>
    <row r="1303" spans="2:8" x14ac:dyDescent="0.2">
      <c r="B1303" s="47" t="s">
        <v>717</v>
      </c>
      <c r="C1303" s="57" t="s">
        <v>37</v>
      </c>
      <c r="D1303" s="43"/>
      <c r="E1303" s="83" t="s">
        <v>23</v>
      </c>
      <c r="F1303" s="22" t="str">
        <f>IF(H1304=1,IF(H1302=H$2,H1302,""),"")</f>
        <v/>
      </c>
      <c r="G1303" s="26"/>
      <c r="H1303" s="21" t="str">
        <f>IF(E$1391="comprobar",COUNTIF(D1302:D1306,"x"),"")</f>
        <v/>
      </c>
    </row>
    <row r="1304" spans="2:8" x14ac:dyDescent="0.2">
      <c r="B1304" s="47" t="s">
        <v>717</v>
      </c>
      <c r="C1304" s="57" t="s">
        <v>38</v>
      </c>
      <c r="D1304" s="43"/>
      <c r="E1304" s="83" t="s">
        <v>24</v>
      </c>
      <c r="F1304" s="23" t="str">
        <f>IF(H1304=-0.33,IF(H1302=H$1,H1302,""),"")</f>
        <v/>
      </c>
      <c r="G1304" s="26"/>
      <c r="H1304" s="24">
        <f>IF(H1303=1,IF(H1302=H$2,1,-0.33),0)</f>
        <v>0</v>
      </c>
    </row>
    <row r="1305" spans="2:8" x14ac:dyDescent="0.2">
      <c r="B1305" s="47" t="s">
        <v>717</v>
      </c>
      <c r="C1305" s="57" t="s">
        <v>36</v>
      </c>
      <c r="D1305" s="43"/>
      <c r="E1305" s="83" t="s">
        <v>25</v>
      </c>
      <c r="F1305" s="28"/>
      <c r="G1305" s="26"/>
      <c r="H1305" s="24"/>
    </row>
    <row r="1306" spans="2:8" x14ac:dyDescent="0.2">
      <c r="B1306" s="47"/>
      <c r="C1306" s="8"/>
      <c r="D1306" s="43"/>
      <c r="E1306" s="83" t="s">
        <v>26</v>
      </c>
      <c r="F1306" s="20"/>
      <c r="G1306" s="19"/>
      <c r="H1306" s="24"/>
    </row>
    <row r="1307" spans="2:8" x14ac:dyDescent="0.2">
      <c r="B1307" s="48" t="s">
        <v>863</v>
      </c>
      <c r="C1307" s="36"/>
      <c r="D1307" s="44"/>
      <c r="E1307" s="14"/>
      <c r="F1307" s="30"/>
      <c r="G1307" s="29"/>
      <c r="H1307" s="15"/>
    </row>
    <row r="1308" spans="2:8" x14ac:dyDescent="0.2">
      <c r="B1308" s="47" t="s">
        <v>717</v>
      </c>
      <c r="C1308" s="56" t="s">
        <v>168</v>
      </c>
      <c r="D1308" s="43"/>
      <c r="E1308" s="83" t="s">
        <v>22</v>
      </c>
      <c r="F1308" s="28"/>
      <c r="G1308" s="26"/>
      <c r="H1308" s="21" t="b">
        <f>IF(D1309="x",H$2,H$1)</f>
        <v>0</v>
      </c>
    </row>
    <row r="1309" spans="2:8" x14ac:dyDescent="0.2">
      <c r="B1309" s="47" t="s">
        <v>717</v>
      </c>
      <c r="C1309" s="57" t="s">
        <v>170</v>
      </c>
      <c r="D1309" s="43"/>
      <c r="E1309" s="83" t="s">
        <v>23</v>
      </c>
      <c r="F1309" s="22" t="str">
        <f>IF(H1310=1,IF(H1308=H$2,H1308,""),"")</f>
        <v/>
      </c>
      <c r="G1309" s="26"/>
      <c r="H1309" s="21" t="str">
        <f>IF(E$1391="comprobar",COUNTIF(D1308:D1312,"x"),"")</f>
        <v/>
      </c>
    </row>
    <row r="1310" spans="2:8" x14ac:dyDescent="0.2">
      <c r="B1310" s="47" t="s">
        <v>717</v>
      </c>
      <c r="C1310" s="57" t="s">
        <v>169</v>
      </c>
      <c r="D1310" s="43"/>
      <c r="E1310" s="83" t="s">
        <v>24</v>
      </c>
      <c r="F1310" s="23" t="str">
        <f>IF(H1310=-0.33,IF(H1308=H$1,H1308,""),"")</f>
        <v/>
      </c>
      <c r="G1310" s="26"/>
      <c r="H1310" s="24">
        <f>IF(H1309=1,IF(H1308=H$2,1,-0.33),0)</f>
        <v>0</v>
      </c>
    </row>
    <row r="1311" spans="2:8" x14ac:dyDescent="0.2">
      <c r="B1311" s="47" t="s">
        <v>717</v>
      </c>
      <c r="C1311" s="57" t="s">
        <v>864</v>
      </c>
      <c r="D1311" s="43"/>
      <c r="E1311" s="83" t="s">
        <v>25</v>
      </c>
      <c r="F1311" s="28"/>
      <c r="G1311" s="26"/>
      <c r="H1311" s="24"/>
    </row>
    <row r="1312" spans="2:8" x14ac:dyDescent="0.2">
      <c r="B1312" s="47"/>
      <c r="C1312" s="8"/>
      <c r="D1312" s="43"/>
      <c r="E1312" s="83" t="s">
        <v>26</v>
      </c>
      <c r="F1312" s="20"/>
      <c r="G1312" s="19"/>
      <c r="H1312" s="24"/>
    </row>
    <row r="1313" spans="2:8" x14ac:dyDescent="0.2">
      <c r="B1313" s="48" t="s">
        <v>865</v>
      </c>
      <c r="C1313" s="36"/>
      <c r="D1313" s="44"/>
      <c r="E1313" s="14"/>
      <c r="F1313" s="30"/>
      <c r="G1313" s="29"/>
      <c r="H1313" s="15"/>
    </row>
    <row r="1314" spans="2:8" x14ac:dyDescent="0.2">
      <c r="B1314" s="47" t="s">
        <v>717</v>
      </c>
      <c r="C1314" s="56" t="s">
        <v>866</v>
      </c>
      <c r="D1314" s="43"/>
      <c r="E1314" s="83" t="s">
        <v>22</v>
      </c>
      <c r="F1314" s="28"/>
      <c r="G1314" s="26"/>
      <c r="H1314" s="21" t="b">
        <f>IF(D1317="x",H$2,H$1)</f>
        <v>0</v>
      </c>
    </row>
    <row r="1315" spans="2:8" x14ac:dyDescent="0.2">
      <c r="B1315" s="47" t="s">
        <v>717</v>
      </c>
      <c r="C1315" s="57" t="s">
        <v>867</v>
      </c>
      <c r="D1315" s="43"/>
      <c r="E1315" s="83" t="s">
        <v>23</v>
      </c>
      <c r="F1315" s="22" t="str">
        <f>IF(H1316=1,IF(H1314=H$2,H1314,""),"")</f>
        <v/>
      </c>
      <c r="G1315" s="26"/>
      <c r="H1315" s="21" t="str">
        <f>IF(E$1391="comprobar",COUNTIF(D1314:D1318,"x"),"")</f>
        <v/>
      </c>
    </row>
    <row r="1316" spans="2:8" x14ac:dyDescent="0.2">
      <c r="B1316" s="47" t="s">
        <v>717</v>
      </c>
      <c r="C1316" s="57" t="s">
        <v>868</v>
      </c>
      <c r="D1316" s="43"/>
      <c r="E1316" s="83" t="s">
        <v>24</v>
      </c>
      <c r="F1316" s="23" t="str">
        <f>IF(H1316=-0.33,IF(H1314=H$1,H1314,""),"")</f>
        <v/>
      </c>
      <c r="G1316" s="26"/>
      <c r="H1316" s="24">
        <f>IF(H1315=1,IF(H1314=H$2,1,-0.33),0)</f>
        <v>0</v>
      </c>
    </row>
    <row r="1317" spans="2:8" x14ac:dyDescent="0.2">
      <c r="B1317" s="47" t="s">
        <v>717</v>
      </c>
      <c r="C1317" s="57" t="s">
        <v>869</v>
      </c>
      <c r="D1317" s="43"/>
      <c r="E1317" s="83" t="s">
        <v>25</v>
      </c>
      <c r="F1317" s="28"/>
      <c r="G1317" s="26"/>
      <c r="H1317" s="24"/>
    </row>
    <row r="1318" spans="2:8" x14ac:dyDescent="0.2">
      <c r="B1318" s="47"/>
      <c r="C1318" s="8"/>
      <c r="D1318" s="43"/>
      <c r="E1318" s="83" t="s">
        <v>26</v>
      </c>
      <c r="F1318" s="20"/>
      <c r="G1318" s="19"/>
      <c r="H1318" s="24"/>
    </row>
    <row r="1319" spans="2:8" x14ac:dyDescent="0.2">
      <c r="B1319" s="48" t="s">
        <v>870</v>
      </c>
      <c r="C1319" s="36"/>
      <c r="D1319" s="44"/>
      <c r="E1319" s="14"/>
      <c r="F1319" s="30"/>
      <c r="G1319" s="29"/>
      <c r="H1319" s="15"/>
    </row>
    <row r="1320" spans="2:8" x14ac:dyDescent="0.2">
      <c r="B1320" s="47" t="s">
        <v>717</v>
      </c>
      <c r="C1320" s="56" t="s">
        <v>84</v>
      </c>
      <c r="D1320" s="43"/>
      <c r="E1320" s="83" t="s">
        <v>22</v>
      </c>
      <c r="F1320" s="28"/>
      <c r="G1320" s="26"/>
      <c r="H1320" s="21" t="b">
        <f>IF(D1322="x",H$2,H$1)</f>
        <v>0</v>
      </c>
    </row>
    <row r="1321" spans="2:8" x14ac:dyDescent="0.2">
      <c r="B1321" s="47" t="s">
        <v>717</v>
      </c>
      <c r="C1321" s="57" t="s">
        <v>85</v>
      </c>
      <c r="D1321" s="43"/>
      <c r="E1321" s="83" t="s">
        <v>23</v>
      </c>
      <c r="F1321" s="22" t="str">
        <f>IF(H1322=1,IF(H1320=H$2,H1320,""),"")</f>
        <v/>
      </c>
      <c r="G1321" s="26"/>
      <c r="H1321" s="21" t="str">
        <f>IF(E$1391="comprobar",COUNTIF(D1320:D1324,"x"),"")</f>
        <v/>
      </c>
    </row>
    <row r="1322" spans="2:8" x14ac:dyDescent="0.2">
      <c r="B1322" s="47" t="s">
        <v>717</v>
      </c>
      <c r="C1322" s="57" t="s">
        <v>83</v>
      </c>
      <c r="D1322" s="43"/>
      <c r="E1322" s="83" t="s">
        <v>24</v>
      </c>
      <c r="F1322" s="23" t="str">
        <f>IF(H1322=-0.33,IF(H1320=H$1,H1320,""),"")</f>
        <v/>
      </c>
      <c r="G1322" s="26"/>
      <c r="H1322" s="24">
        <f>IF(H1321=1,IF(H1320=H$2,1,-0.33),0)</f>
        <v>0</v>
      </c>
    </row>
    <row r="1323" spans="2:8" x14ac:dyDescent="0.2">
      <c r="B1323" s="47" t="s">
        <v>717</v>
      </c>
      <c r="C1323" s="57" t="s">
        <v>82</v>
      </c>
      <c r="D1323" s="43"/>
      <c r="E1323" s="83" t="s">
        <v>25</v>
      </c>
      <c r="F1323" s="28"/>
      <c r="G1323" s="26"/>
      <c r="H1323" s="24"/>
    </row>
    <row r="1324" spans="2:8" x14ac:dyDescent="0.2">
      <c r="B1324" s="47"/>
      <c r="C1324" s="8"/>
      <c r="D1324" s="43"/>
      <c r="E1324" s="83" t="s">
        <v>26</v>
      </c>
      <c r="F1324" s="20"/>
      <c r="G1324" s="19"/>
      <c r="H1324" s="24"/>
    </row>
    <row r="1325" spans="2:8" x14ac:dyDescent="0.2">
      <c r="B1325" s="48" t="s">
        <v>871</v>
      </c>
      <c r="C1325" s="36"/>
      <c r="D1325" s="44"/>
      <c r="E1325" s="14"/>
      <c r="F1325" s="30"/>
      <c r="G1325" s="29"/>
      <c r="H1325" s="15"/>
    </row>
    <row r="1326" spans="2:8" x14ac:dyDescent="0.2">
      <c r="B1326" s="47" t="s">
        <v>717</v>
      </c>
      <c r="C1326" s="56" t="s">
        <v>177</v>
      </c>
      <c r="D1326" s="43"/>
      <c r="E1326" s="83" t="s">
        <v>22</v>
      </c>
      <c r="F1326" s="28"/>
      <c r="G1326" s="26"/>
      <c r="H1326" s="21" t="b">
        <f>IF(D1327="x",H$2,H$1)</f>
        <v>0</v>
      </c>
    </row>
    <row r="1327" spans="2:8" x14ac:dyDescent="0.2">
      <c r="B1327" s="47" t="s">
        <v>717</v>
      </c>
      <c r="C1327" s="57" t="s">
        <v>174</v>
      </c>
      <c r="D1327" s="43"/>
      <c r="E1327" s="83" t="s">
        <v>23</v>
      </c>
      <c r="F1327" s="22" t="str">
        <f>IF(H1328=1,IF(H1326=H$2,H1326,""),"")</f>
        <v/>
      </c>
      <c r="G1327" s="26"/>
      <c r="H1327" s="21" t="str">
        <f>IF(E$1391="comprobar",COUNTIF(D1326:D1330,"x"),"")</f>
        <v/>
      </c>
    </row>
    <row r="1328" spans="2:8" x14ac:dyDescent="0.2">
      <c r="B1328" s="47" t="s">
        <v>717</v>
      </c>
      <c r="C1328" s="57" t="s">
        <v>175</v>
      </c>
      <c r="D1328" s="43"/>
      <c r="E1328" s="83" t="s">
        <v>24</v>
      </c>
      <c r="F1328" s="23" t="str">
        <f>IF(H1328=-0.33,IF(H1326=H$1,H1326,""),"")</f>
        <v/>
      </c>
      <c r="G1328" s="26"/>
      <c r="H1328" s="24">
        <f>IF(H1327=1,IF(H1326=H$2,1,-0.33),0)</f>
        <v>0</v>
      </c>
    </row>
    <row r="1329" spans="2:8" x14ac:dyDescent="0.2">
      <c r="B1329" s="47" t="s">
        <v>717</v>
      </c>
      <c r="C1329" s="57" t="s">
        <v>872</v>
      </c>
      <c r="D1329" s="43"/>
      <c r="E1329" s="83" t="s">
        <v>25</v>
      </c>
      <c r="F1329" s="28"/>
      <c r="G1329" s="26"/>
      <c r="H1329" s="24"/>
    </row>
    <row r="1330" spans="2:8" x14ac:dyDescent="0.2">
      <c r="B1330" s="47"/>
      <c r="C1330" s="8"/>
      <c r="D1330" s="43"/>
      <c r="E1330" s="83" t="s">
        <v>26</v>
      </c>
      <c r="F1330" s="20"/>
      <c r="G1330" s="19"/>
      <c r="H1330" s="24"/>
    </row>
    <row r="1331" spans="2:8" x14ac:dyDescent="0.2">
      <c r="B1331" s="48" t="s">
        <v>873</v>
      </c>
      <c r="C1331" s="36"/>
      <c r="D1331" s="44"/>
      <c r="E1331" s="14"/>
      <c r="F1331" s="30"/>
      <c r="G1331" s="29"/>
      <c r="H1331" s="15"/>
    </row>
    <row r="1332" spans="2:8" x14ac:dyDescent="0.2">
      <c r="B1332" s="47" t="s">
        <v>717</v>
      </c>
      <c r="C1332" s="56" t="s">
        <v>874</v>
      </c>
      <c r="D1332" s="43"/>
      <c r="E1332" s="83" t="s">
        <v>22</v>
      </c>
      <c r="F1332" s="28"/>
      <c r="G1332" s="26"/>
      <c r="H1332" s="21" t="b">
        <f>IF(D1333="x",H$2,H$1)</f>
        <v>0</v>
      </c>
    </row>
    <row r="1333" spans="2:8" x14ac:dyDescent="0.2">
      <c r="B1333" s="47" t="s">
        <v>717</v>
      </c>
      <c r="C1333" s="57" t="s">
        <v>875</v>
      </c>
      <c r="D1333" s="43"/>
      <c r="E1333" s="83" t="s">
        <v>23</v>
      </c>
      <c r="F1333" s="22" t="str">
        <f>IF(H1334=1,IF(H1332=H$2,H1332,""),"")</f>
        <v/>
      </c>
      <c r="G1333" s="26"/>
      <c r="H1333" s="21" t="str">
        <f>IF(E$1391="comprobar",COUNTIF(D1332:D1336,"x"),"")</f>
        <v/>
      </c>
    </row>
    <row r="1334" spans="2:8" x14ac:dyDescent="0.2">
      <c r="B1334" s="47" t="s">
        <v>717</v>
      </c>
      <c r="C1334" s="57" t="s">
        <v>876</v>
      </c>
      <c r="D1334" s="43"/>
      <c r="E1334" s="83" t="s">
        <v>24</v>
      </c>
      <c r="F1334" s="23" t="str">
        <f>IF(H1334=-0.33,IF(H1332=H$1,H1332,""),"")</f>
        <v/>
      </c>
      <c r="G1334" s="26"/>
      <c r="H1334" s="24">
        <f>IF(H1333=1,IF(H1332=H$2,1,-0.33),0)</f>
        <v>0</v>
      </c>
    </row>
    <row r="1335" spans="2:8" x14ac:dyDescent="0.2">
      <c r="B1335" s="47" t="s">
        <v>717</v>
      </c>
      <c r="C1335" s="57" t="s">
        <v>877</v>
      </c>
      <c r="D1335" s="43"/>
      <c r="E1335" s="83" t="s">
        <v>25</v>
      </c>
      <c r="F1335" s="28"/>
      <c r="G1335" s="26"/>
      <c r="H1335" s="24"/>
    </row>
    <row r="1336" spans="2:8" x14ac:dyDescent="0.2">
      <c r="B1336" s="47"/>
      <c r="C1336" s="8"/>
      <c r="D1336" s="43"/>
      <c r="E1336" s="83" t="s">
        <v>26</v>
      </c>
      <c r="F1336" s="20"/>
      <c r="G1336" s="19"/>
      <c r="H1336" s="24"/>
    </row>
    <row r="1337" spans="2:8" x14ac:dyDescent="0.2">
      <c r="B1337" s="48" t="s">
        <v>878</v>
      </c>
      <c r="C1337" s="36"/>
      <c r="D1337" s="44"/>
      <c r="E1337" s="14"/>
      <c r="F1337" s="30"/>
      <c r="G1337" s="29"/>
      <c r="H1337" s="15"/>
    </row>
    <row r="1338" spans="2:8" x14ac:dyDescent="0.2">
      <c r="B1338" s="47" t="s">
        <v>717</v>
      </c>
      <c r="C1338" s="56" t="s">
        <v>879</v>
      </c>
      <c r="D1338" s="43"/>
      <c r="E1338" s="83" t="s">
        <v>22</v>
      </c>
      <c r="F1338" s="28"/>
      <c r="G1338" s="26"/>
      <c r="H1338" s="21" t="b">
        <f>IF(D1338="x",H$2,H$1)</f>
        <v>0</v>
      </c>
    </row>
    <row r="1339" spans="2:8" x14ac:dyDescent="0.2">
      <c r="B1339" s="47" t="s">
        <v>717</v>
      </c>
      <c r="C1339" s="57" t="s">
        <v>880</v>
      </c>
      <c r="D1339" s="43"/>
      <c r="E1339" s="83" t="s">
        <v>23</v>
      </c>
      <c r="F1339" s="22" t="str">
        <f>IF(H1340=1,IF(H1338=H$2,H1338,""),"")</f>
        <v/>
      </c>
      <c r="G1339" s="26"/>
      <c r="H1339" s="21" t="str">
        <f>IF(E$1391="comprobar",COUNTIF(D1338:D1342,"x"),"")</f>
        <v/>
      </c>
    </row>
    <row r="1340" spans="2:8" x14ac:dyDescent="0.2">
      <c r="B1340" s="47" t="s">
        <v>717</v>
      </c>
      <c r="C1340" s="57" t="s">
        <v>89</v>
      </c>
      <c r="D1340" s="43"/>
      <c r="E1340" s="83" t="s">
        <v>24</v>
      </c>
      <c r="F1340" s="23" t="str">
        <f>IF(H1340=-0.33,IF(H1338=H$1,H1338,""),"")</f>
        <v/>
      </c>
      <c r="G1340" s="26"/>
      <c r="H1340" s="24">
        <f>IF(H1339=1,IF(H1338=H$2,1,-0.33),0)</f>
        <v>0</v>
      </c>
    </row>
    <row r="1341" spans="2:8" x14ac:dyDescent="0.2">
      <c r="B1341" s="47" t="s">
        <v>717</v>
      </c>
      <c r="C1341" s="57" t="s">
        <v>881</v>
      </c>
      <c r="D1341" s="43"/>
      <c r="E1341" s="83" t="s">
        <v>25</v>
      </c>
      <c r="F1341" s="28"/>
      <c r="G1341" s="26"/>
      <c r="H1341" s="24"/>
    </row>
    <row r="1342" spans="2:8" x14ac:dyDescent="0.2">
      <c r="B1342" s="47"/>
      <c r="C1342" s="8"/>
      <c r="D1342" s="43"/>
      <c r="E1342" s="83" t="s">
        <v>26</v>
      </c>
      <c r="F1342" s="20"/>
      <c r="G1342" s="19"/>
      <c r="H1342" s="24"/>
    </row>
    <row r="1343" spans="2:8" x14ac:dyDescent="0.2">
      <c r="B1343" s="48" t="s">
        <v>882</v>
      </c>
      <c r="C1343" s="36"/>
      <c r="D1343" s="44"/>
      <c r="E1343" s="14"/>
      <c r="F1343" s="30"/>
      <c r="G1343" s="29"/>
      <c r="H1343" s="15"/>
    </row>
    <row r="1344" spans="2:8" x14ac:dyDescent="0.2">
      <c r="B1344" s="47" t="s">
        <v>717</v>
      </c>
      <c r="C1344" s="56" t="s">
        <v>88</v>
      </c>
      <c r="D1344" s="43"/>
      <c r="E1344" s="83" t="s">
        <v>22</v>
      </c>
      <c r="F1344" s="28"/>
      <c r="G1344" s="26"/>
      <c r="H1344" s="21" t="b">
        <f>IF(D1347="x",H$2,H$1)</f>
        <v>0</v>
      </c>
    </row>
    <row r="1345" spans="2:8" x14ac:dyDescent="0.2">
      <c r="B1345" s="47" t="s">
        <v>717</v>
      </c>
      <c r="C1345" s="57" t="s">
        <v>883</v>
      </c>
      <c r="D1345" s="43"/>
      <c r="E1345" s="83" t="s">
        <v>23</v>
      </c>
      <c r="F1345" s="22" t="str">
        <f>IF(H1346=1,IF(H1344=H$2,H1344,""),"")</f>
        <v/>
      </c>
      <c r="G1345" s="26"/>
      <c r="H1345" s="21" t="str">
        <f>IF(E$1391="comprobar",COUNTIF(D1344:D1348,"x"),"")</f>
        <v/>
      </c>
    </row>
    <row r="1346" spans="2:8" x14ac:dyDescent="0.2">
      <c r="B1346" s="47" t="s">
        <v>717</v>
      </c>
      <c r="C1346" s="57" t="s">
        <v>90</v>
      </c>
      <c r="D1346" s="43"/>
      <c r="E1346" s="83" t="s">
        <v>24</v>
      </c>
      <c r="F1346" s="23" t="str">
        <f>IF(H1346=-0.33,IF(H1344=H$1,H1344,""),"")</f>
        <v/>
      </c>
      <c r="G1346" s="26"/>
      <c r="H1346" s="24">
        <f>IF(H1345=1,IF(H1344=H$2,1,-0.33),0)</f>
        <v>0</v>
      </c>
    </row>
    <row r="1347" spans="2:8" x14ac:dyDescent="0.2">
      <c r="B1347" s="47" t="s">
        <v>717</v>
      </c>
      <c r="C1347" s="57" t="s">
        <v>856</v>
      </c>
      <c r="D1347" s="43"/>
      <c r="E1347" s="83" t="s">
        <v>25</v>
      </c>
      <c r="F1347" s="28"/>
      <c r="G1347" s="26"/>
      <c r="H1347" s="24"/>
    </row>
    <row r="1348" spans="2:8" x14ac:dyDescent="0.2">
      <c r="B1348" s="47"/>
      <c r="C1348" s="8"/>
      <c r="D1348" s="43"/>
      <c r="E1348" s="83" t="s">
        <v>26</v>
      </c>
      <c r="F1348" s="20"/>
      <c r="G1348" s="19"/>
      <c r="H1348" s="24"/>
    </row>
    <row r="1349" spans="2:8" x14ac:dyDescent="0.2">
      <c r="B1349" s="48" t="s">
        <v>884</v>
      </c>
      <c r="C1349" s="36"/>
      <c r="D1349" s="44"/>
      <c r="E1349" s="14"/>
      <c r="F1349" s="30"/>
      <c r="G1349" s="29"/>
      <c r="H1349" s="15"/>
    </row>
    <row r="1350" spans="2:8" x14ac:dyDescent="0.2">
      <c r="B1350" s="47" t="s">
        <v>717</v>
      </c>
      <c r="C1350" s="56" t="s">
        <v>885</v>
      </c>
      <c r="D1350" s="43"/>
      <c r="E1350" s="83" t="s">
        <v>22</v>
      </c>
      <c r="F1350" s="28"/>
      <c r="G1350" s="26"/>
      <c r="H1350" s="21" t="b">
        <f>IF(D1351 &amp; D1353="x",H$2,H$1)</f>
        <v>0</v>
      </c>
    </row>
    <row r="1351" spans="2:8" x14ac:dyDescent="0.2">
      <c r="B1351" s="47" t="s">
        <v>717</v>
      </c>
      <c r="C1351" s="57" t="s">
        <v>886</v>
      </c>
      <c r="D1351" s="43"/>
      <c r="E1351" s="83" t="s">
        <v>23</v>
      </c>
      <c r="F1351" s="22" t="str">
        <f>IF(H1352=1,IF(H1350=H$2,H1350,""),"")</f>
        <v/>
      </c>
      <c r="G1351" s="26"/>
      <c r="H1351" s="21" t="str">
        <f>IF(E$1391="comprobar",COUNTIF(D1350:D1354,"x"),"")</f>
        <v/>
      </c>
    </row>
    <row r="1352" spans="2:8" x14ac:dyDescent="0.2">
      <c r="B1352" s="47" t="s">
        <v>717</v>
      </c>
      <c r="C1352" s="57" t="s">
        <v>887</v>
      </c>
      <c r="D1352" s="43"/>
      <c r="E1352" s="83" t="s">
        <v>24</v>
      </c>
      <c r="F1352" s="23" t="str">
        <f>IF(H1352=-0.33,IF(H1350=H$1,H1350,""),"")</f>
        <v/>
      </c>
      <c r="G1352" s="26"/>
      <c r="H1352" s="24">
        <f>IF(H1351=2,IF(H1350=H$2,1,-0.33),0)</f>
        <v>0</v>
      </c>
    </row>
    <row r="1353" spans="2:8" x14ac:dyDescent="0.2">
      <c r="B1353" s="47" t="s">
        <v>717</v>
      </c>
      <c r="C1353" s="57" t="s">
        <v>888</v>
      </c>
      <c r="D1353" s="43"/>
      <c r="E1353" s="83" t="s">
        <v>25</v>
      </c>
      <c r="F1353" s="28"/>
      <c r="G1353" s="26"/>
      <c r="H1353" s="24"/>
    </row>
    <row r="1354" spans="2:8" x14ac:dyDescent="0.2">
      <c r="B1354" s="47"/>
      <c r="C1354" s="8"/>
      <c r="D1354" s="43"/>
      <c r="E1354" s="83" t="s">
        <v>26</v>
      </c>
      <c r="F1354" s="20"/>
      <c r="G1354" s="19"/>
      <c r="H1354" s="24"/>
    </row>
    <row r="1355" spans="2:8" x14ac:dyDescent="0.2">
      <c r="B1355" s="48" t="s">
        <v>889</v>
      </c>
      <c r="C1355" s="36"/>
      <c r="D1355" s="44"/>
      <c r="E1355" s="14"/>
      <c r="F1355" s="30"/>
      <c r="G1355" s="29"/>
      <c r="H1355" s="15"/>
    </row>
    <row r="1356" spans="2:8" x14ac:dyDescent="0.2">
      <c r="B1356" s="47" t="s">
        <v>717</v>
      </c>
      <c r="C1356" s="56" t="s">
        <v>234</v>
      </c>
      <c r="D1356" s="43"/>
      <c r="E1356" s="83" t="s">
        <v>22</v>
      </c>
      <c r="F1356" s="28"/>
      <c r="G1356" s="26"/>
      <c r="H1356" s="21" t="b">
        <f>IF(D1358="x",H$2,H$1)</f>
        <v>0</v>
      </c>
    </row>
    <row r="1357" spans="2:8" x14ac:dyDescent="0.2">
      <c r="B1357" s="47" t="s">
        <v>717</v>
      </c>
      <c r="C1357" s="57" t="s">
        <v>232</v>
      </c>
      <c r="D1357" s="43"/>
      <c r="E1357" s="83" t="s">
        <v>23</v>
      </c>
      <c r="F1357" s="22" t="str">
        <f>IF(H1358=1,IF(H1356=H$2,H1356,""),"")</f>
        <v/>
      </c>
      <c r="G1357" s="26"/>
      <c r="H1357" s="21" t="str">
        <f>IF(E$1391="comprobar",COUNTIF(D1356:D1360,"x"),"")</f>
        <v/>
      </c>
    </row>
    <row r="1358" spans="2:8" x14ac:dyDescent="0.2">
      <c r="B1358" s="47" t="s">
        <v>717</v>
      </c>
      <c r="C1358" s="57" t="s">
        <v>233</v>
      </c>
      <c r="D1358" s="43"/>
      <c r="E1358" s="83" t="s">
        <v>24</v>
      </c>
      <c r="F1358" s="23" t="str">
        <f>IF(H1358=-0.33,IF(H1356=H$1,H1356,""),"")</f>
        <v/>
      </c>
      <c r="G1358" s="26"/>
      <c r="H1358" s="24">
        <f>IF(H1357=1,IF(H1356=H$2,1,-0.33),0)</f>
        <v>0</v>
      </c>
    </row>
    <row r="1359" spans="2:8" x14ac:dyDescent="0.2">
      <c r="B1359" s="47" t="s">
        <v>717</v>
      </c>
      <c r="C1359" s="57" t="s">
        <v>890</v>
      </c>
      <c r="D1359" s="43"/>
      <c r="E1359" s="83" t="s">
        <v>25</v>
      </c>
      <c r="F1359" s="28"/>
      <c r="G1359" s="26"/>
      <c r="H1359" s="24"/>
    </row>
    <row r="1360" spans="2:8" x14ac:dyDescent="0.2">
      <c r="B1360" s="47"/>
      <c r="C1360" s="8"/>
      <c r="D1360" s="43"/>
      <c r="E1360" s="83" t="s">
        <v>26</v>
      </c>
      <c r="F1360" s="20"/>
      <c r="G1360" s="19"/>
      <c r="H1360" s="24"/>
    </row>
    <row r="1361" spans="2:8" x14ac:dyDescent="0.2">
      <c r="B1361" s="48" t="s">
        <v>891</v>
      </c>
      <c r="C1361" s="36"/>
      <c r="D1361" s="44"/>
      <c r="E1361" s="14"/>
      <c r="F1361" s="30"/>
      <c r="G1361" s="29"/>
      <c r="H1361" s="15"/>
    </row>
    <row r="1362" spans="2:8" x14ac:dyDescent="0.2">
      <c r="B1362" s="47" t="s">
        <v>717</v>
      </c>
      <c r="C1362" s="56" t="s">
        <v>892</v>
      </c>
      <c r="D1362" s="43"/>
      <c r="E1362" s="83" t="s">
        <v>22</v>
      </c>
      <c r="F1362" s="28"/>
      <c r="G1362" s="26"/>
      <c r="H1362" s="21" t="b">
        <f>IF(D1362="x",H$2,H$1)</f>
        <v>0</v>
      </c>
    </row>
    <row r="1363" spans="2:8" x14ac:dyDescent="0.2">
      <c r="B1363" s="47" t="s">
        <v>717</v>
      </c>
      <c r="C1363" s="57" t="s">
        <v>893</v>
      </c>
      <c r="D1363" s="43"/>
      <c r="E1363" s="83" t="s">
        <v>23</v>
      </c>
      <c r="F1363" s="22" t="str">
        <f>IF(H1364=1,IF(H1362=H$2,H1362,""),"")</f>
        <v/>
      </c>
      <c r="G1363" s="26"/>
      <c r="H1363" s="21" t="str">
        <f>IF(E$1391="comprobar",COUNTIF(D1362:D1366,"x"),"")</f>
        <v/>
      </c>
    </row>
    <row r="1364" spans="2:8" x14ac:dyDescent="0.2">
      <c r="B1364" s="47" t="s">
        <v>717</v>
      </c>
      <c r="C1364" s="57" t="s">
        <v>894</v>
      </c>
      <c r="D1364" s="43"/>
      <c r="E1364" s="83" t="s">
        <v>24</v>
      </c>
      <c r="F1364" s="23" t="str">
        <f>IF(H1364=-0.33,IF(H1362=H$1,H1362,""),"")</f>
        <v/>
      </c>
      <c r="G1364" s="26"/>
      <c r="H1364" s="24">
        <f>IF(H1363=1,IF(H1362=H$2,1,-0.33),0)</f>
        <v>0</v>
      </c>
    </row>
    <row r="1365" spans="2:8" x14ac:dyDescent="0.2">
      <c r="B1365" s="47" t="s">
        <v>717</v>
      </c>
      <c r="C1365" s="57" t="s">
        <v>895</v>
      </c>
      <c r="D1365" s="43"/>
      <c r="E1365" s="83" t="s">
        <v>25</v>
      </c>
      <c r="F1365" s="28"/>
      <c r="G1365" s="26"/>
      <c r="H1365" s="24"/>
    </row>
    <row r="1366" spans="2:8" x14ac:dyDescent="0.2">
      <c r="B1366" s="47"/>
      <c r="C1366" s="8"/>
      <c r="D1366" s="43"/>
      <c r="E1366" s="83" t="s">
        <v>26</v>
      </c>
      <c r="F1366" s="20"/>
      <c r="G1366" s="19"/>
      <c r="H1366" s="24"/>
    </row>
    <row r="1367" spans="2:8" x14ac:dyDescent="0.2">
      <c r="B1367" s="48" t="s">
        <v>896</v>
      </c>
      <c r="C1367" s="36"/>
      <c r="D1367" s="44"/>
      <c r="E1367" s="14"/>
      <c r="F1367" s="30"/>
      <c r="G1367" s="29"/>
      <c r="H1367" s="15"/>
    </row>
    <row r="1368" spans="2:8" x14ac:dyDescent="0.2">
      <c r="B1368" s="47" t="s">
        <v>717</v>
      </c>
      <c r="C1368" s="56" t="s">
        <v>163</v>
      </c>
      <c r="D1368" s="43"/>
      <c r="E1368" s="83" t="s">
        <v>22</v>
      </c>
      <c r="F1368" s="28"/>
      <c r="G1368" s="26"/>
      <c r="H1368" s="21" t="b">
        <f>IF(D1371="x",H$2,H$1)</f>
        <v>0</v>
      </c>
    </row>
    <row r="1369" spans="2:8" x14ac:dyDescent="0.2">
      <c r="B1369" s="47" t="s">
        <v>717</v>
      </c>
      <c r="C1369" s="57" t="s">
        <v>160</v>
      </c>
      <c r="D1369" s="43"/>
      <c r="E1369" s="83" t="s">
        <v>23</v>
      </c>
      <c r="F1369" s="22" t="str">
        <f>IF(H1370=1,IF(H1368=H$2,H1368,""),"")</f>
        <v/>
      </c>
      <c r="G1369" s="26"/>
      <c r="H1369" s="21" t="str">
        <f>IF(E$1391="comprobar",COUNTIF(D1368:D1372,"x"),"")</f>
        <v/>
      </c>
    </row>
    <row r="1370" spans="2:8" x14ac:dyDescent="0.2">
      <c r="B1370" s="47" t="s">
        <v>717</v>
      </c>
      <c r="C1370" s="57" t="s">
        <v>161</v>
      </c>
      <c r="D1370" s="43"/>
      <c r="E1370" s="83" t="s">
        <v>24</v>
      </c>
      <c r="F1370" s="23" t="str">
        <f>IF(H1370=-0.33,IF(H1368=H$1,H1368,""),"")</f>
        <v/>
      </c>
      <c r="G1370" s="26"/>
      <c r="H1370" s="24">
        <f>IF(H1369=1,IF(H1368=H$2,1,-0.33),0)</f>
        <v>0</v>
      </c>
    </row>
    <row r="1371" spans="2:8" x14ac:dyDescent="0.2">
      <c r="B1371" s="47" t="s">
        <v>717</v>
      </c>
      <c r="C1371" s="57" t="s">
        <v>162</v>
      </c>
      <c r="D1371" s="43"/>
      <c r="E1371" s="83" t="s">
        <v>25</v>
      </c>
      <c r="F1371" s="28"/>
      <c r="G1371" s="26"/>
      <c r="H1371" s="24"/>
    </row>
    <row r="1372" spans="2:8" x14ac:dyDescent="0.2">
      <c r="B1372" s="47"/>
      <c r="C1372" s="8"/>
      <c r="D1372" s="43"/>
      <c r="E1372" s="83" t="s">
        <v>26</v>
      </c>
      <c r="F1372" s="20"/>
      <c r="G1372" s="19"/>
      <c r="H1372" s="24"/>
    </row>
    <row r="1373" spans="2:8" x14ac:dyDescent="0.2">
      <c r="B1373" s="48" t="s">
        <v>897</v>
      </c>
      <c r="C1373" s="36"/>
      <c r="D1373" s="44"/>
      <c r="E1373" s="14"/>
      <c r="F1373" s="30"/>
      <c r="G1373" s="29"/>
      <c r="H1373" s="15"/>
    </row>
    <row r="1374" spans="2:8" x14ac:dyDescent="0.2">
      <c r="B1374" s="47" t="s">
        <v>717</v>
      </c>
      <c r="C1374" s="56" t="s">
        <v>18</v>
      </c>
      <c r="D1374" s="43"/>
      <c r="E1374" s="83" t="s">
        <v>22</v>
      </c>
      <c r="F1374" s="28"/>
      <c r="G1374" s="26"/>
      <c r="H1374" s="21" t="b">
        <f>IF(D1376="x",H$2,H$1)</f>
        <v>0</v>
      </c>
    </row>
    <row r="1375" spans="2:8" x14ac:dyDescent="0.2">
      <c r="B1375" s="47" t="s">
        <v>717</v>
      </c>
      <c r="C1375" s="57" t="s">
        <v>138</v>
      </c>
      <c r="D1375" s="43"/>
      <c r="E1375" s="83" t="s">
        <v>23</v>
      </c>
      <c r="F1375" s="22" t="str">
        <f>IF(H1376=1,IF(H1374=H$2,H1374,""),"")</f>
        <v/>
      </c>
      <c r="G1375" s="26"/>
      <c r="H1375" s="21" t="str">
        <f>IF(E$1391="comprobar",COUNTIF(D1374:D1378,"x"),"")</f>
        <v/>
      </c>
    </row>
    <row r="1376" spans="2:8" x14ac:dyDescent="0.2">
      <c r="B1376" s="47" t="s">
        <v>717</v>
      </c>
      <c r="C1376" s="57" t="s">
        <v>136</v>
      </c>
      <c r="D1376" s="43"/>
      <c r="E1376" s="83" t="s">
        <v>24</v>
      </c>
      <c r="F1376" s="23" t="str">
        <f>IF(H1376=-0.33,IF(H1374=H$1,H1374,""),"")</f>
        <v/>
      </c>
      <c r="G1376" s="26"/>
      <c r="H1376" s="24">
        <f>IF(H1375=1,IF(H1374=H$2,1,-0.33),0)</f>
        <v>0</v>
      </c>
    </row>
    <row r="1377" spans="2:8" x14ac:dyDescent="0.2">
      <c r="B1377" s="47" t="s">
        <v>717</v>
      </c>
      <c r="C1377" s="57" t="s">
        <v>137</v>
      </c>
      <c r="D1377" s="43"/>
      <c r="E1377" s="83" t="s">
        <v>25</v>
      </c>
      <c r="F1377" s="28"/>
      <c r="G1377" s="26"/>
      <c r="H1377" s="24"/>
    </row>
    <row r="1378" spans="2:8" x14ac:dyDescent="0.2">
      <c r="B1378" s="47"/>
      <c r="C1378" s="8"/>
      <c r="D1378" s="43"/>
      <c r="E1378" s="83" t="s">
        <v>26</v>
      </c>
      <c r="F1378" s="20"/>
      <c r="G1378" s="19"/>
      <c r="H1378" s="24"/>
    </row>
    <row r="1379" spans="2:8" x14ac:dyDescent="0.2">
      <c r="B1379" s="48" t="s">
        <v>898</v>
      </c>
      <c r="C1379" s="36"/>
      <c r="D1379" s="44"/>
      <c r="E1379" s="14"/>
      <c r="F1379" s="30"/>
      <c r="G1379" s="29"/>
      <c r="H1379" s="15"/>
    </row>
    <row r="1380" spans="2:8" x14ac:dyDescent="0.2">
      <c r="B1380" s="47" t="s">
        <v>717</v>
      </c>
      <c r="C1380" s="56" t="s">
        <v>44</v>
      </c>
      <c r="D1380" s="43"/>
      <c r="E1380" s="83" t="s">
        <v>22</v>
      </c>
      <c r="F1380" s="28"/>
      <c r="G1380" s="26"/>
      <c r="H1380" s="21" t="b">
        <f>IF(D1381="x",H$2,H$1)</f>
        <v>0</v>
      </c>
    </row>
    <row r="1381" spans="2:8" x14ac:dyDescent="0.2">
      <c r="B1381" s="47" t="s">
        <v>717</v>
      </c>
      <c r="C1381" s="57" t="s">
        <v>41</v>
      </c>
      <c r="D1381" s="43"/>
      <c r="E1381" s="83" t="s">
        <v>23</v>
      </c>
      <c r="F1381" s="22" t="str">
        <f>IF(H1382=1,IF(H1380=H$2,H1380,""),"")</f>
        <v/>
      </c>
      <c r="G1381" s="26"/>
      <c r="H1381" s="21" t="str">
        <f>IF(E$1391="comprobar",COUNTIF(D1380:D1384,"x"),"")</f>
        <v/>
      </c>
    </row>
    <row r="1382" spans="2:8" x14ac:dyDescent="0.2">
      <c r="B1382" s="47" t="s">
        <v>717</v>
      </c>
      <c r="C1382" s="57" t="s">
        <v>42</v>
      </c>
      <c r="D1382" s="43"/>
      <c r="E1382" s="83" t="s">
        <v>24</v>
      </c>
      <c r="F1382" s="23" t="str">
        <f>IF(H1382=-0.33,IF(H1380=H$1,H1380,""),"")</f>
        <v/>
      </c>
      <c r="G1382" s="26"/>
      <c r="H1382" s="24">
        <f>IF(H1381=1,IF(H1380=H$2,1,-0.33),0)</f>
        <v>0</v>
      </c>
    </row>
    <row r="1383" spans="2:8" x14ac:dyDescent="0.2">
      <c r="B1383" s="47" t="s">
        <v>717</v>
      </c>
      <c r="C1383" s="57" t="s">
        <v>43</v>
      </c>
      <c r="D1383" s="43"/>
      <c r="E1383" s="83" t="s">
        <v>25</v>
      </c>
      <c r="F1383" s="28"/>
      <c r="G1383" s="26"/>
      <c r="H1383" s="24"/>
    </row>
    <row r="1384" spans="2:8" x14ac:dyDescent="0.2">
      <c r="B1384" s="47"/>
      <c r="C1384" s="8"/>
      <c r="D1384" s="43"/>
      <c r="E1384" s="83" t="s">
        <v>26</v>
      </c>
      <c r="F1384" s="20"/>
      <c r="G1384" s="19"/>
      <c r="H1384" s="24"/>
    </row>
    <row r="1385" spans="2:8" x14ac:dyDescent="0.2">
      <c r="B1385" s="48" t="s">
        <v>899</v>
      </c>
      <c r="C1385" s="36"/>
      <c r="D1385" s="44"/>
      <c r="E1385" s="14"/>
      <c r="F1385" s="30"/>
      <c r="G1385" s="29"/>
      <c r="H1385" s="15"/>
    </row>
    <row r="1386" spans="2:8" x14ac:dyDescent="0.2">
      <c r="B1386" s="47" t="s">
        <v>717</v>
      </c>
      <c r="C1386" s="56" t="s">
        <v>900</v>
      </c>
      <c r="D1386" s="43"/>
      <c r="E1386" s="83" t="s">
        <v>22</v>
      </c>
      <c r="F1386" s="28"/>
      <c r="G1386" s="26"/>
      <c r="H1386" s="21" t="b">
        <f>IF(D1387="x",H$2,H$1)</f>
        <v>0</v>
      </c>
    </row>
    <row r="1387" spans="2:8" x14ac:dyDescent="0.2">
      <c r="B1387" s="47" t="s">
        <v>717</v>
      </c>
      <c r="C1387" s="57" t="s">
        <v>901</v>
      </c>
      <c r="D1387" s="43"/>
      <c r="E1387" s="83" t="s">
        <v>23</v>
      </c>
      <c r="F1387" s="22" t="str">
        <f>IF(H1388=1,IF(H1386=H$2,H1386,""),"")</f>
        <v/>
      </c>
      <c r="G1387" s="26"/>
      <c r="H1387" s="21" t="str">
        <f>IF(E$1391="comprobar",COUNTIF(D1386:D1390,"x"),"")</f>
        <v/>
      </c>
    </row>
    <row r="1388" spans="2:8" x14ac:dyDescent="0.2">
      <c r="B1388" s="47" t="s">
        <v>717</v>
      </c>
      <c r="C1388" s="57" t="s">
        <v>902</v>
      </c>
      <c r="D1388" s="43"/>
      <c r="E1388" s="83" t="s">
        <v>24</v>
      </c>
      <c r="F1388" s="23" t="str">
        <f>IF(H1388=-0.33,IF(H1386=H$1,H1386,""),"")</f>
        <v/>
      </c>
      <c r="G1388" s="26"/>
      <c r="H1388" s="24">
        <f>IF(H1387=1,IF(H1386=H$2,1,-0.33),0)</f>
        <v>0</v>
      </c>
    </row>
    <row r="1389" spans="2:8" x14ac:dyDescent="0.2">
      <c r="B1389" s="47" t="s">
        <v>717</v>
      </c>
      <c r="C1389" s="57" t="s">
        <v>903</v>
      </c>
      <c r="D1389" s="43"/>
      <c r="E1389" s="83" t="s">
        <v>25</v>
      </c>
      <c r="F1389" s="28"/>
      <c r="G1389" s="26"/>
      <c r="H1389" s="24"/>
    </row>
    <row r="1390" spans="2:8" x14ac:dyDescent="0.2">
      <c r="B1390" s="47"/>
      <c r="C1390" s="8"/>
      <c r="D1390" s="43"/>
      <c r="E1390" s="83" t="s">
        <v>26</v>
      </c>
      <c r="F1390" s="20"/>
      <c r="G1390" s="19"/>
      <c r="H1390" s="24"/>
    </row>
    <row r="1391" spans="2:8" x14ac:dyDescent="0.2">
      <c r="B1391" s="47"/>
      <c r="C1391" s="8"/>
      <c r="D1391" s="65"/>
      <c r="E1391" s="82"/>
      <c r="F1391" s="20"/>
      <c r="G1391" s="19"/>
      <c r="H1391" s="24"/>
    </row>
    <row r="1392" spans="2:8" x14ac:dyDescent="0.2">
      <c r="B1392" s="47"/>
      <c r="C1392" s="8"/>
      <c r="D1392" s="65"/>
      <c r="E1392" s="82"/>
      <c r="F1392" s="31" t="s">
        <v>8</v>
      </c>
      <c r="G1392" s="19" t="s">
        <v>6</v>
      </c>
      <c r="H1392" s="19" t="s">
        <v>7</v>
      </c>
    </row>
    <row r="1393" spans="2:8" ht="20" x14ac:dyDescent="0.2">
      <c r="B1393" s="47"/>
      <c r="C1393" s="8"/>
      <c r="D1393" s="111"/>
      <c r="E1393" s="111"/>
      <c r="F1393" s="32" t="str">
        <f>IF(E1391="comprobar",H1166+H1160+H1154+H1148+H1142+H1136+H1130+H1124+H1118+H1112+H1172+H1178+H1376+H1352+H1346+H1340+H1334+H1250+H1046+H1010+H1184+H1190+H1196+H1202+H1208+H1214+H1106+H1100+H1094+H1088+H1076+H1082+H1070+H1064+H1058+H1052+H1040+H1034+H1028+H1022+H1016+H1004+H998+H992+H986+H980+H1220+H1226+H1232+H1238+H1244+H1256+H1262+H1268+H1274+H1280+H1286+H1292+H1298+H1304+H1310+H1316+H1322+H1328+H1358+H1364+H1370+H1382+H1388,"")</f>
        <v/>
      </c>
      <c r="G1393" s="19">
        <f>69/2</f>
        <v>34.5</v>
      </c>
      <c r="H1393" s="19"/>
    </row>
    <row r="1394" spans="2:8" ht="17" thickBot="1" x14ac:dyDescent="0.25">
      <c r="B1394" s="98"/>
      <c r="C1394" s="99"/>
      <c r="D1394" s="34"/>
      <c r="E1394" s="9"/>
      <c r="F1394" s="35" t="str">
        <f>IF(F1393&gt;G1393,G1392,H1392)</f>
        <v>APROBADO</v>
      </c>
      <c r="G1394" s="19"/>
      <c r="H1394" s="19"/>
    </row>
    <row r="1395" spans="2:8" ht="29" x14ac:dyDescent="0.35">
      <c r="B1395" s="87" t="s">
        <v>78</v>
      </c>
      <c r="C1395" s="112" t="s">
        <v>1084</v>
      </c>
      <c r="D1395" s="112"/>
      <c r="E1395" s="112"/>
      <c r="F1395" s="113"/>
    </row>
    <row r="1396" spans="2:8" x14ac:dyDescent="0.2">
      <c r="B1396" s="48">
        <v>1</v>
      </c>
      <c r="C1396" s="36" t="s">
        <v>1025</v>
      </c>
      <c r="D1396" s="14"/>
      <c r="E1396" s="14"/>
      <c r="F1396" s="16"/>
      <c r="G1396" s="29"/>
      <c r="H1396" s="15"/>
    </row>
    <row r="1397" spans="2:8" x14ac:dyDescent="0.2">
      <c r="B1397" s="47"/>
      <c r="C1397" s="56" t="s">
        <v>906</v>
      </c>
      <c r="D1397" s="43"/>
      <c r="E1397" s="109" t="s">
        <v>22</v>
      </c>
      <c r="F1397" s="20"/>
      <c r="G1397" s="26"/>
      <c r="H1397" s="21" t="b">
        <f>IF(D1399="x",H$2,H$1)</f>
        <v>0</v>
      </c>
    </row>
    <row r="1398" spans="2:8" x14ac:dyDescent="0.2">
      <c r="B1398" s="47"/>
      <c r="C1398" s="57" t="s">
        <v>1026</v>
      </c>
      <c r="D1398" s="43"/>
      <c r="E1398" s="109" t="s">
        <v>23</v>
      </c>
      <c r="F1398" s="22" t="str">
        <f>IF(H1399=1,IF(H1397=H$2,H1397,""),"")</f>
        <v/>
      </c>
      <c r="G1398" s="26"/>
      <c r="H1398" s="21" t="str">
        <f>IF(E$1696="comprobar",COUNTIF(D1397:D1401,"x"),"")</f>
        <v/>
      </c>
    </row>
    <row r="1399" spans="2:8" x14ac:dyDescent="0.2">
      <c r="B1399" s="47"/>
      <c r="C1399" s="57" t="s">
        <v>1027</v>
      </c>
      <c r="D1399" s="43"/>
      <c r="E1399" s="109" t="s">
        <v>24</v>
      </c>
      <c r="F1399" s="23" t="str">
        <f>IF(H1399=-0.33,IF(H1397=H$1,H1397,""),"")</f>
        <v/>
      </c>
      <c r="G1399" s="26"/>
      <c r="H1399" s="24">
        <f>IF(H1398=1,IF(H1397=H$2,1,-0.33),0)</f>
        <v>0</v>
      </c>
    </row>
    <row r="1400" spans="2:8" x14ac:dyDescent="0.2">
      <c r="B1400" s="47"/>
      <c r="C1400" s="57" t="s">
        <v>907</v>
      </c>
      <c r="D1400" s="43"/>
      <c r="E1400" s="109" t="s">
        <v>25</v>
      </c>
      <c r="F1400" s="20"/>
      <c r="G1400" s="26"/>
      <c r="H1400" s="24"/>
    </row>
    <row r="1401" spans="2:8" x14ac:dyDescent="0.2">
      <c r="B1401" s="47"/>
      <c r="C1401" s="8"/>
      <c r="D1401" s="43"/>
      <c r="E1401" s="109" t="s">
        <v>26</v>
      </c>
      <c r="F1401" s="20"/>
      <c r="G1401" s="19"/>
      <c r="H1401" s="24"/>
    </row>
    <row r="1402" spans="2:8" x14ac:dyDescent="0.2">
      <c r="B1402" s="48">
        <v>2</v>
      </c>
      <c r="C1402" s="36" t="s">
        <v>1028</v>
      </c>
      <c r="D1402" s="44"/>
      <c r="E1402" s="14"/>
      <c r="F1402" s="16"/>
      <c r="G1402" s="29"/>
      <c r="H1402" s="15"/>
    </row>
    <row r="1403" spans="2:8" x14ac:dyDescent="0.2">
      <c r="B1403" s="47"/>
      <c r="C1403" s="56" t="s">
        <v>908</v>
      </c>
      <c r="D1403" s="43"/>
      <c r="E1403" s="109" t="s">
        <v>22</v>
      </c>
      <c r="F1403" s="20"/>
      <c r="G1403" s="26"/>
      <c r="H1403" s="21" t="b">
        <f>IF(D1405="x",H$2,H$1)</f>
        <v>0</v>
      </c>
    </row>
    <row r="1404" spans="2:8" x14ac:dyDescent="0.2">
      <c r="B1404" s="47"/>
      <c r="C1404" s="57" t="s">
        <v>909</v>
      </c>
      <c r="D1404" s="43"/>
      <c r="E1404" s="109" t="s">
        <v>23</v>
      </c>
      <c r="F1404" s="22" t="str">
        <f>IF(H1405=1,IF(H1403=H$2,H1403,""),"")</f>
        <v/>
      </c>
      <c r="G1404" s="26"/>
      <c r="H1404" s="21" t="str">
        <f>IF(E$1696="comprobar",COUNTIF(D1403:D1407,"x"),"")</f>
        <v/>
      </c>
    </row>
    <row r="1405" spans="2:8" x14ac:dyDescent="0.2">
      <c r="B1405" s="47"/>
      <c r="C1405" s="57" t="s">
        <v>910</v>
      </c>
      <c r="D1405" s="43"/>
      <c r="E1405" s="109" t="s">
        <v>24</v>
      </c>
      <c r="F1405" s="23" t="str">
        <f>IF(H1405=-0.33,IF(H1403=H$1,H1403,""),"")</f>
        <v/>
      </c>
      <c r="G1405" s="26"/>
      <c r="H1405" s="24">
        <f>IF(H1404=1,IF(H1403=H$2,1,-0.33),0)</f>
        <v>0</v>
      </c>
    </row>
    <row r="1406" spans="2:8" x14ac:dyDescent="0.2">
      <c r="B1406" s="47"/>
      <c r="C1406" s="57" t="s">
        <v>430</v>
      </c>
      <c r="D1406" s="43"/>
      <c r="E1406" s="109" t="s">
        <v>25</v>
      </c>
      <c r="F1406" s="20"/>
      <c r="G1406" s="26"/>
      <c r="H1406" s="24"/>
    </row>
    <row r="1407" spans="2:8" x14ac:dyDescent="0.2">
      <c r="B1407" s="47"/>
      <c r="C1407" s="8"/>
      <c r="D1407" s="43"/>
      <c r="E1407" s="109" t="s">
        <v>26</v>
      </c>
      <c r="F1407" s="20"/>
      <c r="G1407" s="19"/>
      <c r="H1407" s="24"/>
    </row>
    <row r="1408" spans="2:8" x14ac:dyDescent="0.2">
      <c r="B1408" s="48">
        <v>3</v>
      </c>
      <c r="C1408" s="36" t="s">
        <v>1029</v>
      </c>
      <c r="D1408" s="44"/>
      <c r="E1408" s="14"/>
      <c r="F1408" s="16"/>
      <c r="G1408" s="29"/>
      <c r="H1408" s="15"/>
    </row>
    <row r="1409" spans="2:8" x14ac:dyDescent="0.2">
      <c r="B1409" s="47"/>
      <c r="C1409" s="56" t="s">
        <v>1030</v>
      </c>
      <c r="D1409" s="43"/>
      <c r="E1409" s="109" t="s">
        <v>22</v>
      </c>
      <c r="F1409" s="20"/>
      <c r="G1409" s="26"/>
      <c r="H1409" s="21" t="b">
        <f>IF(D1410="x",H$2,H$1)</f>
        <v>0</v>
      </c>
    </row>
    <row r="1410" spans="2:8" x14ac:dyDescent="0.2">
      <c r="B1410" s="47"/>
      <c r="C1410" s="57" t="s">
        <v>1031</v>
      </c>
      <c r="D1410" s="43"/>
      <c r="E1410" s="109" t="s">
        <v>23</v>
      </c>
      <c r="F1410" s="22" t="str">
        <f>IF(H1411=1,IF(H1409=H$2,H1409,""),"")</f>
        <v/>
      </c>
      <c r="G1410" s="26"/>
      <c r="H1410" s="21" t="str">
        <f>IF(E$1696="comprobar",COUNTIF(D1409:D1413,"x"),"")</f>
        <v/>
      </c>
    </row>
    <row r="1411" spans="2:8" x14ac:dyDescent="0.2">
      <c r="B1411" s="47"/>
      <c r="C1411" s="57" t="s">
        <v>481</v>
      </c>
      <c r="D1411" s="43"/>
      <c r="E1411" s="109" t="s">
        <v>24</v>
      </c>
      <c r="F1411" s="23" t="str">
        <f>IF(H1411=-0.33,IF(H1409=H$1,H1409,""),"")</f>
        <v/>
      </c>
      <c r="G1411" s="26"/>
      <c r="H1411" s="24">
        <f>IF(H1410=1,IF(H1409=H$2,1,-0.33),0)</f>
        <v>0</v>
      </c>
    </row>
    <row r="1412" spans="2:8" x14ac:dyDescent="0.2">
      <c r="B1412" s="47"/>
      <c r="C1412" s="57" t="s">
        <v>911</v>
      </c>
      <c r="D1412" s="43"/>
      <c r="E1412" s="109" t="s">
        <v>25</v>
      </c>
      <c r="F1412" s="20"/>
      <c r="G1412" s="26"/>
      <c r="H1412" s="24"/>
    </row>
    <row r="1413" spans="2:8" x14ac:dyDescent="0.2">
      <c r="B1413" s="47"/>
      <c r="C1413" s="8"/>
      <c r="D1413" s="43"/>
      <c r="E1413" s="109" t="s">
        <v>26</v>
      </c>
      <c r="F1413" s="20"/>
      <c r="G1413" s="19"/>
      <c r="H1413" s="24"/>
    </row>
    <row r="1414" spans="2:8" x14ac:dyDescent="0.2">
      <c r="B1414" s="48">
        <v>4</v>
      </c>
      <c r="C1414" s="36" t="s">
        <v>912</v>
      </c>
      <c r="D1414" s="44"/>
      <c r="E1414" s="14"/>
      <c r="F1414" s="16"/>
      <c r="G1414" s="29"/>
      <c r="H1414" s="15"/>
    </row>
    <row r="1415" spans="2:8" x14ac:dyDescent="0.2">
      <c r="B1415" s="47"/>
      <c r="C1415" s="56" t="s">
        <v>913</v>
      </c>
      <c r="D1415" s="43"/>
      <c r="E1415" s="109" t="s">
        <v>22</v>
      </c>
      <c r="F1415" s="20"/>
      <c r="G1415" s="26"/>
      <c r="H1415" s="21" t="b">
        <f>IF(D1415="x",H$2,H$1)</f>
        <v>0</v>
      </c>
    </row>
    <row r="1416" spans="2:8" x14ac:dyDescent="0.2">
      <c r="B1416" s="47"/>
      <c r="C1416" s="57" t="s">
        <v>678</v>
      </c>
      <c r="D1416" s="43"/>
      <c r="E1416" s="109" t="s">
        <v>23</v>
      </c>
      <c r="F1416" s="22" t="str">
        <f>IF(H1417=1,IF(H1415=H$2,H1415,""),"")</f>
        <v/>
      </c>
      <c r="G1416" s="26"/>
      <c r="H1416" s="21" t="str">
        <f>IF(E$1696="comprobar",COUNTIF(D1415:D1419,"x"),"")</f>
        <v/>
      </c>
    </row>
    <row r="1417" spans="2:8" x14ac:dyDescent="0.2">
      <c r="B1417" s="47"/>
      <c r="C1417" s="57" t="s">
        <v>914</v>
      </c>
      <c r="D1417" s="43"/>
      <c r="E1417" s="109" t="s">
        <v>24</v>
      </c>
      <c r="F1417" s="23" t="str">
        <f>IF(H1417=-0.33,IF(H1415=H$1,H1415,""),"")</f>
        <v/>
      </c>
      <c r="G1417" s="26"/>
      <c r="H1417" s="24">
        <f>IF(H1416=1,IF(H1415=H$2,1,-0.33),0)</f>
        <v>0</v>
      </c>
    </row>
    <row r="1418" spans="2:8" x14ac:dyDescent="0.2">
      <c r="B1418" s="47"/>
      <c r="C1418" s="57" t="s">
        <v>915</v>
      </c>
      <c r="D1418" s="43"/>
      <c r="E1418" s="109" t="s">
        <v>25</v>
      </c>
      <c r="F1418" s="20"/>
      <c r="G1418" s="26"/>
      <c r="H1418" s="24"/>
    </row>
    <row r="1419" spans="2:8" x14ac:dyDescent="0.2">
      <c r="B1419" s="47"/>
      <c r="C1419" s="8"/>
      <c r="D1419" s="43"/>
      <c r="E1419" s="109" t="s">
        <v>26</v>
      </c>
      <c r="F1419" s="20"/>
      <c r="G1419" s="19"/>
      <c r="H1419" s="24"/>
    </row>
    <row r="1420" spans="2:8" x14ac:dyDescent="0.2">
      <c r="B1420" s="48">
        <v>5</v>
      </c>
      <c r="C1420" s="36" t="s">
        <v>1032</v>
      </c>
      <c r="D1420" s="44"/>
      <c r="E1420" s="14"/>
      <c r="F1420" s="16"/>
      <c r="G1420" s="29"/>
      <c r="H1420" s="15"/>
    </row>
    <row r="1421" spans="2:8" x14ac:dyDescent="0.2">
      <c r="B1421" s="47"/>
      <c r="C1421" s="56" t="s">
        <v>916</v>
      </c>
      <c r="D1421" s="43"/>
      <c r="E1421" s="109" t="s">
        <v>22</v>
      </c>
      <c r="F1421" s="20"/>
      <c r="G1421" s="26"/>
      <c r="H1421" s="21" t="b">
        <f>IF(D1423="x",H$2,H$1)</f>
        <v>0</v>
      </c>
    </row>
    <row r="1422" spans="2:8" x14ac:dyDescent="0.2">
      <c r="B1422" s="47"/>
      <c r="C1422" s="57" t="s">
        <v>917</v>
      </c>
      <c r="D1422" s="43"/>
      <c r="E1422" s="109" t="s">
        <v>23</v>
      </c>
      <c r="F1422" s="22" t="str">
        <f>IF(H1423=1,IF(H1421=H$2,H1421,""),"")</f>
        <v/>
      </c>
      <c r="G1422" s="26"/>
      <c r="H1422" s="21" t="str">
        <f>IF(E$1696="comprobar",COUNTIF(D1421:D1425,"x"),"")</f>
        <v/>
      </c>
    </row>
    <row r="1423" spans="2:8" x14ac:dyDescent="0.2">
      <c r="B1423" s="47"/>
      <c r="C1423" s="57" t="s">
        <v>918</v>
      </c>
      <c r="D1423" s="43"/>
      <c r="E1423" s="109" t="s">
        <v>24</v>
      </c>
      <c r="F1423" s="23" t="str">
        <f>IF(H1423=-0.33,IF(H1421=H$1,H1421,""),"")</f>
        <v/>
      </c>
      <c r="G1423" s="26"/>
      <c r="H1423" s="24">
        <f>IF(H1422=1,IF(H1421=H$2,1,-0.33),0)</f>
        <v>0</v>
      </c>
    </row>
    <row r="1424" spans="2:8" x14ac:dyDescent="0.2">
      <c r="B1424" s="47"/>
      <c r="C1424" s="57" t="s">
        <v>1033</v>
      </c>
      <c r="D1424" s="43"/>
      <c r="E1424" s="109" t="s">
        <v>25</v>
      </c>
      <c r="F1424" s="20"/>
      <c r="G1424" s="26"/>
      <c r="H1424" s="24"/>
    </row>
    <row r="1425" spans="2:8" x14ac:dyDescent="0.2">
      <c r="B1425" s="47"/>
      <c r="C1425" s="8"/>
      <c r="D1425" s="43"/>
      <c r="E1425" s="109" t="s">
        <v>26</v>
      </c>
      <c r="F1425" s="20"/>
      <c r="G1425" s="19"/>
      <c r="H1425" s="24"/>
    </row>
    <row r="1426" spans="2:8" x14ac:dyDescent="0.2">
      <c r="B1426" s="48">
        <v>6</v>
      </c>
      <c r="C1426" s="36" t="s">
        <v>1034</v>
      </c>
      <c r="D1426" s="44"/>
      <c r="E1426" s="14"/>
      <c r="F1426" s="16"/>
      <c r="G1426" s="29"/>
      <c r="H1426" s="15"/>
    </row>
    <row r="1427" spans="2:8" x14ac:dyDescent="0.2">
      <c r="B1427" s="47"/>
      <c r="C1427" s="56" t="s">
        <v>1035</v>
      </c>
      <c r="D1427" s="43"/>
      <c r="E1427" s="109" t="s">
        <v>22</v>
      </c>
      <c r="F1427" s="20"/>
      <c r="G1427" s="26"/>
      <c r="H1427" s="21" t="b">
        <f>IF(D1427="x",H$2,H$1)</f>
        <v>0</v>
      </c>
    </row>
    <row r="1428" spans="2:8" x14ac:dyDescent="0.2">
      <c r="B1428" s="47"/>
      <c r="C1428" s="57" t="s">
        <v>1036</v>
      </c>
      <c r="D1428" s="43"/>
      <c r="E1428" s="109" t="s">
        <v>23</v>
      </c>
      <c r="F1428" s="22" t="str">
        <f>IF(H1429=1,IF(H1427=H$2,H1427,""),"")</f>
        <v/>
      </c>
      <c r="G1428" s="26"/>
      <c r="H1428" s="21" t="str">
        <f>IF(E$1696="comprobar",COUNTIF(D1427:D1431,"x"),"")</f>
        <v/>
      </c>
    </row>
    <row r="1429" spans="2:8" x14ac:dyDescent="0.2">
      <c r="B1429" s="47"/>
      <c r="C1429" s="57" t="s">
        <v>919</v>
      </c>
      <c r="D1429" s="43"/>
      <c r="E1429" s="109" t="s">
        <v>24</v>
      </c>
      <c r="F1429" s="23" t="str">
        <f>IF(H1429=-0.33,IF(H1427=H$1,H1427,""),"")</f>
        <v/>
      </c>
      <c r="G1429" s="26"/>
      <c r="H1429" s="24">
        <f>IF(H1428=1,IF(H1427=H$2,1,-0.33),0)</f>
        <v>0</v>
      </c>
    </row>
    <row r="1430" spans="2:8" x14ac:dyDescent="0.2">
      <c r="B1430" s="47"/>
      <c r="C1430" s="57" t="s">
        <v>920</v>
      </c>
      <c r="D1430" s="43"/>
      <c r="E1430" s="109" t="s">
        <v>25</v>
      </c>
      <c r="F1430" s="20"/>
      <c r="G1430" s="26"/>
      <c r="H1430" s="24"/>
    </row>
    <row r="1431" spans="2:8" x14ac:dyDescent="0.2">
      <c r="B1431" s="47"/>
      <c r="C1431" s="8"/>
      <c r="D1431" s="43"/>
      <c r="E1431" s="109" t="s">
        <v>26</v>
      </c>
      <c r="F1431" s="20"/>
      <c r="G1431" s="19"/>
      <c r="H1431" s="24"/>
    </row>
    <row r="1432" spans="2:8" x14ac:dyDescent="0.2">
      <c r="B1432" s="48">
        <v>7</v>
      </c>
      <c r="C1432" s="36" t="s">
        <v>1037</v>
      </c>
      <c r="D1432" s="44"/>
      <c r="E1432" s="14"/>
      <c r="F1432" s="16"/>
      <c r="G1432" s="29"/>
      <c r="H1432" s="15"/>
    </row>
    <row r="1433" spans="2:8" x14ac:dyDescent="0.2">
      <c r="B1433" s="47"/>
      <c r="C1433" s="56" t="s">
        <v>430</v>
      </c>
      <c r="D1433" s="43"/>
      <c r="E1433" s="109" t="s">
        <v>22</v>
      </c>
      <c r="F1433" s="20"/>
      <c r="G1433" s="26"/>
      <c r="H1433" s="21" t="b">
        <f>IF(D1435="x",H$2,H$1)</f>
        <v>0</v>
      </c>
    </row>
    <row r="1434" spans="2:8" x14ac:dyDescent="0.2">
      <c r="B1434" s="47"/>
      <c r="C1434" s="57" t="s">
        <v>1038</v>
      </c>
      <c r="D1434" s="43"/>
      <c r="E1434" s="109" t="s">
        <v>23</v>
      </c>
      <c r="F1434" s="22" t="str">
        <f>IF(H1435=1,IF(H1433=H$2,H1433,""),"")</f>
        <v/>
      </c>
      <c r="G1434" s="26"/>
      <c r="H1434" s="21" t="str">
        <f>IF(E$1696="comprobar",COUNTIF(D1433:D1437,"x"),"")</f>
        <v/>
      </c>
    </row>
    <row r="1435" spans="2:8" x14ac:dyDescent="0.2">
      <c r="B1435" s="47"/>
      <c r="C1435" s="57" t="s">
        <v>921</v>
      </c>
      <c r="D1435" s="43"/>
      <c r="E1435" s="109" t="s">
        <v>24</v>
      </c>
      <c r="F1435" s="23" t="str">
        <f>IF(H1435=-0.33,IF(H1433=H$1,H1433,""),"")</f>
        <v/>
      </c>
      <c r="G1435" s="26"/>
      <c r="H1435" s="24">
        <f>IF(H1434=1,IF(H1433=H$2,1,-0.33),0)</f>
        <v>0</v>
      </c>
    </row>
    <row r="1436" spans="2:8" x14ac:dyDescent="0.2">
      <c r="B1436" s="47"/>
      <c r="C1436" s="57" t="s">
        <v>1039</v>
      </c>
      <c r="D1436" s="43"/>
      <c r="E1436" s="109" t="s">
        <v>25</v>
      </c>
      <c r="F1436" s="20"/>
      <c r="G1436" s="26"/>
      <c r="H1436" s="24"/>
    </row>
    <row r="1437" spans="2:8" x14ac:dyDescent="0.2">
      <c r="B1437" s="47"/>
      <c r="C1437" s="8"/>
      <c r="D1437" s="43"/>
      <c r="E1437" s="109" t="s">
        <v>26</v>
      </c>
      <c r="F1437" s="20"/>
      <c r="G1437" s="19"/>
      <c r="H1437" s="24"/>
    </row>
    <row r="1438" spans="2:8" x14ac:dyDescent="0.2">
      <c r="B1438" s="48">
        <v>8</v>
      </c>
      <c r="C1438" s="36" t="s">
        <v>922</v>
      </c>
      <c r="D1438" s="44"/>
      <c r="E1438" s="14"/>
      <c r="F1438" s="16"/>
      <c r="G1438" s="29"/>
      <c r="H1438" s="15"/>
    </row>
    <row r="1439" spans="2:8" x14ac:dyDescent="0.2">
      <c r="B1439" s="47"/>
      <c r="C1439" s="56" t="s">
        <v>923</v>
      </c>
      <c r="D1439" s="43"/>
      <c r="E1439" s="109" t="s">
        <v>22</v>
      </c>
      <c r="F1439" s="20"/>
      <c r="G1439" s="26"/>
      <c r="H1439" s="21" t="b">
        <f>IF(D1440="x",H$2,H$1)</f>
        <v>0</v>
      </c>
    </row>
    <row r="1440" spans="2:8" x14ac:dyDescent="0.2">
      <c r="B1440" s="47"/>
      <c r="C1440" s="57" t="s">
        <v>924</v>
      </c>
      <c r="D1440" s="43"/>
      <c r="E1440" s="109" t="s">
        <v>23</v>
      </c>
      <c r="F1440" s="22" t="str">
        <f>IF(H1441=1,IF(H1439=H$2,H1439,""),"")</f>
        <v/>
      </c>
      <c r="G1440" s="26"/>
      <c r="H1440" s="21" t="str">
        <f>IF(E$1696="comprobar",COUNTIF(D1439:D1443,"x"),"")</f>
        <v/>
      </c>
    </row>
    <row r="1441" spans="2:8" x14ac:dyDescent="0.2">
      <c r="B1441" s="47"/>
      <c r="C1441" s="57" t="s">
        <v>430</v>
      </c>
      <c r="D1441" s="43"/>
      <c r="E1441" s="109" t="s">
        <v>24</v>
      </c>
      <c r="F1441" s="23" t="str">
        <f>IF(H1441=-0.33,IF(H1439=H$1,H1439,""),"")</f>
        <v/>
      </c>
      <c r="G1441" s="26"/>
      <c r="H1441" s="24">
        <f>IF(H1440=1,IF(H1439=H$2,1,-0.33),0)</f>
        <v>0</v>
      </c>
    </row>
    <row r="1442" spans="2:8" x14ac:dyDescent="0.2">
      <c r="B1442" s="47"/>
      <c r="C1442" s="57" t="s">
        <v>1040</v>
      </c>
      <c r="D1442" s="43"/>
      <c r="E1442" s="109" t="s">
        <v>25</v>
      </c>
      <c r="F1442" s="20"/>
      <c r="G1442" s="26"/>
      <c r="H1442" s="24"/>
    </row>
    <row r="1443" spans="2:8" x14ac:dyDescent="0.2">
      <c r="B1443" s="47"/>
      <c r="C1443" s="8"/>
      <c r="D1443" s="43"/>
      <c r="E1443" s="109" t="s">
        <v>26</v>
      </c>
      <c r="F1443" s="20"/>
      <c r="G1443" s="19"/>
      <c r="H1443" s="24"/>
    </row>
    <row r="1444" spans="2:8" x14ac:dyDescent="0.2">
      <c r="B1444" s="48">
        <v>9</v>
      </c>
      <c r="C1444" s="36" t="s">
        <v>925</v>
      </c>
      <c r="D1444" s="44"/>
      <c r="E1444" s="14"/>
      <c r="F1444" s="16"/>
      <c r="G1444" s="29"/>
      <c r="H1444" s="15"/>
    </row>
    <row r="1445" spans="2:8" x14ac:dyDescent="0.2">
      <c r="B1445" s="47"/>
      <c r="C1445" s="56" t="s">
        <v>926</v>
      </c>
      <c r="D1445" s="43"/>
      <c r="E1445" s="109" t="s">
        <v>22</v>
      </c>
      <c r="F1445" s="20"/>
      <c r="G1445" s="26"/>
      <c r="H1445" s="21" t="b">
        <f>IF(D1447="x",H$2,H$1)</f>
        <v>0</v>
      </c>
    </row>
    <row r="1446" spans="2:8" x14ac:dyDescent="0.2">
      <c r="B1446" s="47"/>
      <c r="C1446" s="57" t="s">
        <v>927</v>
      </c>
      <c r="D1446" s="43"/>
      <c r="E1446" s="109" t="s">
        <v>23</v>
      </c>
      <c r="F1446" s="22" t="str">
        <f>IF(H1447=1,IF(H1445=H$2,H1445,""),"")</f>
        <v/>
      </c>
      <c r="G1446" s="26"/>
      <c r="H1446" s="21" t="str">
        <f>IF(E$1696="comprobar",COUNTIF(D1445:D1449,"x"),"")</f>
        <v/>
      </c>
    </row>
    <row r="1447" spans="2:8" x14ac:dyDescent="0.2">
      <c r="B1447" s="47"/>
      <c r="C1447" s="57" t="s">
        <v>928</v>
      </c>
      <c r="D1447" s="43"/>
      <c r="E1447" s="109" t="s">
        <v>24</v>
      </c>
      <c r="F1447" s="23" t="str">
        <f>IF(H1447=-0.33,IF(H1445=H$1,H1445,""),"")</f>
        <v/>
      </c>
      <c r="G1447" s="26"/>
      <c r="H1447" s="24">
        <f>IF(H1446=1,IF(H1445=H$2,1,-0.33),0)</f>
        <v>0</v>
      </c>
    </row>
    <row r="1448" spans="2:8" x14ac:dyDescent="0.2">
      <c r="B1448" s="47"/>
      <c r="C1448" s="57" t="s">
        <v>929</v>
      </c>
      <c r="D1448" s="43"/>
      <c r="E1448" s="109" t="s">
        <v>25</v>
      </c>
      <c r="F1448" s="20"/>
      <c r="G1448" s="26"/>
      <c r="H1448" s="24"/>
    </row>
    <row r="1449" spans="2:8" x14ac:dyDescent="0.2">
      <c r="B1449" s="47"/>
      <c r="C1449" s="8"/>
      <c r="D1449" s="43"/>
      <c r="E1449" s="109" t="s">
        <v>26</v>
      </c>
      <c r="F1449" s="12"/>
      <c r="G1449" s="19"/>
      <c r="H1449" s="24"/>
    </row>
    <row r="1450" spans="2:8" x14ac:dyDescent="0.2">
      <c r="B1450" s="48">
        <v>10</v>
      </c>
      <c r="C1450" s="36" t="s">
        <v>1041</v>
      </c>
      <c r="D1450" s="44"/>
      <c r="E1450" s="14"/>
      <c r="F1450" s="30"/>
      <c r="G1450" s="29"/>
      <c r="H1450" s="15"/>
    </row>
    <row r="1451" spans="2:8" x14ac:dyDescent="0.2">
      <c r="B1451" s="47"/>
      <c r="C1451" s="56" t="s">
        <v>930</v>
      </c>
      <c r="D1451" s="43"/>
      <c r="E1451" s="109" t="s">
        <v>22</v>
      </c>
      <c r="F1451" s="27"/>
      <c r="G1451" s="26"/>
      <c r="H1451" s="21" t="b">
        <f>IF(D1451="x",H$2,H$1)</f>
        <v>0</v>
      </c>
    </row>
    <row r="1452" spans="2:8" x14ac:dyDescent="0.2">
      <c r="B1452" s="47"/>
      <c r="C1452" s="57" t="s">
        <v>931</v>
      </c>
      <c r="D1452" s="43"/>
      <c r="E1452" s="109" t="s">
        <v>23</v>
      </c>
      <c r="F1452" s="22" t="str">
        <f>IF(H1453=1,IF(H1451=H$2,H1451,""),"")</f>
        <v/>
      </c>
      <c r="G1452" s="26"/>
      <c r="H1452" s="21" t="str">
        <f>IF(E$1696="comprobar",COUNTIF(D1451:D1455,"x"),"")</f>
        <v/>
      </c>
    </row>
    <row r="1453" spans="2:8" x14ac:dyDescent="0.2">
      <c r="B1453" s="47"/>
      <c r="C1453" s="57" t="s">
        <v>1042</v>
      </c>
      <c r="D1453" s="43"/>
      <c r="E1453" s="109" t="s">
        <v>24</v>
      </c>
      <c r="F1453" s="23" t="str">
        <f>IF(H1453=-0.33,IF(H1451=H$1,H1451,""),"")</f>
        <v/>
      </c>
      <c r="G1453" s="26"/>
      <c r="H1453" s="24">
        <f>IF(H1452=1,IF(H1451=H$2,1,-0.33),0)</f>
        <v>0</v>
      </c>
    </row>
    <row r="1454" spans="2:8" x14ac:dyDescent="0.2">
      <c r="B1454" s="47"/>
      <c r="C1454" s="57" t="s">
        <v>932</v>
      </c>
      <c r="D1454" s="43"/>
      <c r="E1454" s="109" t="s">
        <v>25</v>
      </c>
      <c r="F1454" s="28"/>
      <c r="G1454" s="26"/>
      <c r="H1454" s="24"/>
    </row>
    <row r="1455" spans="2:8" x14ac:dyDescent="0.2">
      <c r="B1455" s="47"/>
      <c r="C1455" s="8"/>
      <c r="D1455" s="43"/>
      <c r="E1455" s="109" t="s">
        <v>26</v>
      </c>
      <c r="F1455" s="28"/>
      <c r="G1455" s="19"/>
      <c r="H1455" s="24"/>
    </row>
    <row r="1456" spans="2:8" x14ac:dyDescent="0.2">
      <c r="B1456" s="48">
        <v>11</v>
      </c>
      <c r="C1456" s="36" t="s">
        <v>1043</v>
      </c>
      <c r="D1456" s="44"/>
      <c r="E1456" s="14"/>
      <c r="F1456" s="30"/>
      <c r="G1456" s="29"/>
      <c r="H1456" s="15"/>
    </row>
    <row r="1457" spans="2:8" x14ac:dyDescent="0.2">
      <c r="B1457" s="47"/>
      <c r="C1457" s="56" t="s">
        <v>933</v>
      </c>
      <c r="D1457" s="43"/>
      <c r="E1457" s="109" t="s">
        <v>22</v>
      </c>
      <c r="F1457" s="27"/>
      <c r="G1457" s="26"/>
      <c r="H1457" s="21" t="b">
        <f>IF(D1457="x",H$2,H$1)</f>
        <v>0</v>
      </c>
    </row>
    <row r="1458" spans="2:8" x14ac:dyDescent="0.2">
      <c r="B1458" s="47"/>
      <c r="C1458" s="57" t="s">
        <v>934</v>
      </c>
      <c r="D1458" s="43"/>
      <c r="E1458" s="109" t="s">
        <v>23</v>
      </c>
      <c r="F1458" s="22" t="str">
        <f>IF(H1459=1,IF(H1457=H$2,H1457,""),"")</f>
        <v/>
      </c>
      <c r="G1458" s="26"/>
      <c r="H1458" s="21" t="str">
        <f>IF(E$1696="comprobar",COUNTIF(D1457:D1461,"x"),"")</f>
        <v/>
      </c>
    </row>
    <row r="1459" spans="2:8" x14ac:dyDescent="0.2">
      <c r="B1459" s="47"/>
      <c r="C1459" s="57" t="s">
        <v>935</v>
      </c>
      <c r="D1459" s="43"/>
      <c r="E1459" s="109" t="s">
        <v>24</v>
      </c>
      <c r="F1459" s="23" t="str">
        <f>IF(H1459=-0.33,IF(H1457=H$1,H1457,""),"")</f>
        <v/>
      </c>
      <c r="G1459" s="26"/>
      <c r="H1459" s="24">
        <f>IF(H1458=1,IF(H1457=H$2,1,-0.33),0)</f>
        <v>0</v>
      </c>
    </row>
    <row r="1460" spans="2:8" x14ac:dyDescent="0.2">
      <c r="B1460" s="47"/>
      <c r="C1460" s="57" t="s">
        <v>430</v>
      </c>
      <c r="D1460" s="43"/>
      <c r="E1460" s="109" t="s">
        <v>25</v>
      </c>
      <c r="F1460" s="20"/>
      <c r="G1460" s="26"/>
      <c r="H1460" s="24"/>
    </row>
    <row r="1461" spans="2:8" x14ac:dyDescent="0.2">
      <c r="B1461" s="47"/>
      <c r="C1461" s="8"/>
      <c r="D1461" s="43"/>
      <c r="E1461" s="109" t="s">
        <v>26</v>
      </c>
      <c r="F1461" s="28"/>
      <c r="G1461" s="19"/>
      <c r="H1461" s="24"/>
    </row>
    <row r="1462" spans="2:8" x14ac:dyDescent="0.2">
      <c r="B1462" s="48">
        <v>12</v>
      </c>
      <c r="C1462" s="36" t="s">
        <v>936</v>
      </c>
      <c r="D1462" s="44"/>
      <c r="E1462" s="14"/>
      <c r="F1462" s="30"/>
      <c r="G1462" s="29"/>
      <c r="H1462" s="15"/>
    </row>
    <row r="1463" spans="2:8" x14ac:dyDescent="0.2">
      <c r="B1463" s="47"/>
      <c r="C1463" s="56" t="s">
        <v>1044</v>
      </c>
      <c r="D1463" s="43"/>
      <c r="E1463" s="109" t="s">
        <v>22</v>
      </c>
      <c r="F1463" s="27"/>
      <c r="G1463" s="26"/>
      <c r="H1463" s="21" t="b">
        <f>IF(D1466="x",H$2,H$1)</f>
        <v>0</v>
      </c>
    </row>
    <row r="1464" spans="2:8" x14ac:dyDescent="0.2">
      <c r="B1464" s="47"/>
      <c r="C1464" s="57" t="s">
        <v>1045</v>
      </c>
      <c r="D1464" s="43"/>
      <c r="E1464" s="109" t="s">
        <v>23</v>
      </c>
      <c r="F1464" s="22" t="str">
        <f>IF(H1465=1,IF(H1463=H$2,H1463,""),"")</f>
        <v/>
      </c>
      <c r="G1464" s="26"/>
      <c r="H1464" s="21" t="str">
        <f>IF(E$1696="comprobar",COUNTIF(D1463:D1467,"x"),"")</f>
        <v/>
      </c>
    </row>
    <row r="1465" spans="2:8" x14ac:dyDescent="0.2">
      <c r="B1465" s="47"/>
      <c r="C1465" s="57" t="s">
        <v>1046</v>
      </c>
      <c r="D1465" s="43"/>
      <c r="E1465" s="109" t="s">
        <v>24</v>
      </c>
      <c r="F1465" s="23" t="str">
        <f>IF(H1465=-0.33,IF(H1463=H$1,H1463,""),"")</f>
        <v/>
      </c>
      <c r="G1465" s="26"/>
      <c r="H1465" s="24">
        <f>IF(H1464=1,IF(H1463=H$2,1,-0.33),0)</f>
        <v>0</v>
      </c>
    </row>
    <row r="1466" spans="2:8" x14ac:dyDescent="0.2">
      <c r="B1466" s="47"/>
      <c r="C1466" s="57" t="s">
        <v>937</v>
      </c>
      <c r="D1466" s="43"/>
      <c r="E1466" s="109" t="s">
        <v>25</v>
      </c>
      <c r="F1466" s="28"/>
      <c r="G1466" s="26"/>
      <c r="H1466" s="24"/>
    </row>
    <row r="1467" spans="2:8" x14ac:dyDescent="0.2">
      <c r="B1467" s="47"/>
      <c r="C1467" s="8"/>
      <c r="D1467" s="43"/>
      <c r="E1467" s="109" t="s">
        <v>26</v>
      </c>
      <c r="F1467" s="28"/>
      <c r="G1467" s="19"/>
      <c r="H1467" s="24"/>
    </row>
    <row r="1468" spans="2:8" x14ac:dyDescent="0.2">
      <c r="B1468" s="48">
        <v>13</v>
      </c>
      <c r="C1468" s="36" t="s">
        <v>1047</v>
      </c>
      <c r="D1468" s="44"/>
      <c r="E1468" s="14"/>
      <c r="F1468" s="16"/>
      <c r="G1468" s="29"/>
      <c r="H1468" s="15"/>
    </row>
    <row r="1469" spans="2:8" x14ac:dyDescent="0.2">
      <c r="B1469" s="47"/>
      <c r="C1469" s="56" t="s">
        <v>1048</v>
      </c>
      <c r="D1469" s="43"/>
      <c r="E1469" s="109" t="s">
        <v>22</v>
      </c>
      <c r="F1469" s="20"/>
      <c r="G1469" s="26"/>
      <c r="H1469" s="21" t="b">
        <f>IF(D1470="x",H$2,H$1)</f>
        <v>0</v>
      </c>
    </row>
    <row r="1470" spans="2:8" x14ac:dyDescent="0.2">
      <c r="B1470" s="47"/>
      <c r="C1470" s="57" t="s">
        <v>938</v>
      </c>
      <c r="D1470" s="43"/>
      <c r="E1470" s="109" t="s">
        <v>23</v>
      </c>
      <c r="F1470" s="22" t="str">
        <f>IF(H1471=1,IF(H1469=H$2,H1469,""),"")</f>
        <v/>
      </c>
      <c r="G1470" s="26"/>
      <c r="H1470" s="21" t="str">
        <f>IF(E$1696="comprobar",COUNTIF(D1469:D1473,"x"),"")</f>
        <v/>
      </c>
    </row>
    <row r="1471" spans="2:8" x14ac:dyDescent="0.2">
      <c r="B1471" s="47"/>
      <c r="C1471" s="57" t="s">
        <v>939</v>
      </c>
      <c r="D1471" s="43"/>
      <c r="E1471" s="109" t="s">
        <v>24</v>
      </c>
      <c r="F1471" s="23" t="str">
        <f>IF(H1471=-0.33,IF(H1469=H$1,H1469,""),"")</f>
        <v/>
      </c>
      <c r="G1471" s="26"/>
      <c r="H1471" s="24">
        <f>IF(H1470=1,IF(H1469=H$2,1,-0.33),0)</f>
        <v>0</v>
      </c>
    </row>
    <row r="1472" spans="2:8" x14ac:dyDescent="0.2">
      <c r="B1472" s="47"/>
      <c r="C1472" s="57" t="s">
        <v>940</v>
      </c>
      <c r="D1472" s="43"/>
      <c r="E1472" s="109" t="s">
        <v>25</v>
      </c>
      <c r="F1472" s="20"/>
      <c r="G1472" s="26"/>
      <c r="H1472" s="24"/>
    </row>
    <row r="1473" spans="2:8" x14ac:dyDescent="0.2">
      <c r="B1473" s="47"/>
      <c r="C1473" s="8"/>
      <c r="D1473" s="43"/>
      <c r="E1473" s="109" t="s">
        <v>26</v>
      </c>
      <c r="F1473" s="20"/>
      <c r="G1473" s="19"/>
      <c r="H1473" s="24"/>
    </row>
    <row r="1474" spans="2:8" x14ac:dyDescent="0.2">
      <c r="B1474" s="48">
        <v>14</v>
      </c>
      <c r="C1474" s="36" t="s">
        <v>941</v>
      </c>
      <c r="D1474" s="44"/>
      <c r="E1474" s="14"/>
      <c r="F1474" s="30"/>
      <c r="G1474" s="29"/>
      <c r="H1474" s="15"/>
    </row>
    <row r="1475" spans="2:8" x14ac:dyDescent="0.2">
      <c r="B1475" s="47"/>
      <c r="C1475" s="56" t="s">
        <v>1049</v>
      </c>
      <c r="D1475" s="43"/>
      <c r="E1475" s="109" t="s">
        <v>22</v>
      </c>
      <c r="F1475" s="27"/>
      <c r="G1475" s="26"/>
      <c r="H1475" s="21" t="b">
        <f>IF(D1478="x",H$2,H$1)</f>
        <v>0</v>
      </c>
    </row>
    <row r="1476" spans="2:8" x14ac:dyDescent="0.2">
      <c r="B1476" s="47"/>
      <c r="C1476" s="57" t="s">
        <v>942</v>
      </c>
      <c r="D1476" s="43"/>
      <c r="E1476" s="109" t="s">
        <v>23</v>
      </c>
      <c r="F1476" s="22" t="str">
        <f>IF(H1477=1,IF(H1475=H$2,H1475,""),"")</f>
        <v/>
      </c>
      <c r="G1476" s="26"/>
      <c r="H1476" s="21" t="str">
        <f>IF(E$1696="comprobar",COUNTIF(D1475:D1479,"x"),"")</f>
        <v/>
      </c>
    </row>
    <row r="1477" spans="2:8" x14ac:dyDescent="0.2">
      <c r="B1477" s="47"/>
      <c r="C1477" s="57" t="s">
        <v>943</v>
      </c>
      <c r="D1477" s="43"/>
      <c r="E1477" s="109" t="s">
        <v>24</v>
      </c>
      <c r="F1477" s="23" t="str">
        <f>IF(H1477=-0.33,IF(H1475=H$1,H1475,""),"")</f>
        <v/>
      </c>
      <c r="G1477" s="26"/>
      <c r="H1477" s="24">
        <f>IF(H1476=1,IF(H1475=H$2,1,-0.33),0)</f>
        <v>0</v>
      </c>
    </row>
    <row r="1478" spans="2:8" x14ac:dyDescent="0.2">
      <c r="B1478" s="47"/>
      <c r="C1478" s="57" t="s">
        <v>944</v>
      </c>
      <c r="D1478" s="43"/>
      <c r="E1478" s="109" t="s">
        <v>25</v>
      </c>
      <c r="F1478" s="28"/>
      <c r="G1478" s="26"/>
      <c r="H1478" s="24"/>
    </row>
    <row r="1479" spans="2:8" x14ac:dyDescent="0.2">
      <c r="B1479" s="47"/>
      <c r="C1479" s="8"/>
      <c r="D1479" s="43"/>
      <c r="E1479" s="109" t="s">
        <v>26</v>
      </c>
      <c r="F1479" s="28"/>
      <c r="G1479" s="19"/>
      <c r="H1479" s="24"/>
    </row>
    <row r="1480" spans="2:8" x14ac:dyDescent="0.2">
      <c r="B1480" s="48">
        <v>15</v>
      </c>
      <c r="C1480" s="36" t="s">
        <v>1050</v>
      </c>
      <c r="D1480" s="44"/>
      <c r="E1480" s="14"/>
      <c r="F1480" s="30"/>
      <c r="G1480" s="29"/>
      <c r="H1480" s="15"/>
    </row>
    <row r="1481" spans="2:8" x14ac:dyDescent="0.2">
      <c r="B1481" s="47"/>
      <c r="C1481" s="56" t="s">
        <v>945</v>
      </c>
      <c r="D1481" s="43"/>
      <c r="E1481" s="109" t="s">
        <v>22</v>
      </c>
      <c r="F1481" s="28"/>
      <c r="G1481" s="26"/>
      <c r="H1481" s="21" t="b">
        <f>IF(D1482="x",H$2,H$1)</f>
        <v>0</v>
      </c>
    </row>
    <row r="1482" spans="2:8" x14ac:dyDescent="0.2">
      <c r="B1482" s="47"/>
      <c r="C1482" s="57" t="s">
        <v>946</v>
      </c>
      <c r="D1482" s="43"/>
      <c r="E1482" s="109" t="s">
        <v>23</v>
      </c>
      <c r="F1482" s="22" t="str">
        <f>IF(H1483=1,IF(H1481=H$2,H1481,""),"")</f>
        <v/>
      </c>
      <c r="G1482" s="26"/>
      <c r="H1482" s="21" t="str">
        <f>IF(E$1696="comprobar",COUNTIF(D1481:D1485,"x"),"")</f>
        <v/>
      </c>
    </row>
    <row r="1483" spans="2:8" x14ac:dyDescent="0.2">
      <c r="B1483" s="47"/>
      <c r="C1483" s="57" t="s">
        <v>430</v>
      </c>
      <c r="D1483" s="43"/>
      <c r="E1483" s="109" t="s">
        <v>24</v>
      </c>
      <c r="F1483" s="23" t="str">
        <f>IF(H1483=-0.33,IF(H1481=H$1,H1481,""),"")</f>
        <v/>
      </c>
      <c r="G1483" s="26"/>
      <c r="H1483" s="24">
        <f>IF(H1482=1,IF(H1481=H$2,1,-0.33),0)</f>
        <v>0</v>
      </c>
    </row>
    <row r="1484" spans="2:8" x14ac:dyDescent="0.2">
      <c r="B1484" s="47"/>
      <c r="C1484" s="57" t="s">
        <v>947</v>
      </c>
      <c r="D1484" s="43"/>
      <c r="E1484" s="109" t="s">
        <v>25</v>
      </c>
      <c r="F1484" s="28"/>
      <c r="G1484" s="26"/>
      <c r="H1484" s="24"/>
    </row>
    <row r="1485" spans="2:8" x14ac:dyDescent="0.2">
      <c r="B1485" s="47"/>
      <c r="C1485" s="8"/>
      <c r="D1485" s="43"/>
      <c r="E1485" s="109" t="s">
        <v>26</v>
      </c>
      <c r="F1485" s="28"/>
      <c r="G1485" s="19"/>
      <c r="H1485" s="24"/>
    </row>
    <row r="1486" spans="2:8" x14ac:dyDescent="0.2">
      <c r="B1486" s="48">
        <v>16</v>
      </c>
      <c r="C1486" s="36" t="s">
        <v>1051</v>
      </c>
      <c r="D1486" s="44"/>
      <c r="E1486" s="14"/>
      <c r="F1486" s="30"/>
      <c r="G1486" s="29"/>
      <c r="H1486" s="15"/>
    </row>
    <row r="1487" spans="2:8" x14ac:dyDescent="0.2">
      <c r="B1487" s="47"/>
      <c r="C1487" s="56" t="s">
        <v>948</v>
      </c>
      <c r="D1487" s="43"/>
      <c r="E1487" s="109" t="s">
        <v>22</v>
      </c>
      <c r="F1487" s="27"/>
      <c r="G1487" s="26"/>
      <c r="H1487" s="21" t="b">
        <f>IF(D1490="x",H$2,H$1)</f>
        <v>0</v>
      </c>
    </row>
    <row r="1488" spans="2:8" x14ac:dyDescent="0.2">
      <c r="B1488" s="47"/>
      <c r="C1488" s="57" t="s">
        <v>955</v>
      </c>
      <c r="D1488" s="43"/>
      <c r="E1488" s="109" t="s">
        <v>23</v>
      </c>
      <c r="F1488" s="22" t="str">
        <f>IF(H1489=1,IF(H1487=H$2,H1487,""),"")</f>
        <v/>
      </c>
      <c r="G1488" s="26"/>
      <c r="H1488" s="21" t="str">
        <f>IF(E$1696="comprobar",COUNTIF(D1487:D1491,"x"),"")</f>
        <v/>
      </c>
    </row>
    <row r="1489" spans="2:8" x14ac:dyDescent="0.2">
      <c r="B1489" s="47"/>
      <c r="C1489" s="57" t="s">
        <v>1052</v>
      </c>
      <c r="D1489" s="43"/>
      <c r="E1489" s="109" t="s">
        <v>24</v>
      </c>
      <c r="F1489" s="23" t="str">
        <f>IF(H1489=-0.33,IF(H1487=H$1,H1487,""),"")</f>
        <v/>
      </c>
      <c r="G1489" s="26"/>
      <c r="H1489" s="24">
        <f>IF(H1488=1,IF(H1487=H$2,1,-0.33),0)</f>
        <v>0</v>
      </c>
    </row>
    <row r="1490" spans="2:8" x14ac:dyDescent="0.2">
      <c r="B1490" s="47"/>
      <c r="C1490" s="57" t="s">
        <v>949</v>
      </c>
      <c r="D1490" s="43"/>
      <c r="E1490" s="109" t="s">
        <v>25</v>
      </c>
      <c r="F1490" s="28"/>
      <c r="G1490" s="26"/>
      <c r="H1490" s="24"/>
    </row>
    <row r="1491" spans="2:8" x14ac:dyDescent="0.2">
      <c r="B1491" s="47"/>
      <c r="C1491" s="8"/>
      <c r="D1491" s="43"/>
      <c r="E1491" s="109" t="s">
        <v>26</v>
      </c>
      <c r="F1491" s="28"/>
      <c r="G1491" s="19"/>
      <c r="H1491" s="24"/>
    </row>
    <row r="1492" spans="2:8" x14ac:dyDescent="0.2">
      <c r="B1492" s="48">
        <v>17</v>
      </c>
      <c r="C1492" s="36" t="s">
        <v>950</v>
      </c>
      <c r="D1492" s="44"/>
      <c r="E1492" s="14"/>
      <c r="F1492" s="30"/>
      <c r="G1492" s="29"/>
      <c r="H1492" s="15"/>
    </row>
    <row r="1493" spans="2:8" x14ac:dyDescent="0.2">
      <c r="B1493" s="47"/>
      <c r="C1493" s="56" t="s">
        <v>430</v>
      </c>
      <c r="D1493" s="43"/>
      <c r="E1493" s="109" t="s">
        <v>22</v>
      </c>
      <c r="F1493" s="28"/>
      <c r="G1493" s="26"/>
      <c r="H1493" s="21" t="b">
        <f>IF(D1496="x",H$2,H$1)</f>
        <v>0</v>
      </c>
    </row>
    <row r="1494" spans="2:8" x14ac:dyDescent="0.2">
      <c r="B1494" s="47"/>
      <c r="C1494" s="57" t="s">
        <v>951</v>
      </c>
      <c r="D1494" s="43"/>
      <c r="E1494" s="109" t="s">
        <v>23</v>
      </c>
      <c r="F1494" s="22" t="str">
        <f>IF(H1495=1,IF(H1493=H$2,H1493,""),"")</f>
        <v/>
      </c>
      <c r="G1494" s="26"/>
      <c r="H1494" s="21" t="str">
        <f>IF(E$1696="comprobar",COUNTIF(D1493:D1497,"x"),"")</f>
        <v/>
      </c>
    </row>
    <row r="1495" spans="2:8" x14ac:dyDescent="0.2">
      <c r="B1495" s="47"/>
      <c r="C1495" s="57" t="s">
        <v>952</v>
      </c>
      <c r="D1495" s="43"/>
      <c r="E1495" s="109" t="s">
        <v>24</v>
      </c>
      <c r="F1495" s="23" t="str">
        <f>IF(H1495=-0.33,IF(H1493=H$1,H1493,""),"")</f>
        <v/>
      </c>
      <c r="G1495" s="26"/>
      <c r="H1495" s="24">
        <f>IF(H1494=1,IF(H1493=H$2,1,-0.33),0)</f>
        <v>0</v>
      </c>
    </row>
    <row r="1496" spans="2:8" x14ac:dyDescent="0.2">
      <c r="B1496" s="47"/>
      <c r="C1496" s="57" t="s">
        <v>953</v>
      </c>
      <c r="D1496" s="43"/>
      <c r="E1496" s="109" t="s">
        <v>25</v>
      </c>
      <c r="F1496" s="28"/>
      <c r="G1496" s="26"/>
      <c r="H1496" s="24"/>
    </row>
    <row r="1497" spans="2:8" x14ac:dyDescent="0.2">
      <c r="B1497" s="47"/>
      <c r="C1497" s="8"/>
      <c r="D1497" s="43"/>
      <c r="E1497" s="109" t="s">
        <v>26</v>
      </c>
      <c r="F1497" s="28"/>
      <c r="G1497" s="19"/>
      <c r="H1497" s="24"/>
    </row>
    <row r="1498" spans="2:8" x14ac:dyDescent="0.2">
      <c r="B1498" s="48">
        <v>18</v>
      </c>
      <c r="C1498" s="36" t="s">
        <v>954</v>
      </c>
      <c r="D1498" s="44"/>
      <c r="E1498" s="14"/>
      <c r="F1498" s="30"/>
      <c r="G1498" s="29"/>
      <c r="H1498" s="15"/>
    </row>
    <row r="1499" spans="2:8" x14ac:dyDescent="0.2">
      <c r="B1499" s="47"/>
      <c r="C1499" s="56" t="s">
        <v>955</v>
      </c>
      <c r="D1499" s="43"/>
      <c r="E1499" s="109" t="s">
        <v>22</v>
      </c>
      <c r="F1499" s="27"/>
      <c r="G1499" s="26"/>
      <c r="H1499" s="21" t="b">
        <f>IF(D1501="x",H$2,H$1)</f>
        <v>0</v>
      </c>
    </row>
    <row r="1500" spans="2:8" x14ac:dyDescent="0.2">
      <c r="B1500" s="47"/>
      <c r="C1500" s="57" t="s">
        <v>1053</v>
      </c>
      <c r="D1500" s="43"/>
      <c r="E1500" s="109" t="s">
        <v>23</v>
      </c>
      <c r="F1500" s="22" t="str">
        <f>IF(H1501=1,IF(H1499=H$2,H1499,""),"")</f>
        <v/>
      </c>
      <c r="G1500" s="26"/>
      <c r="H1500" s="21" t="str">
        <f>IF(E$1696="comprobar",COUNTIF(D1499:D1503,"x"),"")</f>
        <v/>
      </c>
    </row>
    <row r="1501" spans="2:8" x14ac:dyDescent="0.2">
      <c r="B1501" s="47"/>
      <c r="C1501" s="57" t="s">
        <v>956</v>
      </c>
      <c r="D1501" s="43"/>
      <c r="E1501" s="109" t="s">
        <v>24</v>
      </c>
      <c r="F1501" s="23" t="str">
        <f>IF(H1501=-0.33,IF(H1499=H$1,H1499,""),"")</f>
        <v/>
      </c>
      <c r="G1501" s="26"/>
      <c r="H1501" s="24">
        <f>IF(H1500=1,IF(H1499=H$2,1,-0.33),0)</f>
        <v>0</v>
      </c>
    </row>
    <row r="1502" spans="2:8" x14ac:dyDescent="0.2">
      <c r="B1502" s="47"/>
      <c r="C1502" s="57" t="s">
        <v>957</v>
      </c>
      <c r="D1502" s="43"/>
      <c r="E1502" s="109" t="s">
        <v>25</v>
      </c>
      <c r="F1502" s="28"/>
      <c r="G1502" s="26"/>
      <c r="H1502" s="24"/>
    </row>
    <row r="1503" spans="2:8" x14ac:dyDescent="0.2">
      <c r="B1503" s="47"/>
      <c r="C1503" s="8"/>
      <c r="D1503" s="43"/>
      <c r="E1503" s="109" t="s">
        <v>26</v>
      </c>
      <c r="F1503" s="28"/>
      <c r="G1503" s="19"/>
      <c r="H1503" s="24"/>
    </row>
    <row r="1504" spans="2:8" x14ac:dyDescent="0.2">
      <c r="B1504" s="48">
        <v>19</v>
      </c>
      <c r="C1504" s="36" t="s">
        <v>958</v>
      </c>
      <c r="D1504" s="59"/>
      <c r="E1504" s="14"/>
      <c r="F1504" s="60"/>
      <c r="G1504" s="61"/>
      <c r="H1504" s="15"/>
    </row>
    <row r="1505" spans="2:8" x14ac:dyDescent="0.2">
      <c r="B1505" s="47"/>
      <c r="C1505" s="56" t="s">
        <v>959</v>
      </c>
      <c r="D1505" s="43"/>
      <c r="E1505" s="109" t="s">
        <v>22</v>
      </c>
      <c r="F1505" s="27"/>
      <c r="G1505" s="26"/>
      <c r="H1505" s="21" t="b">
        <f>IF(D1506="x",H$2,H$1)</f>
        <v>0</v>
      </c>
    </row>
    <row r="1506" spans="2:8" x14ac:dyDescent="0.2">
      <c r="B1506" s="47"/>
      <c r="C1506" s="57" t="s">
        <v>960</v>
      </c>
      <c r="D1506" s="43"/>
      <c r="E1506" s="109" t="s">
        <v>23</v>
      </c>
      <c r="F1506" s="22" t="str">
        <f>IF(H1507=1,IF(H1505=H$2,H1505,""),"")</f>
        <v/>
      </c>
      <c r="G1506" s="26"/>
      <c r="H1506" s="21" t="str">
        <f>IF(E$1696="comprobar",COUNTIF(D1505:D1509,"x"),"")</f>
        <v/>
      </c>
    </row>
    <row r="1507" spans="2:8" x14ac:dyDescent="0.2">
      <c r="B1507" s="47"/>
      <c r="C1507" s="57" t="s">
        <v>961</v>
      </c>
      <c r="D1507" s="43"/>
      <c r="E1507" s="109" t="s">
        <v>24</v>
      </c>
      <c r="F1507" s="23" t="str">
        <f>IF(H1507=-0.33,IF(H1505=H$1,H1505,""),"")</f>
        <v/>
      </c>
      <c r="G1507" s="26"/>
      <c r="H1507" s="24">
        <f>IF(H1506=1,IF(H1505=H$2,1,-0.33),0)</f>
        <v>0</v>
      </c>
    </row>
    <row r="1508" spans="2:8" x14ac:dyDescent="0.2">
      <c r="B1508" s="47"/>
      <c r="C1508" s="57" t="s">
        <v>962</v>
      </c>
      <c r="D1508" s="43"/>
      <c r="E1508" s="109" t="s">
        <v>25</v>
      </c>
      <c r="F1508" s="28"/>
      <c r="G1508" s="26"/>
      <c r="H1508" s="24"/>
    </row>
    <row r="1509" spans="2:8" x14ac:dyDescent="0.2">
      <c r="B1509" s="47"/>
      <c r="C1509" s="8"/>
      <c r="D1509" s="43"/>
      <c r="E1509" s="109" t="s">
        <v>26</v>
      </c>
      <c r="F1509" s="28"/>
      <c r="G1509" s="19"/>
      <c r="H1509" s="24"/>
    </row>
    <row r="1510" spans="2:8" x14ac:dyDescent="0.2">
      <c r="B1510" s="48">
        <v>20</v>
      </c>
      <c r="C1510" s="36" t="s">
        <v>963</v>
      </c>
      <c r="D1510" s="44"/>
      <c r="E1510" s="14"/>
      <c r="F1510" s="30"/>
      <c r="G1510" s="29"/>
      <c r="H1510" s="15"/>
    </row>
    <row r="1511" spans="2:8" x14ac:dyDescent="0.2">
      <c r="B1511" s="47"/>
      <c r="C1511" s="56" t="s">
        <v>1054</v>
      </c>
      <c r="D1511" s="43"/>
      <c r="E1511" s="109" t="s">
        <v>22</v>
      </c>
      <c r="F1511" s="28"/>
      <c r="G1511" s="26"/>
      <c r="H1511" s="21" t="b">
        <f>IF(D1514="x",H$2,H$1)</f>
        <v>0</v>
      </c>
    </row>
    <row r="1512" spans="2:8" x14ac:dyDescent="0.2">
      <c r="B1512" s="47"/>
      <c r="C1512" s="57" t="s">
        <v>1055</v>
      </c>
      <c r="D1512" s="43"/>
      <c r="E1512" s="109" t="s">
        <v>23</v>
      </c>
      <c r="F1512" s="22" t="str">
        <f>IF(H1513=1,IF(H1511=H$2,H1511,""),"")</f>
        <v/>
      </c>
      <c r="G1512" s="26"/>
      <c r="H1512" s="21" t="str">
        <f>IF(E$1696="comprobar",COUNTIF(D1511:D1515,"x"),"")</f>
        <v/>
      </c>
    </row>
    <row r="1513" spans="2:8" x14ac:dyDescent="0.2">
      <c r="B1513" s="47"/>
      <c r="C1513" s="57" t="s">
        <v>964</v>
      </c>
      <c r="D1513" s="43"/>
      <c r="E1513" s="109" t="s">
        <v>24</v>
      </c>
      <c r="F1513" s="23" t="str">
        <f>IF(H1513=-0.33,IF(H1511=H$1,H1511,""),"")</f>
        <v/>
      </c>
      <c r="G1513" s="26"/>
      <c r="H1513" s="24">
        <f>IF(H1512=1,IF(H1511=H$2,1,-0.33),0)</f>
        <v>0</v>
      </c>
    </row>
    <row r="1514" spans="2:8" x14ac:dyDescent="0.2">
      <c r="B1514" s="47"/>
      <c r="C1514" s="57" t="s">
        <v>965</v>
      </c>
      <c r="D1514" s="43"/>
      <c r="E1514" s="109" t="s">
        <v>25</v>
      </c>
      <c r="F1514" s="28"/>
      <c r="G1514" s="26"/>
      <c r="H1514" s="24"/>
    </row>
    <row r="1515" spans="2:8" x14ac:dyDescent="0.2">
      <c r="B1515" s="47"/>
      <c r="C1515" s="8"/>
      <c r="D1515" s="43"/>
      <c r="E1515" s="109" t="s">
        <v>26</v>
      </c>
      <c r="F1515" s="20"/>
      <c r="G1515" s="19"/>
      <c r="H1515" s="24"/>
    </row>
    <row r="1516" spans="2:8" x14ac:dyDescent="0.2">
      <c r="B1516" s="48">
        <v>21</v>
      </c>
      <c r="C1516" s="36" t="s">
        <v>966</v>
      </c>
      <c r="D1516" s="44"/>
      <c r="E1516" s="14"/>
      <c r="F1516" s="30"/>
      <c r="G1516" s="29"/>
      <c r="H1516" s="15"/>
    </row>
    <row r="1517" spans="2:8" x14ac:dyDescent="0.2">
      <c r="B1517" s="47"/>
      <c r="C1517" s="56" t="s">
        <v>967</v>
      </c>
      <c r="D1517" s="43"/>
      <c r="E1517" s="109" t="s">
        <v>22</v>
      </c>
      <c r="F1517" s="28"/>
      <c r="G1517" s="26"/>
      <c r="H1517" s="21" t="b">
        <f>IF(D1520="x",H$2,H$1)</f>
        <v>0</v>
      </c>
    </row>
    <row r="1518" spans="2:8" x14ac:dyDescent="0.2">
      <c r="B1518" s="47"/>
      <c r="C1518" s="57" t="s">
        <v>968</v>
      </c>
      <c r="D1518" s="43"/>
      <c r="E1518" s="109" t="s">
        <v>23</v>
      </c>
      <c r="F1518" s="22" t="str">
        <f>IF(H1519=1,IF(H1517=H$2,H1517,""),"")</f>
        <v/>
      </c>
      <c r="G1518" s="26"/>
      <c r="H1518" s="21" t="str">
        <f>IF(E$1696="comprobar",COUNTIF(D1517:D1521,"x"),"")</f>
        <v/>
      </c>
    </row>
    <row r="1519" spans="2:8" x14ac:dyDescent="0.2">
      <c r="B1519" s="47"/>
      <c r="C1519" s="57" t="s">
        <v>1056</v>
      </c>
      <c r="D1519" s="43"/>
      <c r="E1519" s="109" t="s">
        <v>24</v>
      </c>
      <c r="F1519" s="23" t="str">
        <f>IF(H1519=-0.33,IF(H1517=H$1,H1517,""),"")</f>
        <v/>
      </c>
      <c r="G1519" s="26"/>
      <c r="H1519" s="24">
        <f>IF(H1518=1,IF(H1517=H$2,1,-0.33),0)</f>
        <v>0</v>
      </c>
    </row>
    <row r="1520" spans="2:8" x14ac:dyDescent="0.2">
      <c r="B1520" s="47"/>
      <c r="C1520" s="57" t="s">
        <v>969</v>
      </c>
      <c r="D1520" s="43"/>
      <c r="E1520" s="109" t="s">
        <v>25</v>
      </c>
      <c r="F1520" s="28"/>
      <c r="G1520" s="26"/>
      <c r="H1520" s="24"/>
    </row>
    <row r="1521" spans="2:8" x14ac:dyDescent="0.2">
      <c r="B1521" s="47"/>
      <c r="C1521" s="8"/>
      <c r="D1521" s="43"/>
      <c r="E1521" s="109" t="s">
        <v>26</v>
      </c>
      <c r="F1521" s="20"/>
      <c r="G1521" s="19"/>
      <c r="H1521" s="24"/>
    </row>
    <row r="1522" spans="2:8" x14ac:dyDescent="0.2">
      <c r="B1522" s="48">
        <v>22</v>
      </c>
      <c r="C1522" s="36" t="s">
        <v>970</v>
      </c>
      <c r="D1522" s="44"/>
      <c r="E1522" s="14"/>
      <c r="F1522" s="30"/>
      <c r="G1522" s="29"/>
      <c r="H1522" s="15"/>
    </row>
    <row r="1523" spans="2:8" x14ac:dyDescent="0.2">
      <c r="B1523" s="47"/>
      <c r="C1523" s="56" t="s">
        <v>971</v>
      </c>
      <c r="D1523" s="43"/>
      <c r="E1523" s="109" t="s">
        <v>22</v>
      </c>
      <c r="F1523" s="28"/>
      <c r="G1523" s="26"/>
      <c r="H1523" s="21" t="b">
        <f>IF(D1526="x",H$2,H$1)</f>
        <v>0</v>
      </c>
    </row>
    <row r="1524" spans="2:8" x14ac:dyDescent="0.2">
      <c r="B1524" s="47"/>
      <c r="C1524" s="57" t="s">
        <v>972</v>
      </c>
      <c r="D1524" s="43"/>
      <c r="E1524" s="109" t="s">
        <v>23</v>
      </c>
      <c r="F1524" s="22" t="str">
        <f>IF(H1525=1,IF(H1523=H$2,H1523,""),"")</f>
        <v/>
      </c>
      <c r="G1524" s="26"/>
      <c r="H1524" s="21" t="str">
        <f>IF(E$1696="comprobar",COUNTIF(D1523:D1527,"x"),"")</f>
        <v/>
      </c>
    </row>
    <row r="1525" spans="2:8" x14ac:dyDescent="0.2">
      <c r="B1525" s="47"/>
      <c r="C1525" s="57" t="s">
        <v>973</v>
      </c>
      <c r="D1525" s="43"/>
      <c r="E1525" s="109" t="s">
        <v>24</v>
      </c>
      <c r="F1525" s="23" t="str">
        <f>IF(H1525=-0.33,IF(H1523=H$1,H1523,""),"")</f>
        <v/>
      </c>
      <c r="G1525" s="26"/>
      <c r="H1525" s="24">
        <f>IF(H1524=1,IF(H1523=H$2,1,-0.33),0)</f>
        <v>0</v>
      </c>
    </row>
    <row r="1526" spans="2:8" x14ac:dyDescent="0.2">
      <c r="B1526" s="47"/>
      <c r="C1526" s="57" t="s">
        <v>974</v>
      </c>
      <c r="D1526" s="43"/>
      <c r="E1526" s="109" t="s">
        <v>25</v>
      </c>
      <c r="F1526" s="28"/>
      <c r="G1526" s="26"/>
      <c r="H1526" s="24"/>
    </row>
    <row r="1527" spans="2:8" x14ac:dyDescent="0.2">
      <c r="B1527" s="47"/>
      <c r="C1527" s="8"/>
      <c r="D1527" s="43"/>
      <c r="E1527" s="109" t="s">
        <v>26</v>
      </c>
      <c r="F1527" s="20"/>
      <c r="G1527" s="19"/>
      <c r="H1527" s="24"/>
    </row>
    <row r="1528" spans="2:8" x14ac:dyDescent="0.2">
      <c r="B1528" s="48">
        <v>23</v>
      </c>
      <c r="C1528" s="36" t="s">
        <v>975</v>
      </c>
      <c r="D1528" s="44"/>
      <c r="E1528" s="14"/>
      <c r="F1528" s="30"/>
      <c r="G1528" s="29"/>
      <c r="H1528" s="15"/>
    </row>
    <row r="1529" spans="2:8" x14ac:dyDescent="0.2">
      <c r="B1529" s="47"/>
      <c r="C1529" s="56" t="s">
        <v>976</v>
      </c>
      <c r="D1529" s="43"/>
      <c r="E1529" s="109" t="s">
        <v>22</v>
      </c>
      <c r="F1529" s="28"/>
      <c r="G1529" s="26"/>
      <c r="H1529" s="21" t="b">
        <f>IF(D1529="x",H$2,H$1)</f>
        <v>0</v>
      </c>
    </row>
    <row r="1530" spans="2:8" x14ac:dyDescent="0.2">
      <c r="B1530" s="47"/>
      <c r="C1530" s="57" t="s">
        <v>977</v>
      </c>
      <c r="D1530" s="43"/>
      <c r="E1530" s="109" t="s">
        <v>23</v>
      </c>
      <c r="F1530" s="22" t="str">
        <f>IF(H1531=1,IF(H1529=H$2,H1529,""),"")</f>
        <v/>
      </c>
      <c r="G1530" s="26"/>
      <c r="H1530" s="21" t="str">
        <f>IF(E$1696="comprobar",COUNTIF(D1529:D1533,"x"),"")</f>
        <v/>
      </c>
    </row>
    <row r="1531" spans="2:8" x14ac:dyDescent="0.2">
      <c r="B1531" s="47"/>
      <c r="C1531" s="57" t="s">
        <v>978</v>
      </c>
      <c r="D1531" s="43"/>
      <c r="E1531" s="109" t="s">
        <v>24</v>
      </c>
      <c r="F1531" s="23" t="str">
        <f>IF(H1531=-0.33,IF(H1529=H$1,H1529,""),"")</f>
        <v/>
      </c>
      <c r="G1531" s="26"/>
      <c r="H1531" s="24">
        <f>IF(H1530=1,IF(H1529=H$2,1,-0.33),0)</f>
        <v>0</v>
      </c>
    </row>
    <row r="1532" spans="2:8" x14ac:dyDescent="0.2">
      <c r="B1532" s="47"/>
      <c r="C1532" s="57" t="s">
        <v>979</v>
      </c>
      <c r="D1532" s="43"/>
      <c r="E1532" s="109" t="s">
        <v>25</v>
      </c>
      <c r="F1532" s="28"/>
      <c r="G1532" s="26"/>
      <c r="H1532" s="24"/>
    </row>
    <row r="1533" spans="2:8" x14ac:dyDescent="0.2">
      <c r="B1533" s="47"/>
      <c r="C1533" s="8"/>
      <c r="D1533" s="43"/>
      <c r="E1533" s="109" t="s">
        <v>26</v>
      </c>
      <c r="F1533" s="20"/>
      <c r="G1533" s="19"/>
      <c r="H1533" s="24"/>
    </row>
    <row r="1534" spans="2:8" x14ac:dyDescent="0.2">
      <c r="B1534" s="48">
        <v>24</v>
      </c>
      <c r="C1534" s="36" t="s">
        <v>980</v>
      </c>
      <c r="D1534" s="44"/>
      <c r="E1534" s="14"/>
      <c r="F1534" s="30"/>
      <c r="G1534" s="29"/>
      <c r="H1534" s="15"/>
    </row>
    <row r="1535" spans="2:8" x14ac:dyDescent="0.2">
      <c r="B1535" s="47"/>
      <c r="C1535" s="56" t="s">
        <v>981</v>
      </c>
      <c r="D1535" s="43"/>
      <c r="E1535" s="109" t="s">
        <v>22</v>
      </c>
      <c r="F1535" s="28"/>
      <c r="G1535" s="26"/>
      <c r="H1535" s="21" t="b">
        <f>IF(D1537="x",H$2,H$1)</f>
        <v>0</v>
      </c>
    </row>
    <row r="1536" spans="2:8" x14ac:dyDescent="0.2">
      <c r="B1536" s="47"/>
      <c r="C1536" s="57" t="s">
        <v>982</v>
      </c>
      <c r="D1536" s="43"/>
      <c r="E1536" s="109" t="s">
        <v>23</v>
      </c>
      <c r="F1536" s="22" t="str">
        <f>IF(H1537=1,IF(H1535=H$2,H1535,""),"")</f>
        <v/>
      </c>
      <c r="G1536" s="26"/>
      <c r="H1536" s="21" t="str">
        <f>IF(E$1696="comprobar",COUNTIF(D1535:D1539,"x"),"")</f>
        <v/>
      </c>
    </row>
    <row r="1537" spans="2:8" x14ac:dyDescent="0.2">
      <c r="B1537" s="47"/>
      <c r="C1537" s="57" t="s">
        <v>983</v>
      </c>
      <c r="D1537" s="43"/>
      <c r="E1537" s="109" t="s">
        <v>24</v>
      </c>
      <c r="F1537" s="23" t="str">
        <f>IF(H1537=-0.33,IF(H1535=H$1,H1535,""),"")</f>
        <v/>
      </c>
      <c r="G1537" s="26"/>
      <c r="H1537" s="24">
        <f>IF(H1536=1,IF(H1535=H$2,1,-0.33),0)</f>
        <v>0</v>
      </c>
    </row>
    <row r="1538" spans="2:8" x14ac:dyDescent="0.2">
      <c r="B1538" s="47"/>
      <c r="C1538" s="57" t="s">
        <v>984</v>
      </c>
      <c r="D1538" s="43"/>
      <c r="E1538" s="109" t="s">
        <v>25</v>
      </c>
      <c r="F1538" s="28"/>
      <c r="G1538" s="26"/>
      <c r="H1538" s="24"/>
    </row>
    <row r="1539" spans="2:8" x14ac:dyDescent="0.2">
      <c r="B1539" s="47"/>
      <c r="C1539" s="8"/>
      <c r="D1539" s="43"/>
      <c r="E1539" s="109" t="s">
        <v>26</v>
      </c>
      <c r="F1539" s="20"/>
      <c r="G1539" s="19"/>
      <c r="H1539" s="24"/>
    </row>
    <row r="1540" spans="2:8" x14ac:dyDescent="0.2">
      <c r="B1540" s="48">
        <v>25</v>
      </c>
      <c r="C1540" s="36" t="s">
        <v>985</v>
      </c>
      <c r="D1540" s="44"/>
      <c r="E1540" s="14"/>
      <c r="F1540" s="30"/>
      <c r="G1540" s="29"/>
      <c r="H1540" s="15"/>
    </row>
    <row r="1541" spans="2:8" x14ac:dyDescent="0.2">
      <c r="B1541" s="47"/>
      <c r="C1541" s="56" t="s">
        <v>986</v>
      </c>
      <c r="D1541" s="43"/>
      <c r="E1541" s="109" t="s">
        <v>22</v>
      </c>
      <c r="F1541" s="28"/>
      <c r="G1541" s="26"/>
      <c r="H1541" s="21" t="b">
        <f>IF(D1544="x",H$2,H$1)</f>
        <v>0</v>
      </c>
    </row>
    <row r="1542" spans="2:8" x14ac:dyDescent="0.2">
      <c r="B1542" s="47"/>
      <c r="C1542" s="57" t="s">
        <v>987</v>
      </c>
      <c r="D1542" s="43"/>
      <c r="E1542" s="109" t="s">
        <v>23</v>
      </c>
      <c r="F1542" s="22" t="str">
        <f>IF(H1543=1,IF(H1541=H$2,H1541,""),"")</f>
        <v/>
      </c>
      <c r="G1542" s="26"/>
      <c r="H1542" s="21" t="str">
        <f>IF(E$1696="comprobar",COUNTIF(D1541:D1545,"x"),"")</f>
        <v/>
      </c>
    </row>
    <row r="1543" spans="2:8" x14ac:dyDescent="0.2">
      <c r="B1543" s="47"/>
      <c r="C1543" s="57" t="s">
        <v>988</v>
      </c>
      <c r="D1543" s="43"/>
      <c r="E1543" s="109" t="s">
        <v>24</v>
      </c>
      <c r="F1543" s="23" t="str">
        <f>IF(H1543=-0.33,IF(H1541=H$1,H1541,""),"")</f>
        <v/>
      </c>
      <c r="G1543" s="26"/>
      <c r="H1543" s="24">
        <f>IF(H1542=1,IF(H1541=H$2,1,-0.33),0)</f>
        <v>0</v>
      </c>
    </row>
    <row r="1544" spans="2:8" x14ac:dyDescent="0.2">
      <c r="B1544" s="47"/>
      <c r="C1544" s="57" t="s">
        <v>989</v>
      </c>
      <c r="D1544" s="43"/>
      <c r="E1544" s="109" t="s">
        <v>25</v>
      </c>
      <c r="F1544" s="28"/>
      <c r="G1544" s="26"/>
      <c r="H1544" s="24"/>
    </row>
    <row r="1545" spans="2:8" x14ac:dyDescent="0.2">
      <c r="B1545" s="47"/>
      <c r="C1545" s="8"/>
      <c r="D1545" s="43"/>
      <c r="E1545" s="109" t="s">
        <v>26</v>
      </c>
      <c r="F1545" s="20"/>
      <c r="G1545" s="19"/>
      <c r="H1545" s="24"/>
    </row>
    <row r="1546" spans="2:8" x14ac:dyDescent="0.2">
      <c r="B1546" s="48">
        <v>26</v>
      </c>
      <c r="C1546" s="36" t="s">
        <v>990</v>
      </c>
      <c r="D1546" s="44"/>
      <c r="E1546" s="14"/>
      <c r="F1546" s="30"/>
      <c r="G1546" s="29"/>
      <c r="H1546" s="15"/>
    </row>
    <row r="1547" spans="2:8" x14ac:dyDescent="0.2">
      <c r="B1547" s="47"/>
      <c r="C1547" s="56" t="s">
        <v>986</v>
      </c>
      <c r="D1547" s="43"/>
      <c r="E1547" s="109" t="s">
        <v>22</v>
      </c>
      <c r="F1547" s="28"/>
      <c r="G1547" s="26"/>
      <c r="H1547" s="21" t="b">
        <f>IF(D1547="x",H$2,H$1)</f>
        <v>0</v>
      </c>
    </row>
    <row r="1548" spans="2:8" x14ac:dyDescent="0.2">
      <c r="B1548" s="47"/>
      <c r="C1548" s="57" t="s">
        <v>988</v>
      </c>
      <c r="D1548" s="43"/>
      <c r="E1548" s="109" t="s">
        <v>23</v>
      </c>
      <c r="F1548" s="22" t="str">
        <f>IF(H1549=1,IF(H1547=H$2,H1547,""),"")</f>
        <v/>
      </c>
      <c r="G1548" s="26"/>
      <c r="H1548" s="21" t="str">
        <f>IF(E$1696="comprobar",COUNTIF(D1547:D1551,"x"),"")</f>
        <v/>
      </c>
    </row>
    <row r="1549" spans="2:8" x14ac:dyDescent="0.2">
      <c r="B1549" s="47"/>
      <c r="C1549" s="57" t="s">
        <v>989</v>
      </c>
      <c r="D1549" s="43"/>
      <c r="E1549" s="109" t="s">
        <v>24</v>
      </c>
      <c r="F1549" s="23" t="str">
        <f>IF(H1549=-0.33,IF(H1547=H$1,H1547,""),"")</f>
        <v/>
      </c>
      <c r="G1549" s="26"/>
      <c r="H1549" s="24">
        <f>IF(H1548=1,IF(H1547=H$2,1,-0.33),0)</f>
        <v>0</v>
      </c>
    </row>
    <row r="1550" spans="2:8" x14ac:dyDescent="0.2">
      <c r="B1550" s="47"/>
      <c r="C1550" s="57" t="s">
        <v>987</v>
      </c>
      <c r="D1550" s="43"/>
      <c r="E1550" s="109" t="s">
        <v>25</v>
      </c>
      <c r="F1550" s="28"/>
      <c r="G1550" s="26"/>
      <c r="H1550" s="24"/>
    </row>
    <row r="1551" spans="2:8" x14ac:dyDescent="0.2">
      <c r="B1551" s="47"/>
      <c r="C1551" s="8"/>
      <c r="D1551" s="43"/>
      <c r="E1551" s="109" t="s">
        <v>26</v>
      </c>
      <c r="F1551" s="20"/>
      <c r="G1551" s="19"/>
      <c r="H1551" s="24"/>
    </row>
    <row r="1552" spans="2:8" x14ac:dyDescent="0.2">
      <c r="B1552" s="48">
        <v>27</v>
      </c>
      <c r="C1552" s="36" t="s">
        <v>991</v>
      </c>
      <c r="D1552" s="44"/>
      <c r="E1552" s="14"/>
      <c r="F1552" s="30"/>
      <c r="G1552" s="29"/>
      <c r="H1552" s="15"/>
    </row>
    <row r="1553" spans="2:8" x14ac:dyDescent="0.2">
      <c r="B1553" s="47"/>
      <c r="C1553" s="56" t="s">
        <v>992</v>
      </c>
      <c r="D1553" s="43"/>
      <c r="E1553" s="109" t="s">
        <v>22</v>
      </c>
      <c r="F1553" s="28"/>
      <c r="G1553" s="26"/>
      <c r="H1553" s="21" t="b">
        <f>IF(D1553="x",H$2,H$1)</f>
        <v>0</v>
      </c>
    </row>
    <row r="1554" spans="2:8" x14ac:dyDescent="0.2">
      <c r="B1554" s="47"/>
      <c r="C1554" s="57" t="s">
        <v>972</v>
      </c>
      <c r="D1554" s="43"/>
      <c r="E1554" s="109" t="s">
        <v>23</v>
      </c>
      <c r="F1554" s="22" t="str">
        <f>IF(H1555=1,IF(H1553=H$2,H1553,""),"")</f>
        <v/>
      </c>
      <c r="G1554" s="26"/>
      <c r="H1554" s="21" t="str">
        <f>IF(E$1696="comprobar",COUNTIF(D1553:D1557,"x"),"")</f>
        <v/>
      </c>
    </row>
    <row r="1555" spans="2:8" x14ac:dyDescent="0.2">
      <c r="B1555" s="47"/>
      <c r="C1555" s="57" t="s">
        <v>993</v>
      </c>
      <c r="D1555" s="43"/>
      <c r="E1555" s="109" t="s">
        <v>24</v>
      </c>
      <c r="F1555" s="23" t="str">
        <f>IF(H1555=-0.33,IF(H1553=H$1,H1553,""),"")</f>
        <v/>
      </c>
      <c r="G1555" s="26"/>
      <c r="H1555" s="24">
        <f>IF(H1554=1,IF(H1553=H$2,1,-0.33),0)</f>
        <v>0</v>
      </c>
    </row>
    <row r="1556" spans="2:8" x14ac:dyDescent="0.2">
      <c r="B1556" s="47"/>
      <c r="C1556" s="57" t="s">
        <v>973</v>
      </c>
      <c r="D1556" s="43"/>
      <c r="E1556" s="109" t="s">
        <v>25</v>
      </c>
      <c r="F1556" s="28"/>
      <c r="G1556" s="26"/>
      <c r="H1556" s="24"/>
    </row>
    <row r="1557" spans="2:8" x14ac:dyDescent="0.2">
      <c r="B1557" s="47"/>
      <c r="C1557" s="8"/>
      <c r="D1557" s="43"/>
      <c r="E1557" s="109" t="s">
        <v>26</v>
      </c>
      <c r="F1557" s="20"/>
      <c r="G1557" s="19"/>
      <c r="H1557" s="24"/>
    </row>
    <row r="1558" spans="2:8" x14ac:dyDescent="0.2">
      <c r="B1558" s="48">
        <v>28</v>
      </c>
      <c r="C1558" s="36" t="s">
        <v>994</v>
      </c>
      <c r="D1558" s="44"/>
      <c r="E1558" s="14"/>
      <c r="F1558" s="30"/>
      <c r="G1558" s="29"/>
      <c r="H1558" s="15"/>
    </row>
    <row r="1559" spans="2:8" x14ac:dyDescent="0.2">
      <c r="B1559" s="47"/>
      <c r="C1559" s="56" t="s">
        <v>992</v>
      </c>
      <c r="D1559" s="43"/>
      <c r="E1559" s="109" t="s">
        <v>22</v>
      </c>
      <c r="F1559" s="28"/>
      <c r="G1559" s="26"/>
      <c r="H1559" s="21" t="b">
        <f>IF(D1561="x",H$2,H$1)</f>
        <v>0</v>
      </c>
    </row>
    <row r="1560" spans="2:8" x14ac:dyDescent="0.2">
      <c r="B1560" s="47"/>
      <c r="C1560" s="57" t="s">
        <v>971</v>
      </c>
      <c r="D1560" s="43"/>
      <c r="E1560" s="109" t="s">
        <v>23</v>
      </c>
      <c r="F1560" s="22" t="str">
        <f>IF(H1561=1,IF(H1559=H$2,H1559,""),"")</f>
        <v/>
      </c>
      <c r="G1560" s="26"/>
      <c r="H1560" s="21" t="str">
        <f>IF(E$1696="comprobar",COUNTIF(D1559:D1563,"x"),"")</f>
        <v/>
      </c>
    </row>
    <row r="1561" spans="2:8" x14ac:dyDescent="0.2">
      <c r="B1561" s="47"/>
      <c r="C1561" s="57" t="s">
        <v>993</v>
      </c>
      <c r="D1561" s="43"/>
      <c r="E1561" s="109" t="s">
        <v>24</v>
      </c>
      <c r="F1561" s="23" t="str">
        <f>IF(H1561=-0.33,IF(H1559=H$1,H1559,""),"")</f>
        <v/>
      </c>
      <c r="G1561" s="26"/>
      <c r="H1561" s="24">
        <f>IF(H1560=1,IF(H1559=H$2,1,-0.33),0)</f>
        <v>0</v>
      </c>
    </row>
    <row r="1562" spans="2:8" x14ac:dyDescent="0.2">
      <c r="B1562" s="47"/>
      <c r="C1562" s="57" t="s">
        <v>973</v>
      </c>
      <c r="D1562" s="43"/>
      <c r="E1562" s="109" t="s">
        <v>25</v>
      </c>
      <c r="F1562" s="28"/>
      <c r="G1562" s="26"/>
      <c r="H1562" s="24"/>
    </row>
    <row r="1563" spans="2:8" x14ac:dyDescent="0.2">
      <c r="B1563" s="47"/>
      <c r="C1563" s="8"/>
      <c r="D1563" s="43"/>
      <c r="E1563" s="109" t="s">
        <v>26</v>
      </c>
      <c r="F1563" s="20"/>
      <c r="G1563" s="19"/>
      <c r="H1563" s="24"/>
    </row>
    <row r="1564" spans="2:8" x14ac:dyDescent="0.2">
      <c r="B1564" s="48">
        <v>29</v>
      </c>
      <c r="C1564" s="36" t="s">
        <v>995</v>
      </c>
      <c r="D1564" s="44"/>
      <c r="E1564" s="14"/>
      <c r="F1564" s="30"/>
      <c r="G1564" s="29"/>
      <c r="H1564" s="15"/>
    </row>
    <row r="1565" spans="2:8" x14ac:dyDescent="0.2">
      <c r="B1565" s="47"/>
      <c r="C1565" s="56" t="s">
        <v>996</v>
      </c>
      <c r="D1565" s="43"/>
      <c r="E1565" s="109" t="s">
        <v>22</v>
      </c>
      <c r="F1565" s="28"/>
      <c r="G1565" s="26"/>
      <c r="H1565" s="21" t="b">
        <f>IF(D1565="x",H$2,H$1)</f>
        <v>0</v>
      </c>
    </row>
    <row r="1566" spans="2:8" x14ac:dyDescent="0.2">
      <c r="B1566" s="47"/>
      <c r="C1566" s="57" t="s">
        <v>997</v>
      </c>
      <c r="D1566" s="43"/>
      <c r="E1566" s="109" t="s">
        <v>23</v>
      </c>
      <c r="F1566" s="22" t="str">
        <f>IF(H1567=1,IF(H1565=H$2,H1565,""),"")</f>
        <v/>
      </c>
      <c r="G1566" s="26"/>
      <c r="H1566" s="21" t="str">
        <f>IF(E$1696="comprobar",COUNTIF(D1565:D1569,"x"),"")</f>
        <v/>
      </c>
    </row>
    <row r="1567" spans="2:8" x14ac:dyDescent="0.2">
      <c r="B1567" s="47"/>
      <c r="C1567" s="57" t="s">
        <v>998</v>
      </c>
      <c r="D1567" s="43"/>
      <c r="E1567" s="109" t="s">
        <v>24</v>
      </c>
      <c r="F1567" s="23" t="str">
        <f>IF(H1567=-0.33,IF(H1565=H$1,H1565,""),"")</f>
        <v/>
      </c>
      <c r="G1567" s="26"/>
      <c r="H1567" s="24">
        <f>IF(H1566=1,IF(H1565=H$2,1,-0.33),0)</f>
        <v>0</v>
      </c>
    </row>
    <row r="1568" spans="2:8" x14ac:dyDescent="0.2">
      <c r="B1568" s="47"/>
      <c r="C1568" s="57" t="s">
        <v>999</v>
      </c>
      <c r="D1568" s="43"/>
      <c r="E1568" s="109" t="s">
        <v>25</v>
      </c>
      <c r="F1568" s="28"/>
      <c r="G1568" s="26"/>
      <c r="H1568" s="24"/>
    </row>
    <row r="1569" spans="2:8" x14ac:dyDescent="0.2">
      <c r="B1569" s="47"/>
      <c r="C1569" s="8"/>
      <c r="D1569" s="43"/>
      <c r="E1569" s="109" t="s">
        <v>26</v>
      </c>
      <c r="F1569" s="20"/>
      <c r="G1569" s="19"/>
      <c r="H1569" s="24"/>
    </row>
    <row r="1570" spans="2:8" x14ac:dyDescent="0.2">
      <c r="B1570" s="48">
        <v>30</v>
      </c>
      <c r="C1570" s="36" t="s">
        <v>1083</v>
      </c>
      <c r="D1570" s="44"/>
      <c r="E1570" s="14"/>
      <c r="F1570" s="30"/>
      <c r="G1570" s="29"/>
      <c r="H1570" s="15"/>
    </row>
    <row r="1571" spans="2:8" x14ac:dyDescent="0.2">
      <c r="B1571" s="47"/>
      <c r="C1571" s="56" t="s">
        <v>984</v>
      </c>
      <c r="D1571" s="43"/>
      <c r="E1571" s="109" t="s">
        <v>22</v>
      </c>
      <c r="F1571" s="28"/>
      <c r="G1571" s="26"/>
      <c r="H1571" s="21" t="b">
        <f>IF(D1571="x",H$2,H$1)</f>
        <v>0</v>
      </c>
    </row>
    <row r="1572" spans="2:8" x14ac:dyDescent="0.2">
      <c r="B1572" s="47"/>
      <c r="C1572" s="57" t="s">
        <v>983</v>
      </c>
      <c r="D1572" s="43"/>
      <c r="E1572" s="109" t="s">
        <v>23</v>
      </c>
      <c r="F1572" s="22" t="str">
        <f>IF(H1573=1,IF(H1571=H$2,H1571,""),"")</f>
        <v/>
      </c>
      <c r="G1572" s="26"/>
      <c r="H1572" s="21" t="str">
        <f>IF(E$1696="comprobar",COUNTIF(D1571:D1575,"x"),"")</f>
        <v/>
      </c>
    </row>
    <row r="1573" spans="2:8" x14ac:dyDescent="0.2">
      <c r="B1573" s="47"/>
      <c r="C1573" s="57" t="s">
        <v>981</v>
      </c>
      <c r="D1573" s="43"/>
      <c r="E1573" s="109" t="s">
        <v>24</v>
      </c>
      <c r="F1573" s="23" t="str">
        <f>IF(H1573=-0.33,IF(H1571=H$1,H1571,""),"")</f>
        <v/>
      </c>
      <c r="G1573" s="26"/>
      <c r="H1573" s="24">
        <f>IF(H1572=1,IF(H1571=H$2,1,-0.33),0)</f>
        <v>0</v>
      </c>
    </row>
    <row r="1574" spans="2:8" x14ac:dyDescent="0.2">
      <c r="B1574" s="47"/>
      <c r="C1574" s="57" t="s">
        <v>988</v>
      </c>
      <c r="D1574" s="43"/>
      <c r="E1574" s="109" t="s">
        <v>25</v>
      </c>
      <c r="F1574" s="28"/>
      <c r="G1574" s="26"/>
      <c r="H1574" s="24"/>
    </row>
    <row r="1575" spans="2:8" x14ac:dyDescent="0.2">
      <c r="B1575" s="47"/>
      <c r="C1575" s="8"/>
      <c r="D1575" s="43"/>
      <c r="E1575" s="109" t="s">
        <v>26</v>
      </c>
      <c r="F1575" s="20"/>
      <c r="G1575" s="19"/>
      <c r="H1575" s="24"/>
    </row>
    <row r="1576" spans="2:8" x14ac:dyDescent="0.2">
      <c r="B1576" s="48">
        <v>31</v>
      </c>
      <c r="C1576" s="36" t="s">
        <v>1000</v>
      </c>
      <c r="D1576" s="44"/>
      <c r="E1576" s="14"/>
      <c r="F1576" s="30"/>
      <c r="G1576" s="29"/>
      <c r="H1576" s="15"/>
    </row>
    <row r="1577" spans="2:8" x14ac:dyDescent="0.2">
      <c r="B1577" s="47"/>
      <c r="C1577" s="56" t="s">
        <v>1001</v>
      </c>
      <c r="D1577" s="43"/>
      <c r="E1577" s="109" t="s">
        <v>22</v>
      </c>
      <c r="F1577" s="28"/>
      <c r="G1577" s="26"/>
      <c r="H1577" s="21" t="b">
        <f>IF(D1578="x",H$2,H$1)</f>
        <v>0</v>
      </c>
    </row>
    <row r="1578" spans="2:8" x14ac:dyDescent="0.2">
      <c r="B1578" s="47"/>
      <c r="C1578" s="57" t="s">
        <v>1002</v>
      </c>
      <c r="D1578" s="43"/>
      <c r="E1578" s="109" t="s">
        <v>23</v>
      </c>
      <c r="F1578" s="22" t="str">
        <f>IF(H1579=1,IF(H1577=H$2,H1577,""),"")</f>
        <v/>
      </c>
      <c r="G1578" s="26"/>
      <c r="H1578" s="21" t="str">
        <f>IF(E$1696="comprobar",COUNTIF(D1577:D1581,"x"),"")</f>
        <v/>
      </c>
    </row>
    <row r="1579" spans="2:8" x14ac:dyDescent="0.2">
      <c r="B1579" s="47"/>
      <c r="C1579" s="57" t="s">
        <v>1003</v>
      </c>
      <c r="D1579" s="43"/>
      <c r="E1579" s="109" t="s">
        <v>24</v>
      </c>
      <c r="F1579" s="23" t="str">
        <f>IF(H1579=-0.33,IF(H1577=H$1,H1577,""),"")</f>
        <v/>
      </c>
      <c r="G1579" s="26"/>
      <c r="H1579" s="24">
        <f>IF(H1578=1,IF(H1577=H$2,1,-0.33),0)</f>
        <v>0</v>
      </c>
    </row>
    <row r="1580" spans="2:8" x14ac:dyDescent="0.2">
      <c r="B1580" s="47"/>
      <c r="C1580" s="57" t="s">
        <v>1004</v>
      </c>
      <c r="D1580" s="43"/>
      <c r="E1580" s="109" t="s">
        <v>25</v>
      </c>
      <c r="F1580" s="28"/>
      <c r="G1580" s="26"/>
      <c r="H1580" s="24"/>
    </row>
    <row r="1581" spans="2:8" x14ac:dyDescent="0.2">
      <c r="B1581" s="47"/>
      <c r="C1581" s="8"/>
      <c r="D1581" s="43"/>
      <c r="E1581" s="109" t="s">
        <v>26</v>
      </c>
      <c r="F1581" s="20"/>
      <c r="G1581" s="19"/>
      <c r="H1581" s="24"/>
    </row>
    <row r="1582" spans="2:8" x14ac:dyDescent="0.2">
      <c r="B1582" s="48">
        <v>32</v>
      </c>
      <c r="C1582" s="36" t="s">
        <v>1005</v>
      </c>
      <c r="D1582" s="44"/>
      <c r="E1582" s="14"/>
      <c r="F1582" s="30"/>
      <c r="G1582" s="29"/>
      <c r="H1582" s="15"/>
    </row>
    <row r="1583" spans="2:8" x14ac:dyDescent="0.2">
      <c r="B1583" s="47"/>
      <c r="C1583" s="56" t="s">
        <v>1006</v>
      </c>
      <c r="D1583" s="43"/>
      <c r="E1583" s="109" t="s">
        <v>22</v>
      </c>
      <c r="F1583" s="28"/>
      <c r="G1583" s="26"/>
      <c r="H1583" s="21" t="b">
        <f>IF(D1585="x",H$2,H$1)</f>
        <v>0</v>
      </c>
    </row>
    <row r="1584" spans="2:8" x14ac:dyDescent="0.2">
      <c r="B1584" s="47"/>
      <c r="C1584" s="57" t="s">
        <v>1007</v>
      </c>
      <c r="D1584" s="43"/>
      <c r="E1584" s="109" t="s">
        <v>23</v>
      </c>
      <c r="F1584" s="22" t="str">
        <f>IF(H1585=1,IF(H1583=H$2,H1583,""),"")</f>
        <v/>
      </c>
      <c r="G1584" s="26"/>
      <c r="H1584" s="21" t="str">
        <f>IF(E$1696="comprobar",COUNTIF(D1583:D1587,"x"),"")</f>
        <v/>
      </c>
    </row>
    <row r="1585" spans="2:8" x14ac:dyDescent="0.2">
      <c r="B1585" s="47"/>
      <c r="C1585" s="57" t="s">
        <v>1008</v>
      </c>
      <c r="D1585" s="43"/>
      <c r="E1585" s="109" t="s">
        <v>24</v>
      </c>
      <c r="F1585" s="23" t="str">
        <f>IF(H1585=-0.33,IF(H1583=H$1,H1583,""),"")</f>
        <v/>
      </c>
      <c r="G1585" s="26"/>
      <c r="H1585" s="24">
        <f>IF(H1584=1,IF(H1583=H$2,1,-0.33),0)</f>
        <v>0</v>
      </c>
    </row>
    <row r="1586" spans="2:8" x14ac:dyDescent="0.2">
      <c r="B1586" s="47"/>
      <c r="C1586" s="57" t="s">
        <v>1009</v>
      </c>
      <c r="D1586" s="43"/>
      <c r="E1586" s="109" t="s">
        <v>25</v>
      </c>
      <c r="F1586" s="28"/>
      <c r="G1586" s="26"/>
      <c r="H1586" s="24"/>
    </row>
    <row r="1587" spans="2:8" x14ac:dyDescent="0.2">
      <c r="B1587" s="47"/>
      <c r="C1587" s="8"/>
      <c r="D1587" s="43"/>
      <c r="E1587" s="109" t="s">
        <v>26</v>
      </c>
      <c r="F1587" s="20"/>
      <c r="G1587" s="19"/>
      <c r="H1587" s="24"/>
    </row>
    <row r="1588" spans="2:8" x14ac:dyDescent="0.2">
      <c r="B1588" s="48">
        <v>33</v>
      </c>
      <c r="C1588" s="36" t="s">
        <v>1010</v>
      </c>
      <c r="D1588" s="44"/>
      <c r="E1588" s="14"/>
      <c r="F1588" s="30"/>
      <c r="G1588" s="29"/>
      <c r="H1588" s="15"/>
    </row>
    <row r="1589" spans="2:8" x14ac:dyDescent="0.2">
      <c r="B1589" s="47"/>
      <c r="C1589" s="56" t="s">
        <v>1011</v>
      </c>
      <c r="D1589" s="43"/>
      <c r="E1589" s="109" t="s">
        <v>22</v>
      </c>
      <c r="F1589" s="28"/>
      <c r="G1589" s="26"/>
      <c r="H1589" s="21" t="b">
        <f>IF(D1590="x",H$2,H$1)</f>
        <v>0</v>
      </c>
    </row>
    <row r="1590" spans="2:8" x14ac:dyDescent="0.2">
      <c r="B1590" s="47"/>
      <c r="C1590" s="57" t="s">
        <v>1012</v>
      </c>
      <c r="D1590" s="43"/>
      <c r="E1590" s="109" t="s">
        <v>23</v>
      </c>
      <c r="F1590" s="22" t="str">
        <f>IF(H1591=1,IF(H1589=H$2,H1589,""),"")</f>
        <v/>
      </c>
      <c r="G1590" s="26"/>
      <c r="H1590" s="21" t="str">
        <f>IF(E$1696="comprobar",COUNTIF(D1589:D1593,"x"),"")</f>
        <v/>
      </c>
    </row>
    <row r="1591" spans="2:8" x14ac:dyDescent="0.2">
      <c r="B1591" s="47"/>
      <c r="C1591" s="57" t="s">
        <v>1013</v>
      </c>
      <c r="D1591" s="43"/>
      <c r="E1591" s="109" t="s">
        <v>24</v>
      </c>
      <c r="F1591" s="23" t="str">
        <f>IF(H1591=-0.33,IF(H1589=H$1,H1589,""),"")</f>
        <v/>
      </c>
      <c r="G1591" s="26"/>
      <c r="H1591" s="24">
        <f>IF(H1590=1,IF(H1589=H$2,1,-0.33),0)</f>
        <v>0</v>
      </c>
    </row>
    <row r="1592" spans="2:8" x14ac:dyDescent="0.2">
      <c r="B1592" s="47"/>
      <c r="C1592" s="57" t="s">
        <v>1014</v>
      </c>
      <c r="D1592" s="43"/>
      <c r="E1592" s="109" t="s">
        <v>25</v>
      </c>
      <c r="F1592" s="28"/>
      <c r="G1592" s="26"/>
      <c r="H1592" s="24"/>
    </row>
    <row r="1593" spans="2:8" x14ac:dyDescent="0.2">
      <c r="B1593" s="47"/>
      <c r="C1593" s="8"/>
      <c r="D1593" s="43"/>
      <c r="E1593" s="109" t="s">
        <v>26</v>
      </c>
      <c r="F1593" s="20"/>
      <c r="G1593" s="19"/>
      <c r="H1593" s="24"/>
    </row>
    <row r="1594" spans="2:8" x14ac:dyDescent="0.2">
      <c r="B1594" s="48">
        <v>34</v>
      </c>
      <c r="C1594" s="36" t="s">
        <v>1015</v>
      </c>
      <c r="D1594" s="44"/>
      <c r="E1594" s="14"/>
      <c r="F1594" s="30"/>
      <c r="G1594" s="29"/>
      <c r="H1594" s="15"/>
    </row>
    <row r="1595" spans="2:8" x14ac:dyDescent="0.2">
      <c r="B1595" s="47"/>
      <c r="C1595" s="56" t="s">
        <v>1016</v>
      </c>
      <c r="D1595" s="43"/>
      <c r="E1595" s="109" t="s">
        <v>22</v>
      </c>
      <c r="F1595" s="28"/>
      <c r="G1595" s="26"/>
      <c r="H1595" s="21" t="b">
        <f>IF(D1596="x",H$2,H$1)</f>
        <v>0</v>
      </c>
    </row>
    <row r="1596" spans="2:8" x14ac:dyDescent="0.2">
      <c r="B1596" s="47"/>
      <c r="C1596" s="57" t="s">
        <v>1017</v>
      </c>
      <c r="D1596" s="43"/>
      <c r="E1596" s="109" t="s">
        <v>23</v>
      </c>
      <c r="F1596" s="22" t="str">
        <f>IF(H1597=1,IF(H1595=H$2,H1595,""),"")</f>
        <v/>
      </c>
      <c r="G1596" s="26"/>
      <c r="H1596" s="21" t="str">
        <f>IF(E$1696="comprobar",COUNTIF(D1595:D1599,"x"),"")</f>
        <v/>
      </c>
    </row>
    <row r="1597" spans="2:8" x14ac:dyDescent="0.2">
      <c r="B1597" s="47"/>
      <c r="C1597" s="57" t="s">
        <v>1018</v>
      </c>
      <c r="D1597" s="43"/>
      <c r="E1597" s="109" t="s">
        <v>24</v>
      </c>
      <c r="F1597" s="23" t="str">
        <f>IF(H1597=-0.33,IF(H1595=H$1,H1595,""),"")</f>
        <v/>
      </c>
      <c r="G1597" s="26"/>
      <c r="H1597" s="24">
        <f>IF(H1596=1,IF(H1595=H$2,1,-0.33),0)</f>
        <v>0</v>
      </c>
    </row>
    <row r="1598" spans="2:8" x14ac:dyDescent="0.2">
      <c r="B1598" s="47"/>
      <c r="C1598" s="57" t="s">
        <v>1019</v>
      </c>
      <c r="D1598" s="43"/>
      <c r="E1598" s="109" t="s">
        <v>25</v>
      </c>
      <c r="F1598" s="28"/>
      <c r="G1598" s="26"/>
      <c r="H1598" s="24"/>
    </row>
    <row r="1599" spans="2:8" x14ac:dyDescent="0.2">
      <c r="B1599" s="47"/>
      <c r="C1599" s="8"/>
      <c r="D1599" s="43"/>
      <c r="E1599" s="109" t="s">
        <v>26</v>
      </c>
      <c r="F1599" s="20"/>
      <c r="G1599" s="19"/>
      <c r="H1599" s="24"/>
    </row>
    <row r="1600" spans="2:8" x14ac:dyDescent="0.2">
      <c r="B1600" s="48">
        <v>35</v>
      </c>
      <c r="C1600" s="36" t="s">
        <v>1020</v>
      </c>
      <c r="D1600" s="44"/>
      <c r="E1600" s="14"/>
      <c r="F1600" s="30"/>
      <c r="G1600" s="29"/>
      <c r="H1600" s="15"/>
    </row>
    <row r="1601" spans="2:8" x14ac:dyDescent="0.2">
      <c r="B1601" s="47"/>
      <c r="C1601" s="56" t="s">
        <v>988</v>
      </c>
      <c r="D1601" s="43"/>
      <c r="E1601" s="109" t="s">
        <v>22</v>
      </c>
      <c r="F1601" s="28"/>
      <c r="G1601" s="26"/>
      <c r="H1601" s="21" t="b">
        <f>IF(D1603="x",H$2,H$1)</f>
        <v>0</v>
      </c>
    </row>
    <row r="1602" spans="2:8" x14ac:dyDescent="0.2">
      <c r="B1602" s="47"/>
      <c r="C1602" s="57" t="s">
        <v>986</v>
      </c>
      <c r="D1602" s="43"/>
      <c r="E1602" s="109" t="s">
        <v>23</v>
      </c>
      <c r="F1602" s="22" t="str">
        <f>IF(H1603=1,IF(H1601=H$2,H1601,""),"")</f>
        <v/>
      </c>
      <c r="G1602" s="26"/>
      <c r="H1602" s="21" t="str">
        <f>IF(E$1696="comprobar",COUNTIF(D1601:D1605,"x"),"")</f>
        <v/>
      </c>
    </row>
    <row r="1603" spans="2:8" x14ac:dyDescent="0.2">
      <c r="B1603" s="47"/>
      <c r="C1603" s="57" t="s">
        <v>987</v>
      </c>
      <c r="D1603" s="43"/>
      <c r="E1603" s="109" t="s">
        <v>24</v>
      </c>
      <c r="F1603" s="23" t="str">
        <f>IF(H1603=-0.33,IF(H1601=H$1,H1601,""),"")</f>
        <v/>
      </c>
      <c r="G1603" s="26"/>
      <c r="H1603" s="24">
        <f>IF(H1602=1,IF(H1601=H$2,1,-0.33),0)</f>
        <v>0</v>
      </c>
    </row>
    <row r="1604" spans="2:8" x14ac:dyDescent="0.2">
      <c r="B1604" s="47"/>
      <c r="C1604" s="57" t="s">
        <v>989</v>
      </c>
      <c r="D1604" s="43"/>
      <c r="E1604" s="109" t="s">
        <v>25</v>
      </c>
      <c r="F1604" s="28"/>
      <c r="G1604" s="26"/>
      <c r="H1604" s="24"/>
    </row>
    <row r="1605" spans="2:8" x14ac:dyDescent="0.2">
      <c r="B1605" s="47"/>
      <c r="C1605" s="8"/>
      <c r="D1605" s="43"/>
      <c r="E1605" s="109" t="s">
        <v>26</v>
      </c>
      <c r="F1605" s="20"/>
      <c r="G1605" s="19"/>
      <c r="H1605" s="24"/>
    </row>
    <row r="1606" spans="2:8" x14ac:dyDescent="0.2">
      <c r="B1606" s="48">
        <v>36</v>
      </c>
      <c r="C1606" s="36" t="s">
        <v>1057</v>
      </c>
      <c r="D1606" s="44"/>
      <c r="E1606" s="14"/>
      <c r="F1606" s="30"/>
      <c r="G1606" s="29"/>
      <c r="H1606" s="15"/>
    </row>
    <row r="1607" spans="2:8" x14ac:dyDescent="0.2">
      <c r="B1607" s="47"/>
      <c r="C1607" s="56" t="s">
        <v>1058</v>
      </c>
      <c r="D1607" s="43"/>
      <c r="E1607" s="109" t="s">
        <v>22</v>
      </c>
      <c r="F1607" s="28"/>
      <c r="G1607" s="26"/>
      <c r="H1607" s="21" t="b">
        <f>IF(D1609="x",H$2,H$1)</f>
        <v>0</v>
      </c>
    </row>
    <row r="1608" spans="2:8" x14ac:dyDescent="0.2">
      <c r="B1608" s="47"/>
      <c r="C1608" s="57" t="s">
        <v>513</v>
      </c>
      <c r="D1608" s="43"/>
      <c r="E1608" s="109" t="s">
        <v>23</v>
      </c>
      <c r="F1608" s="22" t="str">
        <f>IF(H1609=1,IF(H1607=H$2,H1607,""),"")</f>
        <v/>
      </c>
      <c r="G1608" s="26"/>
      <c r="H1608" s="21" t="str">
        <f>IF(E$1696="comprobar",COUNTIF(D1607:D1611,"x"),"")</f>
        <v/>
      </c>
    </row>
    <row r="1609" spans="2:8" x14ac:dyDescent="0.2">
      <c r="B1609" s="47"/>
      <c r="C1609" s="57" t="s">
        <v>514</v>
      </c>
      <c r="D1609" s="43"/>
      <c r="E1609" s="109" t="s">
        <v>24</v>
      </c>
      <c r="F1609" s="23" t="str">
        <f>IF(H1609=-0.33,IF(H1607=H$1,H1607,""),"")</f>
        <v/>
      </c>
      <c r="G1609" s="26"/>
      <c r="H1609" s="24">
        <f>IF(H1608=1,IF(H1607=H$2,1,-0.33),0)</f>
        <v>0</v>
      </c>
    </row>
    <row r="1610" spans="2:8" x14ac:dyDescent="0.2">
      <c r="B1610" s="47"/>
      <c r="C1610" s="57" t="s">
        <v>1059</v>
      </c>
      <c r="D1610" s="43"/>
      <c r="E1610" s="109" t="s">
        <v>25</v>
      </c>
      <c r="F1610" s="28"/>
      <c r="G1610" s="26"/>
      <c r="H1610" s="24"/>
    </row>
    <row r="1611" spans="2:8" x14ac:dyDescent="0.2">
      <c r="B1611" s="47"/>
      <c r="C1611" s="8"/>
      <c r="D1611" s="43"/>
      <c r="E1611" s="109" t="s">
        <v>26</v>
      </c>
      <c r="F1611" s="20"/>
      <c r="G1611" s="19"/>
      <c r="H1611" s="24"/>
    </row>
    <row r="1612" spans="2:8" x14ac:dyDescent="0.2">
      <c r="B1612" s="48">
        <v>37</v>
      </c>
      <c r="C1612" s="36" t="s">
        <v>1021</v>
      </c>
      <c r="D1612" s="44"/>
      <c r="E1612" s="14"/>
      <c r="F1612" s="30"/>
      <c r="G1612" s="29"/>
      <c r="H1612" s="15"/>
    </row>
    <row r="1613" spans="2:8" x14ac:dyDescent="0.2">
      <c r="B1613" s="47"/>
      <c r="C1613" s="56" t="s">
        <v>829</v>
      </c>
      <c r="D1613" s="43"/>
      <c r="E1613" s="109" t="s">
        <v>22</v>
      </c>
      <c r="F1613" s="28"/>
      <c r="G1613" s="26"/>
      <c r="H1613" s="21" t="b">
        <f>IF(D1614="x",H$2,H$1)</f>
        <v>0</v>
      </c>
    </row>
    <row r="1614" spans="2:8" x14ac:dyDescent="0.2">
      <c r="B1614" s="47"/>
      <c r="C1614" s="57" t="s">
        <v>832</v>
      </c>
      <c r="D1614" s="43"/>
      <c r="E1614" s="109" t="s">
        <v>23</v>
      </c>
      <c r="F1614" s="22" t="str">
        <f>IF(H1615=1,IF(H1613=H$2,H1613,""),"")</f>
        <v/>
      </c>
      <c r="G1614" s="26"/>
      <c r="H1614" s="21" t="str">
        <f>IF(E$1696="comprobar",COUNTIF(D1613:D1617,"x"),"")</f>
        <v/>
      </c>
    </row>
    <row r="1615" spans="2:8" x14ac:dyDescent="0.2">
      <c r="B1615" s="47"/>
      <c r="C1615" s="57" t="s">
        <v>830</v>
      </c>
      <c r="D1615" s="43"/>
      <c r="E1615" s="109" t="s">
        <v>24</v>
      </c>
      <c r="F1615" s="23" t="str">
        <f>IF(H1615=-0.33,IF(H1613=H$1,H1613,""),"")</f>
        <v/>
      </c>
      <c r="G1615" s="26"/>
      <c r="H1615" s="24">
        <f>IF(H1614=1,IF(H1613=H$2,1,-0.33),0)</f>
        <v>0</v>
      </c>
    </row>
    <row r="1616" spans="2:8" x14ac:dyDescent="0.2">
      <c r="B1616" s="47"/>
      <c r="C1616" s="57" t="s">
        <v>831</v>
      </c>
      <c r="D1616" s="43"/>
      <c r="E1616" s="109" t="s">
        <v>25</v>
      </c>
      <c r="F1616" s="28"/>
      <c r="G1616" s="26"/>
      <c r="H1616" s="24"/>
    </row>
    <row r="1617" spans="2:8" x14ac:dyDescent="0.2">
      <c r="B1617" s="47"/>
      <c r="C1617" s="8"/>
      <c r="D1617" s="43"/>
      <c r="E1617" s="109" t="s">
        <v>26</v>
      </c>
      <c r="F1617" s="20"/>
      <c r="G1617" s="19"/>
      <c r="H1617" s="24"/>
    </row>
    <row r="1618" spans="2:8" x14ac:dyDescent="0.2">
      <c r="B1618" s="48">
        <v>38</v>
      </c>
      <c r="C1618" s="36" t="s">
        <v>1022</v>
      </c>
      <c r="D1618" s="44"/>
      <c r="E1618" s="14"/>
      <c r="F1618" s="30"/>
      <c r="G1618" s="29"/>
      <c r="H1618" s="15"/>
    </row>
    <row r="1619" spans="2:8" x14ac:dyDescent="0.2">
      <c r="B1619" s="47"/>
      <c r="C1619" s="56" t="s">
        <v>721</v>
      </c>
      <c r="D1619" s="43"/>
      <c r="E1619" s="109" t="s">
        <v>22</v>
      </c>
      <c r="F1619" s="28"/>
      <c r="G1619" s="26"/>
      <c r="H1619" s="21" t="b">
        <f>IF(D1622="x",H$2,H$1)</f>
        <v>0</v>
      </c>
    </row>
    <row r="1620" spans="2:8" x14ac:dyDescent="0.2">
      <c r="B1620" s="47"/>
      <c r="C1620" s="57" t="s">
        <v>76</v>
      </c>
      <c r="D1620" s="43"/>
      <c r="E1620" s="109" t="s">
        <v>23</v>
      </c>
      <c r="F1620" s="22" t="str">
        <f>IF(H1621=1,IF(H1619=H$2,H1619,""),"")</f>
        <v/>
      </c>
      <c r="G1620" s="26"/>
      <c r="H1620" s="21" t="str">
        <f>IF(E$1696="comprobar",COUNTIF(D1619:D1623,"x"),"")</f>
        <v/>
      </c>
    </row>
    <row r="1621" spans="2:8" x14ac:dyDescent="0.2">
      <c r="B1621" s="47"/>
      <c r="C1621" s="57" t="s">
        <v>74</v>
      </c>
      <c r="D1621" s="43"/>
      <c r="E1621" s="109" t="s">
        <v>24</v>
      </c>
      <c r="F1621" s="23" t="str">
        <f>IF(H1621=-0.33,IF(H1619=H$1,H1619,""),"")</f>
        <v/>
      </c>
      <c r="G1621" s="26"/>
      <c r="H1621" s="24">
        <f>IF(H1620=1,IF(H1619=H$2,1,-0.33),0)</f>
        <v>0</v>
      </c>
    </row>
    <row r="1622" spans="2:8" x14ac:dyDescent="0.2">
      <c r="B1622" s="47"/>
      <c r="C1622" s="57" t="s">
        <v>720</v>
      </c>
      <c r="D1622" s="43"/>
      <c r="E1622" s="109" t="s">
        <v>25</v>
      </c>
      <c r="F1622" s="28"/>
      <c r="G1622" s="26"/>
      <c r="H1622" s="24"/>
    </row>
    <row r="1623" spans="2:8" x14ac:dyDescent="0.2">
      <c r="B1623" s="47"/>
      <c r="C1623" s="8"/>
      <c r="D1623" s="43"/>
      <c r="E1623" s="109" t="s">
        <v>26</v>
      </c>
      <c r="F1623" s="20"/>
      <c r="G1623" s="19"/>
      <c r="H1623" s="24"/>
    </row>
    <row r="1624" spans="2:8" x14ac:dyDescent="0.2">
      <c r="B1624" s="48">
        <v>39</v>
      </c>
      <c r="C1624" s="36" t="s">
        <v>1034</v>
      </c>
      <c r="D1624" s="44"/>
      <c r="E1624" s="14"/>
      <c r="F1624" s="30"/>
      <c r="G1624" s="29"/>
      <c r="H1624" s="15"/>
    </row>
    <row r="1625" spans="2:8" x14ac:dyDescent="0.2">
      <c r="B1625" s="47"/>
      <c r="C1625" s="56" t="s">
        <v>276</v>
      </c>
      <c r="D1625" s="43"/>
      <c r="E1625" s="109" t="s">
        <v>22</v>
      </c>
      <c r="F1625" s="28"/>
      <c r="G1625" s="26"/>
      <c r="H1625" s="21" t="b">
        <f>IF(D1627="x",H$2,H$1)</f>
        <v>0</v>
      </c>
    </row>
    <row r="1626" spans="2:8" x14ac:dyDescent="0.2">
      <c r="B1626" s="47"/>
      <c r="C1626" s="57" t="s">
        <v>275</v>
      </c>
      <c r="D1626" s="43"/>
      <c r="E1626" s="109" t="s">
        <v>23</v>
      </c>
      <c r="F1626" s="22" t="str">
        <f>IF(H1627=1,IF(H1625=H$2,H1625,""),"")</f>
        <v/>
      </c>
      <c r="G1626" s="26"/>
      <c r="H1626" s="21" t="str">
        <f>IF(E$1696="comprobar",COUNTIF(D1625:D1629,"x"),"")</f>
        <v/>
      </c>
    </row>
    <row r="1627" spans="2:8" x14ac:dyDescent="0.2">
      <c r="B1627" s="47"/>
      <c r="C1627" s="57" t="s">
        <v>1060</v>
      </c>
      <c r="D1627" s="43"/>
      <c r="E1627" s="109" t="s">
        <v>24</v>
      </c>
      <c r="F1627" s="23" t="str">
        <f>IF(H1627=-0.33,IF(H1625=H$1,H1625,""),"")</f>
        <v/>
      </c>
      <c r="G1627" s="26"/>
      <c r="H1627" s="24">
        <f>IF(H1626=1,IF(H1625=H$2,1,-0.33),0)</f>
        <v>0</v>
      </c>
    </row>
    <row r="1628" spans="2:8" x14ac:dyDescent="0.2">
      <c r="B1628" s="47"/>
      <c r="C1628" s="57" t="s">
        <v>274</v>
      </c>
      <c r="D1628" s="43"/>
      <c r="E1628" s="109" t="s">
        <v>25</v>
      </c>
      <c r="F1628" s="28"/>
      <c r="G1628" s="26"/>
      <c r="H1628" s="24"/>
    </row>
    <row r="1629" spans="2:8" x14ac:dyDescent="0.2">
      <c r="B1629" s="47"/>
      <c r="C1629" s="8"/>
      <c r="D1629" s="43"/>
      <c r="E1629" s="109" t="s">
        <v>26</v>
      </c>
      <c r="F1629" s="20"/>
      <c r="G1629" s="19"/>
      <c r="H1629" s="24"/>
    </row>
    <row r="1630" spans="2:8" x14ac:dyDescent="0.2">
      <c r="B1630" s="48">
        <v>40</v>
      </c>
      <c r="C1630" s="36" t="s">
        <v>455</v>
      </c>
      <c r="D1630" s="44"/>
      <c r="E1630" s="14"/>
      <c r="F1630" s="30"/>
      <c r="G1630" s="29"/>
      <c r="H1630" s="15"/>
    </row>
    <row r="1631" spans="2:8" x14ac:dyDescent="0.2">
      <c r="B1631" s="47"/>
      <c r="C1631" s="56" t="s">
        <v>456</v>
      </c>
      <c r="D1631" s="43"/>
      <c r="E1631" s="109" t="s">
        <v>22</v>
      </c>
      <c r="F1631" s="28"/>
      <c r="G1631" s="26"/>
      <c r="H1631" s="21" t="b">
        <f>IF(D1632="x",H$2,H$1)</f>
        <v>0</v>
      </c>
    </row>
    <row r="1632" spans="2:8" x14ac:dyDescent="0.2">
      <c r="B1632" s="47"/>
      <c r="C1632" s="57" t="s">
        <v>1061</v>
      </c>
      <c r="D1632" s="43"/>
      <c r="E1632" s="109" t="s">
        <v>23</v>
      </c>
      <c r="F1632" s="22" t="str">
        <f>IF(H1633=1,IF(H1631=H$2,H1631,""),"")</f>
        <v/>
      </c>
      <c r="G1632" s="26"/>
      <c r="H1632" s="21" t="str">
        <f>IF(E$1696="comprobar",COUNTIF(D1631:D1635,"x"),"")</f>
        <v/>
      </c>
    </row>
    <row r="1633" spans="2:8" x14ac:dyDescent="0.2">
      <c r="B1633" s="47"/>
      <c r="C1633" s="57" t="s">
        <v>1062</v>
      </c>
      <c r="D1633" s="43"/>
      <c r="E1633" s="109" t="s">
        <v>24</v>
      </c>
      <c r="F1633" s="23" t="str">
        <f>IF(H1633=-0.33,IF(H1631=H$1,H1631,""),"")</f>
        <v/>
      </c>
      <c r="G1633" s="26"/>
      <c r="H1633" s="24">
        <f>IF(H1632=1,IF(H1631=H$2,1,-0.33),0)</f>
        <v>0</v>
      </c>
    </row>
    <row r="1634" spans="2:8" x14ac:dyDescent="0.2">
      <c r="B1634" s="47"/>
      <c r="C1634" s="57" t="s">
        <v>457</v>
      </c>
      <c r="D1634" s="43"/>
      <c r="E1634" s="109" t="s">
        <v>25</v>
      </c>
      <c r="F1634" s="28"/>
      <c r="G1634" s="26"/>
      <c r="H1634" s="24"/>
    </row>
    <row r="1635" spans="2:8" x14ac:dyDescent="0.2">
      <c r="B1635" s="47"/>
      <c r="C1635" s="8"/>
      <c r="D1635" s="43"/>
      <c r="E1635" s="109" t="s">
        <v>26</v>
      </c>
      <c r="F1635" s="20"/>
      <c r="G1635" s="19"/>
      <c r="H1635" s="24"/>
    </row>
    <row r="1636" spans="2:8" x14ac:dyDescent="0.2">
      <c r="B1636" s="48">
        <v>41</v>
      </c>
      <c r="C1636" s="36" t="s">
        <v>1063</v>
      </c>
      <c r="D1636" s="44"/>
      <c r="E1636" s="14"/>
      <c r="F1636" s="30"/>
      <c r="G1636" s="29"/>
      <c r="H1636" s="15"/>
    </row>
    <row r="1637" spans="2:8" x14ac:dyDescent="0.2">
      <c r="B1637" s="47"/>
      <c r="C1637" s="56" t="s">
        <v>1064</v>
      </c>
      <c r="D1637" s="43"/>
      <c r="E1637" s="109" t="s">
        <v>22</v>
      </c>
      <c r="F1637" s="28"/>
      <c r="G1637" s="26"/>
      <c r="H1637" s="21" t="b">
        <f>IF(D1638="x",H$2,H$1)</f>
        <v>0</v>
      </c>
    </row>
    <row r="1638" spans="2:8" x14ac:dyDescent="0.2">
      <c r="B1638" s="47"/>
      <c r="C1638" s="57" t="s">
        <v>371</v>
      </c>
      <c r="D1638" s="43"/>
      <c r="E1638" s="109" t="s">
        <v>23</v>
      </c>
      <c r="F1638" s="22" t="str">
        <f>IF(H1639=1,IF(H1637=H$2,H1637,""),"")</f>
        <v/>
      </c>
      <c r="G1638" s="26"/>
      <c r="H1638" s="21" t="str">
        <f>IF(E$1696="comprobar",COUNTIF(D1637:D1641,"x"),"")</f>
        <v/>
      </c>
    </row>
    <row r="1639" spans="2:8" x14ac:dyDescent="0.2">
      <c r="B1639" s="47"/>
      <c r="C1639" s="57" t="s">
        <v>369</v>
      </c>
      <c r="D1639" s="43"/>
      <c r="E1639" s="109" t="s">
        <v>24</v>
      </c>
      <c r="F1639" s="23" t="str">
        <f>IF(H1639=-0.33,IF(H1637=H$1,H1637,""),"")</f>
        <v/>
      </c>
      <c r="G1639" s="26"/>
      <c r="H1639" s="24">
        <f>IF(H1638=1,IF(H1637=H$2,1,-0.33),0)</f>
        <v>0</v>
      </c>
    </row>
    <row r="1640" spans="2:8" x14ac:dyDescent="0.2">
      <c r="B1640" s="47"/>
      <c r="C1640" s="57" t="s">
        <v>370</v>
      </c>
      <c r="D1640" s="43"/>
      <c r="E1640" s="109" t="s">
        <v>25</v>
      </c>
      <c r="F1640" s="28"/>
      <c r="G1640" s="26"/>
      <c r="H1640" s="24"/>
    </row>
    <row r="1641" spans="2:8" x14ac:dyDescent="0.2">
      <c r="B1641" s="47"/>
      <c r="C1641" s="8"/>
      <c r="D1641" s="43"/>
      <c r="E1641" s="109" t="s">
        <v>26</v>
      </c>
      <c r="F1641" s="20"/>
      <c r="G1641" s="19"/>
      <c r="H1641" s="24"/>
    </row>
    <row r="1642" spans="2:8" x14ac:dyDescent="0.2">
      <c r="B1642" s="48">
        <v>42</v>
      </c>
      <c r="C1642" s="36" t="s">
        <v>213</v>
      </c>
      <c r="D1642" s="44"/>
      <c r="E1642" s="14"/>
      <c r="F1642" s="30"/>
      <c r="G1642" s="29"/>
      <c r="H1642" s="15"/>
    </row>
    <row r="1643" spans="2:8" x14ac:dyDescent="0.2">
      <c r="B1643" s="47"/>
      <c r="C1643" s="56" t="s">
        <v>215</v>
      </c>
      <c r="D1643" s="43"/>
      <c r="E1643" s="109" t="s">
        <v>22</v>
      </c>
      <c r="F1643" s="28"/>
      <c r="G1643" s="26"/>
      <c r="H1643" s="21" t="b">
        <f>IF(D1644="x",H$2,H$1)</f>
        <v>0</v>
      </c>
    </row>
    <row r="1644" spans="2:8" x14ac:dyDescent="0.2">
      <c r="B1644" s="47"/>
      <c r="C1644" s="57" t="s">
        <v>191</v>
      </c>
      <c r="D1644" s="43"/>
      <c r="E1644" s="109" t="s">
        <v>23</v>
      </c>
      <c r="F1644" s="22" t="str">
        <f>IF(H1645=1,IF(H1643=H$2,H1643,""),"")</f>
        <v/>
      </c>
      <c r="G1644" s="26"/>
      <c r="H1644" s="21" t="str">
        <f>IF(E$1696="comprobar",COUNTIF(D1643:D1647,"x"),"")</f>
        <v/>
      </c>
    </row>
    <row r="1645" spans="2:8" x14ac:dyDescent="0.2">
      <c r="B1645" s="47"/>
      <c r="C1645" s="57" t="s">
        <v>192</v>
      </c>
      <c r="D1645" s="43"/>
      <c r="E1645" s="109" t="s">
        <v>24</v>
      </c>
      <c r="F1645" s="23" t="str">
        <f>IF(H1645=-0.33,IF(H1643=H$1,H1643,""),"")</f>
        <v/>
      </c>
      <c r="G1645" s="26"/>
      <c r="H1645" s="24">
        <f>IF(H1644=1,IF(H1643=H$2,1,-0.33),0)</f>
        <v>0</v>
      </c>
    </row>
    <row r="1646" spans="2:8" x14ac:dyDescent="0.2">
      <c r="B1646" s="47"/>
      <c r="C1646" s="57" t="s">
        <v>214</v>
      </c>
      <c r="D1646" s="43"/>
      <c r="E1646" s="109" t="s">
        <v>25</v>
      </c>
      <c r="F1646" s="28"/>
      <c r="G1646" s="26"/>
      <c r="H1646" s="24"/>
    </row>
    <row r="1647" spans="2:8" x14ac:dyDescent="0.2">
      <c r="B1647" s="47"/>
      <c r="C1647" s="8"/>
      <c r="D1647" s="43"/>
      <c r="E1647" s="109" t="s">
        <v>26</v>
      </c>
      <c r="F1647" s="20"/>
      <c r="G1647" s="19"/>
      <c r="H1647" s="24"/>
    </row>
    <row r="1648" spans="2:8" x14ac:dyDescent="0.2">
      <c r="B1648" s="48">
        <v>43</v>
      </c>
      <c r="C1648" s="36" t="s">
        <v>1065</v>
      </c>
      <c r="D1648" s="44"/>
      <c r="E1648" s="14"/>
      <c r="F1648" s="30"/>
      <c r="G1648" s="29"/>
      <c r="H1648" s="15"/>
    </row>
    <row r="1649" spans="2:8" x14ac:dyDescent="0.2">
      <c r="B1649" s="47"/>
      <c r="C1649" s="56" t="s">
        <v>292</v>
      </c>
      <c r="D1649" s="43"/>
      <c r="E1649" s="109" t="s">
        <v>22</v>
      </c>
      <c r="F1649" s="28"/>
      <c r="G1649" s="26"/>
      <c r="H1649" s="21" t="b">
        <f>IF(D1652="x",H$2,H$1)</f>
        <v>0</v>
      </c>
    </row>
    <row r="1650" spans="2:8" x14ac:dyDescent="0.2">
      <c r="B1650" s="47"/>
      <c r="C1650" s="57" t="s">
        <v>293</v>
      </c>
      <c r="D1650" s="43"/>
      <c r="E1650" s="109" t="s">
        <v>23</v>
      </c>
      <c r="F1650" s="22" t="str">
        <f>IF(H1651=1,IF(H1649=H$2,H1649,""),"")</f>
        <v/>
      </c>
      <c r="G1650" s="26"/>
      <c r="H1650" s="21" t="str">
        <f>IF(E$1696="comprobar",COUNTIF(D1649:D1653,"x"),"")</f>
        <v/>
      </c>
    </row>
    <row r="1651" spans="2:8" x14ac:dyDescent="0.2">
      <c r="B1651" s="47"/>
      <c r="C1651" s="57" t="s">
        <v>1066</v>
      </c>
      <c r="D1651" s="43"/>
      <c r="E1651" s="109" t="s">
        <v>24</v>
      </c>
      <c r="F1651" s="23" t="str">
        <f>IF(H1651=-0.33,IF(H1649=H$1,H1649,""),"")</f>
        <v/>
      </c>
      <c r="G1651" s="26"/>
      <c r="H1651" s="24">
        <f>IF(H1650=1,IF(H1649=H$2,1,-0.33),0)</f>
        <v>0</v>
      </c>
    </row>
    <row r="1652" spans="2:8" x14ac:dyDescent="0.2">
      <c r="B1652" s="47"/>
      <c r="C1652" s="57" t="s">
        <v>294</v>
      </c>
      <c r="D1652" s="43"/>
      <c r="E1652" s="109" t="s">
        <v>25</v>
      </c>
      <c r="F1652" s="28"/>
      <c r="G1652" s="26"/>
      <c r="H1652" s="24"/>
    </row>
    <row r="1653" spans="2:8" x14ac:dyDescent="0.2">
      <c r="B1653" s="47"/>
      <c r="C1653" s="8"/>
      <c r="D1653" s="43"/>
      <c r="E1653" s="109" t="s">
        <v>26</v>
      </c>
      <c r="F1653" s="20"/>
      <c r="G1653" s="19"/>
      <c r="H1653" s="24"/>
    </row>
    <row r="1654" spans="2:8" x14ac:dyDescent="0.2">
      <c r="B1654" s="48">
        <v>44</v>
      </c>
      <c r="C1654" s="36" t="s">
        <v>173</v>
      </c>
      <c r="D1654" s="44"/>
      <c r="E1654" s="14"/>
      <c r="F1654" s="30"/>
      <c r="G1654" s="29"/>
      <c r="H1654" s="15"/>
    </row>
    <row r="1655" spans="2:8" x14ac:dyDescent="0.2">
      <c r="B1655" s="47"/>
      <c r="C1655" s="56" t="s">
        <v>175</v>
      </c>
      <c r="D1655" s="43"/>
      <c r="E1655" s="109" t="s">
        <v>22</v>
      </c>
      <c r="F1655" s="28"/>
      <c r="G1655" s="26"/>
      <c r="H1655" s="21" t="b">
        <f>IF(D1656="x",H$2,H$1)</f>
        <v>0</v>
      </c>
    </row>
    <row r="1656" spans="2:8" x14ac:dyDescent="0.2">
      <c r="B1656" s="47"/>
      <c r="C1656" s="57" t="s">
        <v>174</v>
      </c>
      <c r="D1656" s="43"/>
      <c r="E1656" s="109" t="s">
        <v>23</v>
      </c>
      <c r="F1656" s="22" t="str">
        <f>IF(H1657=1,IF(H1655=H$2,H1655,""),"")</f>
        <v/>
      </c>
      <c r="G1656" s="26"/>
      <c r="H1656" s="21" t="str">
        <f>IF(E$1696="comprobar",COUNTIF(D1655:D1659,"x"),"")</f>
        <v/>
      </c>
    </row>
    <row r="1657" spans="2:8" x14ac:dyDescent="0.2">
      <c r="B1657" s="47"/>
      <c r="C1657" s="57" t="s">
        <v>1067</v>
      </c>
      <c r="D1657" s="43"/>
      <c r="E1657" s="109" t="s">
        <v>24</v>
      </c>
      <c r="F1657" s="23" t="str">
        <f>IF(H1657=-0.33,IF(H1655=H$1,H1655,""),"")</f>
        <v/>
      </c>
      <c r="G1657" s="26"/>
      <c r="H1657" s="24">
        <f>IF(H1656=1,IF(H1655=H$2,1,-0.33),0)</f>
        <v>0</v>
      </c>
    </row>
    <row r="1658" spans="2:8" x14ac:dyDescent="0.2">
      <c r="B1658" s="47"/>
      <c r="C1658" s="57" t="s">
        <v>176</v>
      </c>
      <c r="D1658" s="43"/>
      <c r="E1658" s="109" t="s">
        <v>25</v>
      </c>
      <c r="F1658" s="28"/>
      <c r="G1658" s="26"/>
      <c r="H1658" s="24"/>
    </row>
    <row r="1659" spans="2:8" x14ac:dyDescent="0.2">
      <c r="B1659" s="47"/>
      <c r="C1659" s="8"/>
      <c r="D1659" s="43"/>
      <c r="E1659" s="109" t="s">
        <v>26</v>
      </c>
      <c r="F1659" s="20"/>
      <c r="G1659" s="19"/>
      <c r="H1659" s="24"/>
    </row>
    <row r="1660" spans="2:8" x14ac:dyDescent="0.2">
      <c r="B1660" s="48">
        <v>45</v>
      </c>
      <c r="C1660" s="36" t="s">
        <v>1068</v>
      </c>
      <c r="D1660" s="44"/>
      <c r="E1660" s="14"/>
      <c r="F1660" s="30"/>
      <c r="G1660" s="29"/>
      <c r="H1660" s="15"/>
    </row>
    <row r="1661" spans="2:8" x14ac:dyDescent="0.2">
      <c r="B1661" s="47"/>
      <c r="C1661" s="56" t="s">
        <v>244</v>
      </c>
      <c r="D1661" s="43"/>
      <c r="E1661" s="109" t="s">
        <v>22</v>
      </c>
      <c r="F1661" s="28"/>
      <c r="G1661" s="26"/>
      <c r="H1661" s="21" t="b">
        <f>IF(D1663="x",H$2,H$1)</f>
        <v>0</v>
      </c>
    </row>
    <row r="1662" spans="2:8" x14ac:dyDescent="0.2">
      <c r="B1662" s="47"/>
      <c r="C1662" s="57" t="s">
        <v>1069</v>
      </c>
      <c r="D1662" s="43"/>
      <c r="E1662" s="109" t="s">
        <v>23</v>
      </c>
      <c r="F1662" s="22" t="str">
        <f>IF(H1663=1,IF(H1661=H$2,H1661,""),"")</f>
        <v/>
      </c>
      <c r="G1662" s="26"/>
      <c r="H1662" s="21" t="str">
        <f>IF(E$1696="comprobar",COUNTIF(D1661:D1665,"x"),"")</f>
        <v/>
      </c>
    </row>
    <row r="1663" spans="2:8" x14ac:dyDescent="0.2">
      <c r="B1663" s="47"/>
      <c r="C1663" s="57" t="s">
        <v>245</v>
      </c>
      <c r="D1663" s="43"/>
      <c r="E1663" s="109" t="s">
        <v>24</v>
      </c>
      <c r="F1663" s="23" t="str">
        <f>IF(H1663=-0.33,IF(H1661=H$1,H1661,""),"")</f>
        <v/>
      </c>
      <c r="G1663" s="26"/>
      <c r="H1663" s="24">
        <f>IF(H1662=1,IF(H1661=H$2,1,-0.33),0)</f>
        <v>0</v>
      </c>
    </row>
    <row r="1664" spans="2:8" x14ac:dyDescent="0.2">
      <c r="B1664" s="47"/>
      <c r="C1664" s="57" t="s">
        <v>243</v>
      </c>
      <c r="D1664" s="43"/>
      <c r="E1664" s="109" t="s">
        <v>25</v>
      </c>
      <c r="F1664" s="28"/>
      <c r="G1664" s="26"/>
      <c r="H1664" s="24"/>
    </row>
    <row r="1665" spans="2:8" x14ac:dyDescent="0.2">
      <c r="B1665" s="47"/>
      <c r="C1665" s="8"/>
      <c r="D1665" s="43"/>
      <c r="E1665" s="109" t="s">
        <v>26</v>
      </c>
      <c r="F1665" s="20"/>
      <c r="G1665" s="19"/>
      <c r="H1665" s="24"/>
    </row>
    <row r="1666" spans="2:8" x14ac:dyDescent="0.2">
      <c r="B1666" s="48">
        <v>46</v>
      </c>
      <c r="C1666" s="36" t="s">
        <v>1070</v>
      </c>
      <c r="D1666" s="44"/>
      <c r="E1666" s="14"/>
      <c r="F1666" s="30"/>
      <c r="G1666" s="29"/>
      <c r="H1666" s="15"/>
    </row>
    <row r="1667" spans="2:8" x14ac:dyDescent="0.2">
      <c r="B1667" s="47"/>
      <c r="C1667" s="56" t="s">
        <v>481</v>
      </c>
      <c r="D1667" s="43"/>
      <c r="E1667" s="109" t="s">
        <v>22</v>
      </c>
      <c r="F1667" s="28"/>
      <c r="G1667" s="26"/>
      <c r="H1667" s="21" t="b">
        <f>IF(D1667="x",H$2,H$1)</f>
        <v>0</v>
      </c>
    </row>
    <row r="1668" spans="2:8" x14ac:dyDescent="0.2">
      <c r="B1668" s="47"/>
      <c r="C1668" s="57" t="s">
        <v>1071</v>
      </c>
      <c r="D1668" s="43"/>
      <c r="E1668" s="109" t="s">
        <v>23</v>
      </c>
      <c r="F1668" s="22" t="str">
        <f>IF(H1669=1,IF(H1667=H$2,H1667,""),"")</f>
        <v/>
      </c>
      <c r="G1668" s="26"/>
      <c r="H1668" s="21" t="str">
        <f>IF(E$1696="comprobar",COUNTIF(D1667:D1671,"x"),"")</f>
        <v/>
      </c>
    </row>
    <row r="1669" spans="2:8" x14ac:dyDescent="0.2">
      <c r="B1669" s="47"/>
      <c r="C1669" s="57" t="s">
        <v>1072</v>
      </c>
      <c r="D1669" s="43"/>
      <c r="E1669" s="109" t="s">
        <v>24</v>
      </c>
      <c r="F1669" s="23" t="str">
        <f>IF(H1669=-0.33,IF(H1667=H$1,H1667,""),"")</f>
        <v/>
      </c>
      <c r="G1669" s="26"/>
      <c r="H1669" s="24">
        <f>IF(H1668=1,IF(H1667=H$2,1,-0.33),0)</f>
        <v>0</v>
      </c>
    </row>
    <row r="1670" spans="2:8" x14ac:dyDescent="0.2">
      <c r="B1670" s="47"/>
      <c r="C1670" s="57" t="s">
        <v>430</v>
      </c>
      <c r="D1670" s="43"/>
      <c r="E1670" s="109" t="s">
        <v>25</v>
      </c>
      <c r="F1670" s="28"/>
      <c r="G1670" s="26"/>
      <c r="H1670" s="24"/>
    </row>
    <row r="1671" spans="2:8" x14ac:dyDescent="0.2">
      <c r="B1671" s="47"/>
      <c r="C1671" s="8"/>
      <c r="D1671" s="43"/>
      <c r="E1671" s="109" t="s">
        <v>26</v>
      </c>
      <c r="F1671" s="20"/>
      <c r="G1671" s="19"/>
      <c r="H1671" s="24"/>
    </row>
    <row r="1672" spans="2:8" x14ac:dyDescent="0.2">
      <c r="B1672" s="48">
        <v>47</v>
      </c>
      <c r="C1672" s="36" t="s">
        <v>1073</v>
      </c>
      <c r="D1672" s="44"/>
      <c r="E1672" s="14"/>
      <c r="F1672" s="30"/>
      <c r="G1672" s="29"/>
      <c r="H1672" s="15"/>
    </row>
    <row r="1673" spans="2:8" x14ac:dyDescent="0.2">
      <c r="B1673" s="47"/>
      <c r="C1673" s="56" t="s">
        <v>343</v>
      </c>
      <c r="D1673" s="43"/>
      <c r="E1673" s="109" t="s">
        <v>22</v>
      </c>
      <c r="F1673" s="28"/>
      <c r="G1673" s="26"/>
      <c r="H1673" s="21" t="b">
        <f>IF(D1675="x",H$2,H$1)</f>
        <v>0</v>
      </c>
    </row>
    <row r="1674" spans="2:8" x14ac:dyDescent="0.2">
      <c r="B1674" s="47"/>
      <c r="C1674" s="57" t="s">
        <v>1074</v>
      </c>
      <c r="D1674" s="43"/>
      <c r="E1674" s="109" t="s">
        <v>23</v>
      </c>
      <c r="F1674" s="22" t="str">
        <f>IF(H1675=1,IF(H1673=H$2,H1673,""),"")</f>
        <v/>
      </c>
      <c r="G1674" s="26"/>
      <c r="H1674" s="21" t="str">
        <f>IF(E$1696="comprobar",COUNTIF(D1673:D1677,"x"),"")</f>
        <v/>
      </c>
    </row>
    <row r="1675" spans="2:8" x14ac:dyDescent="0.2">
      <c r="B1675" s="47"/>
      <c r="C1675" s="57" t="s">
        <v>342</v>
      </c>
      <c r="D1675" s="43"/>
      <c r="E1675" s="109" t="s">
        <v>24</v>
      </c>
      <c r="F1675" s="23" t="str">
        <f>IF(H1675=-0.33,IF(H1673=H$1,H1673,""),"")</f>
        <v/>
      </c>
      <c r="G1675" s="26"/>
      <c r="H1675" s="24">
        <f>IF(H1674=1,IF(H1673=H$2,1,-0.33),0)</f>
        <v>0</v>
      </c>
    </row>
    <row r="1676" spans="2:8" x14ac:dyDescent="0.2">
      <c r="B1676" s="47"/>
      <c r="C1676" s="57" t="s">
        <v>1075</v>
      </c>
      <c r="D1676" s="43"/>
      <c r="E1676" s="109" t="s">
        <v>25</v>
      </c>
      <c r="F1676" s="28"/>
      <c r="G1676" s="26"/>
      <c r="H1676" s="24"/>
    </row>
    <row r="1677" spans="2:8" x14ac:dyDescent="0.2">
      <c r="B1677" s="47"/>
      <c r="C1677" s="8"/>
      <c r="D1677" s="43"/>
      <c r="E1677" s="109" t="s">
        <v>26</v>
      </c>
      <c r="F1677" s="20"/>
      <c r="G1677" s="19"/>
      <c r="H1677" s="24"/>
    </row>
    <row r="1678" spans="2:8" x14ac:dyDescent="0.2">
      <c r="B1678" s="48">
        <v>48</v>
      </c>
      <c r="C1678" s="36" t="s">
        <v>79</v>
      </c>
      <c r="D1678" s="44"/>
      <c r="E1678" s="14"/>
      <c r="F1678" s="30"/>
      <c r="G1678" s="29"/>
      <c r="H1678" s="15"/>
    </row>
    <row r="1679" spans="2:8" x14ac:dyDescent="0.2">
      <c r="B1679" s="47"/>
      <c r="C1679" s="56" t="s">
        <v>1076</v>
      </c>
      <c r="D1679" s="43"/>
      <c r="E1679" s="109" t="s">
        <v>22</v>
      </c>
      <c r="F1679" s="28"/>
      <c r="G1679" s="26"/>
      <c r="H1679" s="21" t="b">
        <f>IF(D1681="x",H$2,H$1)</f>
        <v>0</v>
      </c>
    </row>
    <row r="1680" spans="2:8" x14ac:dyDescent="0.2">
      <c r="B1680" s="47"/>
      <c r="C1680" s="57" t="s">
        <v>80</v>
      </c>
      <c r="D1680" s="43"/>
      <c r="E1680" s="109" t="s">
        <v>23</v>
      </c>
      <c r="F1680" s="22" t="str">
        <f>IF(H1681=1,IF(H1679=H$2,H1679,""),"")</f>
        <v/>
      </c>
      <c r="G1680" s="26"/>
      <c r="H1680" s="21" t="str">
        <f>IF(E$1696="comprobar",COUNTIF(D1679:D1683,"x"),"")</f>
        <v/>
      </c>
    </row>
    <row r="1681" spans="2:8" x14ac:dyDescent="0.2">
      <c r="B1681" s="47"/>
      <c r="C1681" s="57" t="s">
        <v>1077</v>
      </c>
      <c r="D1681" s="43"/>
      <c r="E1681" s="109" t="s">
        <v>24</v>
      </c>
      <c r="F1681" s="23" t="str">
        <f>IF(H1681=-0.33,IF(H1679=H$1,H1679,""),"")</f>
        <v/>
      </c>
      <c r="G1681" s="26"/>
      <c r="H1681" s="24">
        <f>IF(H1680=1,IF(H1679=H$2,1,-0.33),0)</f>
        <v>0</v>
      </c>
    </row>
    <row r="1682" spans="2:8" x14ac:dyDescent="0.2">
      <c r="B1682" s="47"/>
      <c r="C1682" s="57" t="s">
        <v>1078</v>
      </c>
      <c r="D1682" s="43"/>
      <c r="E1682" s="109" t="s">
        <v>25</v>
      </c>
      <c r="F1682" s="28"/>
      <c r="G1682" s="26"/>
      <c r="H1682" s="24"/>
    </row>
    <row r="1683" spans="2:8" x14ac:dyDescent="0.2">
      <c r="B1683" s="47"/>
      <c r="C1683" s="8"/>
      <c r="D1683" s="43"/>
      <c r="E1683" s="109" t="s">
        <v>26</v>
      </c>
      <c r="F1683" s="20"/>
      <c r="G1683" s="19"/>
      <c r="H1683" s="24"/>
    </row>
    <row r="1684" spans="2:8" x14ac:dyDescent="0.2">
      <c r="B1684" s="48">
        <v>49</v>
      </c>
      <c r="C1684" s="36" t="s">
        <v>1023</v>
      </c>
      <c r="D1684" s="44"/>
      <c r="E1684" s="14"/>
      <c r="F1684" s="30"/>
      <c r="G1684" s="29"/>
      <c r="H1684" s="15"/>
    </row>
    <row r="1685" spans="2:8" x14ac:dyDescent="0.2">
      <c r="B1685" s="47"/>
      <c r="C1685" s="56" t="s">
        <v>1024</v>
      </c>
      <c r="D1685" s="43"/>
      <c r="E1685" s="109" t="s">
        <v>22</v>
      </c>
      <c r="F1685" s="28"/>
      <c r="G1685" s="26"/>
      <c r="H1685" s="21" t="b">
        <f>IF(D1685="x",H$2,H$1)</f>
        <v>0</v>
      </c>
    </row>
    <row r="1686" spans="2:8" x14ac:dyDescent="0.2">
      <c r="B1686" s="47"/>
      <c r="C1686" s="57" t="s">
        <v>856</v>
      </c>
      <c r="D1686" s="43"/>
      <c r="E1686" s="109" t="s">
        <v>23</v>
      </c>
      <c r="F1686" s="22" t="str">
        <f>IF(H1687=1,IF(H1685=H$2,H1685,""),"")</f>
        <v/>
      </c>
      <c r="G1686" s="26"/>
      <c r="H1686" s="21" t="str">
        <f>IF(E$1696="comprobar",COUNTIF(D1685:D1689,"x"),"")</f>
        <v/>
      </c>
    </row>
    <row r="1687" spans="2:8" x14ac:dyDescent="0.2">
      <c r="B1687" s="47"/>
      <c r="C1687" s="57" t="s">
        <v>90</v>
      </c>
      <c r="D1687" s="43"/>
      <c r="E1687" s="109" t="s">
        <v>24</v>
      </c>
      <c r="F1687" s="23" t="str">
        <f>IF(H1687=-0.33,IF(H1685=H$1,H1685,""),"")</f>
        <v/>
      </c>
      <c r="G1687" s="26"/>
      <c r="H1687" s="24">
        <f>IF(H1686=1,IF(H1685=H$2,1,-0.33),0)</f>
        <v>0</v>
      </c>
    </row>
    <row r="1688" spans="2:8" x14ac:dyDescent="0.2">
      <c r="B1688" s="47"/>
      <c r="C1688" s="57" t="s">
        <v>88</v>
      </c>
      <c r="D1688" s="43"/>
      <c r="E1688" s="109" t="s">
        <v>25</v>
      </c>
      <c r="F1688" s="28"/>
      <c r="G1688" s="26"/>
      <c r="H1688" s="24"/>
    </row>
    <row r="1689" spans="2:8" x14ac:dyDescent="0.2">
      <c r="B1689" s="47"/>
      <c r="C1689" s="8"/>
      <c r="D1689" s="43"/>
      <c r="E1689" s="109" t="s">
        <v>26</v>
      </c>
      <c r="F1689" s="20"/>
      <c r="G1689" s="19"/>
      <c r="H1689" s="24"/>
    </row>
    <row r="1690" spans="2:8" x14ac:dyDescent="0.2">
      <c r="B1690" s="48">
        <v>50</v>
      </c>
      <c r="C1690" s="36" t="s">
        <v>1079</v>
      </c>
      <c r="D1690" s="44"/>
      <c r="E1690" s="14"/>
      <c r="F1690" s="30"/>
      <c r="G1690" s="29"/>
      <c r="H1690" s="15"/>
    </row>
    <row r="1691" spans="2:8" x14ac:dyDescent="0.2">
      <c r="B1691" s="47"/>
      <c r="C1691" s="56" t="s">
        <v>1080</v>
      </c>
      <c r="D1691" s="43"/>
      <c r="E1691" s="109" t="s">
        <v>22</v>
      </c>
      <c r="F1691" s="28"/>
      <c r="G1691" s="26"/>
      <c r="H1691" s="21" t="b">
        <f>IF(D1694="x",H$2,H$1)</f>
        <v>0</v>
      </c>
    </row>
    <row r="1692" spans="2:8" x14ac:dyDescent="0.2">
      <c r="B1692" s="47"/>
      <c r="C1692" s="57" t="s">
        <v>182</v>
      </c>
      <c r="D1692" s="43"/>
      <c r="E1692" s="109" t="s">
        <v>23</v>
      </c>
      <c r="F1692" s="22" t="str">
        <f>IF(H1693=1,IF(H1691=H$2,H1691,""),"")</f>
        <v/>
      </c>
      <c r="G1692" s="26"/>
      <c r="H1692" s="21" t="str">
        <f>IF(E$1696="comprobar",COUNTIF(D1691:D1695,"x"),"")</f>
        <v/>
      </c>
    </row>
    <row r="1693" spans="2:8" x14ac:dyDescent="0.2">
      <c r="B1693" s="47"/>
      <c r="C1693" s="57" t="s">
        <v>1081</v>
      </c>
      <c r="D1693" s="43"/>
      <c r="E1693" s="109" t="s">
        <v>24</v>
      </c>
      <c r="F1693" s="23" t="str">
        <f>IF(H1693=-0.33,IF(H1691=H$1,H1691,""),"")</f>
        <v/>
      </c>
      <c r="G1693" s="26"/>
      <c r="H1693" s="24">
        <f>IF(H1692=1,IF(H1691=H$2,1,-0.33),0)</f>
        <v>0</v>
      </c>
    </row>
    <row r="1694" spans="2:8" x14ac:dyDescent="0.2">
      <c r="B1694" s="47"/>
      <c r="C1694" s="57" t="s">
        <v>434</v>
      </c>
      <c r="D1694" s="43"/>
      <c r="E1694" s="109" t="s">
        <v>25</v>
      </c>
      <c r="F1694" s="28"/>
      <c r="G1694" s="26"/>
      <c r="H1694" s="24"/>
    </row>
    <row r="1695" spans="2:8" x14ac:dyDescent="0.2">
      <c r="B1695" s="47" t="s">
        <v>1082</v>
      </c>
      <c r="C1695" s="8"/>
      <c r="D1695" s="43"/>
      <c r="E1695" s="109" t="s">
        <v>26</v>
      </c>
      <c r="F1695" s="20"/>
      <c r="G1695" s="19"/>
      <c r="H1695" s="24"/>
    </row>
    <row r="1696" spans="2:8" x14ac:dyDescent="0.2">
      <c r="B1696" s="47"/>
      <c r="C1696" s="8"/>
      <c r="D1696" s="65"/>
      <c r="E1696" s="82"/>
      <c r="F1696" s="20"/>
      <c r="G1696" s="19"/>
      <c r="H1696" s="24"/>
    </row>
    <row r="1697" spans="2:8" x14ac:dyDescent="0.2">
      <c r="B1697" s="47"/>
      <c r="C1697" s="8"/>
      <c r="D1697" s="65"/>
      <c r="E1697" s="82"/>
      <c r="F1697" s="31" t="s">
        <v>8</v>
      </c>
      <c r="G1697" s="19" t="s">
        <v>6</v>
      </c>
      <c r="H1697" s="19" t="s">
        <v>7</v>
      </c>
    </row>
    <row r="1698" spans="2:8" ht="20" x14ac:dyDescent="0.2">
      <c r="B1698" s="47"/>
      <c r="C1698" s="8"/>
      <c r="D1698" s="111"/>
      <c r="E1698" s="111"/>
      <c r="F1698" s="32" t="str">
        <f>IF(E1696="comprobar",H1399+H1405+H1411+H1417+H1423+H1429+H1435+H1441+H1447+H1453+H1459+H1465+H1471+H1477+H1483+H1489+H1495+H1501+H1507+H1513+H1519+H1525+H1531+H1537+H1543+H1549+H1555+H1561+H1567+H1573+H1579+H1585+H1591+H1597+H1603+H1609+H1615+H1621+H1627+H1633+H1639+H1645+H1651+H1657+H1663+H1669+H1675+H1681+H1687+H1693,"")</f>
        <v/>
      </c>
      <c r="G1698" s="19">
        <f>50/2</f>
        <v>25</v>
      </c>
      <c r="H1698" s="19"/>
    </row>
    <row r="1699" spans="2:8" ht="17" thickBot="1" x14ac:dyDescent="0.25">
      <c r="B1699" s="98"/>
      <c r="C1699" s="99"/>
      <c r="D1699" s="34"/>
      <c r="E1699" s="9"/>
      <c r="F1699" s="35" t="str">
        <f>IF(F1698&gt;G1698,G1697,H1697)</f>
        <v>APROBADO</v>
      </c>
      <c r="G1699" s="19"/>
      <c r="H1699" s="19"/>
    </row>
  </sheetData>
  <sheetProtection password="CC41" sheet="1" objects="1" scenarios="1" selectLockedCells="1"/>
  <mergeCells count="14">
    <mergeCell ref="D1698:E1698"/>
    <mergeCell ref="C1395:F1395"/>
    <mergeCell ref="D1393:E1393"/>
    <mergeCell ref="C911:F911"/>
    <mergeCell ref="C976:F976"/>
    <mergeCell ref="D69:E69"/>
    <mergeCell ref="C6:F6"/>
    <mergeCell ref="C71:F71"/>
    <mergeCell ref="C781:F781"/>
    <mergeCell ref="C846:F846"/>
    <mergeCell ref="C521:F521"/>
    <mergeCell ref="C586:F586"/>
    <mergeCell ref="C651:F651"/>
    <mergeCell ref="C716:F716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ignoredErrors>
    <ignoredError sqref="C1679:C168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9309100</xdr:colOff>
                    <xdr:row>67</xdr:row>
                    <xdr:rowOff>152400</xdr:rowOff>
                  </from>
                  <to>
                    <xdr:col>2</xdr:col>
                    <xdr:colOff>9918700</xdr:colOff>
                    <xdr:row>68</xdr:row>
                    <xdr:rowOff>228600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9271000</xdr:colOff>
                    <xdr:row>193</xdr:row>
                    <xdr:rowOff>25400</xdr:rowOff>
                  </from>
                  <to>
                    <xdr:col>2</xdr:col>
                    <xdr:colOff>9855200</xdr:colOff>
                    <xdr:row>194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9194800</xdr:colOff>
                    <xdr:row>258</xdr:row>
                    <xdr:rowOff>12700</xdr:rowOff>
                  </from>
                  <to>
                    <xdr:col>2</xdr:col>
                    <xdr:colOff>9766300</xdr:colOff>
                    <xdr:row>259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9232900</xdr:colOff>
                    <xdr:row>322</xdr:row>
                    <xdr:rowOff>190500</xdr:rowOff>
                  </from>
                  <to>
                    <xdr:col>2</xdr:col>
                    <xdr:colOff>9804400</xdr:colOff>
                    <xdr:row>324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9194800</xdr:colOff>
                    <xdr:row>387</xdr:row>
                    <xdr:rowOff>203200</xdr:rowOff>
                  </from>
                  <to>
                    <xdr:col>2</xdr:col>
                    <xdr:colOff>9779000</xdr:colOff>
                    <xdr:row>389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9232900</xdr:colOff>
                    <xdr:row>453</xdr:row>
                    <xdr:rowOff>0</xdr:rowOff>
                  </from>
                  <to>
                    <xdr:col>2</xdr:col>
                    <xdr:colOff>9817100</xdr:colOff>
                    <xdr:row>454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9169400</xdr:colOff>
                    <xdr:row>517</xdr:row>
                    <xdr:rowOff>190500</xdr:rowOff>
                  </from>
                  <to>
                    <xdr:col>2</xdr:col>
                    <xdr:colOff>9791700</xdr:colOff>
                    <xdr:row>518</xdr:row>
                    <xdr:rowOff>241300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7785100</xdr:colOff>
                    <xdr:row>517</xdr:row>
                    <xdr:rowOff>203200</xdr:rowOff>
                  </from>
                  <to>
                    <xdr:col>2</xdr:col>
                    <xdr:colOff>9093200</xdr:colOff>
                    <xdr:row>518</xdr:row>
                    <xdr:rowOff>241300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7785100</xdr:colOff>
                    <xdr:row>453</xdr:row>
                    <xdr:rowOff>12700</xdr:rowOff>
                  </from>
                  <to>
                    <xdr:col>2</xdr:col>
                    <xdr:colOff>9093200</xdr:colOff>
                    <xdr:row>454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7785100</xdr:colOff>
                    <xdr:row>388</xdr:row>
                    <xdr:rowOff>12700</xdr:rowOff>
                  </from>
                  <to>
                    <xdr:col>2</xdr:col>
                    <xdr:colOff>9093200</xdr:colOff>
                    <xdr:row>389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7785100</xdr:colOff>
                    <xdr:row>322</xdr:row>
                    <xdr:rowOff>190500</xdr:rowOff>
                  </from>
                  <to>
                    <xdr:col>2</xdr:col>
                    <xdr:colOff>9093200</xdr:colOff>
                    <xdr:row>324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7785100</xdr:colOff>
                    <xdr:row>258</xdr:row>
                    <xdr:rowOff>25400</xdr:rowOff>
                  </from>
                  <to>
                    <xdr:col>2</xdr:col>
                    <xdr:colOff>9093200</xdr:colOff>
                    <xdr:row>258</xdr:row>
                    <xdr:rowOff>254000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7785100</xdr:colOff>
                    <xdr:row>193</xdr:row>
                    <xdr:rowOff>38100</xdr:rowOff>
                  </from>
                  <to>
                    <xdr:col>2</xdr:col>
                    <xdr:colOff>9093200</xdr:colOff>
                    <xdr:row>194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7785100</xdr:colOff>
                    <xdr:row>67</xdr:row>
                    <xdr:rowOff>177800</xdr:rowOff>
                  </from>
                  <to>
                    <xdr:col>2</xdr:col>
                    <xdr:colOff>9093200</xdr:colOff>
                    <xdr:row>68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8" r:id="rId18" name="Button 24">
              <controlPr defaultSize="0" autoFill="0" autoPict="0" macro="[0]!tema8" altText="Borrar">
                <anchor moveWithCells="1" sizeWithCells="1">
                  <from>
                    <xdr:col>2</xdr:col>
                    <xdr:colOff>9169400</xdr:colOff>
                    <xdr:row>583</xdr:row>
                    <xdr:rowOff>38100</xdr:rowOff>
                  </from>
                  <to>
                    <xdr:col>2</xdr:col>
                    <xdr:colOff>9753600</xdr:colOff>
                    <xdr:row>584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9" r:id="rId19" name="Button 25">
              <controlPr defaultSize="0" autoFill="0" autoPict="0" macro="[0]!Compro8">
                <anchor moveWithCells="1" sizeWithCells="1">
                  <from>
                    <xdr:col>2</xdr:col>
                    <xdr:colOff>7785100</xdr:colOff>
                    <xdr:row>583</xdr:row>
                    <xdr:rowOff>38100</xdr:rowOff>
                  </from>
                  <to>
                    <xdr:col>2</xdr:col>
                    <xdr:colOff>9093200</xdr:colOff>
                    <xdr:row>584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0" r:id="rId20" name="Button 26">
              <controlPr defaultSize="0" autoFill="0" autoPict="0" macro="[0]!tema9" altText="Borrar">
                <anchor moveWithCells="1" sizeWithCells="1">
                  <from>
                    <xdr:col>2</xdr:col>
                    <xdr:colOff>9182100</xdr:colOff>
                    <xdr:row>648</xdr:row>
                    <xdr:rowOff>38100</xdr:rowOff>
                  </from>
                  <to>
                    <xdr:col>2</xdr:col>
                    <xdr:colOff>9766300</xdr:colOff>
                    <xdr:row>649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1" r:id="rId21" name="Button 27">
              <controlPr defaultSize="0" autoFill="0" autoPict="0" macro="[0]!Compro9">
                <anchor moveWithCells="1" sizeWithCells="1">
                  <from>
                    <xdr:col>2</xdr:col>
                    <xdr:colOff>7785100</xdr:colOff>
                    <xdr:row>648</xdr:row>
                    <xdr:rowOff>38100</xdr:rowOff>
                  </from>
                  <to>
                    <xdr:col>2</xdr:col>
                    <xdr:colOff>9093200</xdr:colOff>
                    <xdr:row>649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2" r:id="rId22" name="Button 28">
              <controlPr defaultSize="0" autoFill="0" autoPict="0" macro="[0]!tema10" altText="Borrar">
                <anchor moveWithCells="1" sizeWithCells="1">
                  <from>
                    <xdr:col>2</xdr:col>
                    <xdr:colOff>9372600</xdr:colOff>
                    <xdr:row>711</xdr:row>
                    <xdr:rowOff>190500</xdr:rowOff>
                  </from>
                  <to>
                    <xdr:col>2</xdr:col>
                    <xdr:colOff>9956800</xdr:colOff>
                    <xdr:row>713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3" r:id="rId23" name="Button 29">
              <controlPr defaultSize="0" autoFill="0" autoPict="0" macro="[0]!Compro10">
                <anchor moveWithCells="1" sizeWithCells="1">
                  <from>
                    <xdr:col>2</xdr:col>
                    <xdr:colOff>7988300</xdr:colOff>
                    <xdr:row>711</xdr:row>
                    <xdr:rowOff>190500</xdr:rowOff>
                  </from>
                  <to>
                    <xdr:col>2</xdr:col>
                    <xdr:colOff>9296400</xdr:colOff>
                    <xdr:row>713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4" r:id="rId24" name="Button 30">
              <controlPr defaultSize="0" autoFill="0" autoPict="0" macro="[0]!tema11" altText="Borrar">
                <anchor moveWithCells="1" sizeWithCells="1">
                  <from>
                    <xdr:col>2</xdr:col>
                    <xdr:colOff>9182100</xdr:colOff>
                    <xdr:row>778</xdr:row>
                    <xdr:rowOff>25400</xdr:rowOff>
                  </from>
                  <to>
                    <xdr:col>2</xdr:col>
                    <xdr:colOff>9766300</xdr:colOff>
                    <xdr:row>779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5" r:id="rId25" name="Button 31">
              <controlPr defaultSize="0" autoFill="0" autoPict="0" macro="[0]!Compro11">
                <anchor moveWithCells="1" sizeWithCells="1">
                  <from>
                    <xdr:col>2</xdr:col>
                    <xdr:colOff>7785100</xdr:colOff>
                    <xdr:row>778</xdr:row>
                    <xdr:rowOff>38100</xdr:rowOff>
                  </from>
                  <to>
                    <xdr:col>2</xdr:col>
                    <xdr:colOff>9093200</xdr:colOff>
                    <xdr:row>779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6" r:id="rId26" name="Button 32">
              <controlPr defaultSize="0" autoFill="0" autoPict="0" macro="[0]!tema12" altText="Borrar">
                <anchor moveWithCells="1" sizeWithCells="1">
                  <from>
                    <xdr:col>2</xdr:col>
                    <xdr:colOff>9169400</xdr:colOff>
                    <xdr:row>843</xdr:row>
                    <xdr:rowOff>38100</xdr:rowOff>
                  </from>
                  <to>
                    <xdr:col>2</xdr:col>
                    <xdr:colOff>9753600</xdr:colOff>
                    <xdr:row>844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" r:id="rId27" name="Button 33">
              <controlPr defaultSize="0" autoFill="0" autoPict="0" macro="[0]!Compro12">
                <anchor moveWithCells="1" sizeWithCells="1">
                  <from>
                    <xdr:col>2</xdr:col>
                    <xdr:colOff>7785100</xdr:colOff>
                    <xdr:row>843</xdr:row>
                    <xdr:rowOff>38100</xdr:rowOff>
                  </from>
                  <to>
                    <xdr:col>2</xdr:col>
                    <xdr:colOff>9093200</xdr:colOff>
                    <xdr:row>844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38" r:id="rId28" name="Button 114">
              <controlPr defaultSize="0" autoFill="0" autoPict="0" macro="[0]!tema13" altText="Borrar">
                <anchor moveWithCells="1" sizeWithCells="1">
                  <from>
                    <xdr:col>2</xdr:col>
                    <xdr:colOff>9575800</xdr:colOff>
                    <xdr:row>907</xdr:row>
                    <xdr:rowOff>127000</xdr:rowOff>
                  </from>
                  <to>
                    <xdr:col>2</xdr:col>
                    <xdr:colOff>10160000</xdr:colOff>
                    <xdr:row>909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39" r:id="rId29" name="Button 115">
              <controlPr defaultSize="0" autoFill="0" autoPict="0" macro="[0]!Compro13">
                <anchor moveWithCells="1" sizeWithCells="1">
                  <from>
                    <xdr:col>2</xdr:col>
                    <xdr:colOff>8191500</xdr:colOff>
                    <xdr:row>907</xdr:row>
                    <xdr:rowOff>139700</xdr:rowOff>
                  </from>
                  <to>
                    <xdr:col>2</xdr:col>
                    <xdr:colOff>9499600</xdr:colOff>
                    <xdr:row>908</xdr:row>
                    <xdr:rowOff>203200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7" r:id="rId30" name="Button 123">
              <controlPr defaultSize="0" autoFill="0" autoPict="0" macro="[0]!tema14" altText="Borrar">
                <anchor moveWithCells="1" sizeWithCells="1">
                  <from>
                    <xdr:col>2</xdr:col>
                    <xdr:colOff>9207500</xdr:colOff>
                    <xdr:row>972</xdr:row>
                    <xdr:rowOff>139700</xdr:rowOff>
                  </from>
                  <to>
                    <xdr:col>2</xdr:col>
                    <xdr:colOff>9791700</xdr:colOff>
                    <xdr:row>974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8" r:id="rId31" name="Button 124">
              <controlPr defaultSize="0" autoFill="0" autoPict="0" macro="[0]!Compro14">
                <anchor moveWithCells="1" sizeWithCells="1">
                  <from>
                    <xdr:col>2</xdr:col>
                    <xdr:colOff>7848600</xdr:colOff>
                    <xdr:row>972</xdr:row>
                    <xdr:rowOff>139700</xdr:rowOff>
                  </from>
                  <to>
                    <xdr:col>2</xdr:col>
                    <xdr:colOff>9156700</xdr:colOff>
                    <xdr:row>973</xdr:row>
                    <xdr:rowOff>203200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5" r:id="rId32" name="Button 131">
              <controlPr defaultSize="0" autoFill="0" autoPict="0" macro="[0]!PEC1_BORRAR" altText="Borrar">
                <anchor moveWithCells="1" sizeWithCells="1">
                  <from>
                    <xdr:col>2</xdr:col>
                    <xdr:colOff>9956800</xdr:colOff>
                    <xdr:row>1391</xdr:row>
                    <xdr:rowOff>76200</xdr:rowOff>
                  </from>
                  <to>
                    <xdr:col>2</xdr:col>
                    <xdr:colOff>10566400</xdr:colOff>
                    <xdr:row>1392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6" r:id="rId33" name="Button 1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1391</xdr:row>
                    <xdr:rowOff>76200</xdr:rowOff>
                  </from>
                  <to>
                    <xdr:col>2</xdr:col>
                    <xdr:colOff>9880600</xdr:colOff>
                    <xdr:row>1392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8" r:id="rId34" name="Button 134">
              <controlPr defaultSize="0" autoFill="0" autoPict="0" macro="[0]!MacroPEC3_borrar" altText="Borrar">
                <anchor moveWithCells="1" sizeWithCells="1">
                  <from>
                    <xdr:col>2</xdr:col>
                    <xdr:colOff>9956800</xdr:colOff>
                    <xdr:row>1696</xdr:row>
                    <xdr:rowOff>76200</xdr:rowOff>
                  </from>
                  <to>
                    <xdr:col>2</xdr:col>
                    <xdr:colOff>10566400</xdr:colOff>
                    <xdr:row>1697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9" r:id="rId35" name="Button 135">
              <controlPr defaultSize="0" autoFill="0" autoPict="0" macro="[0]!MacroPEC3_comprobar">
                <anchor moveWithCells="1" sizeWithCells="1">
                  <from>
                    <xdr:col>2</xdr:col>
                    <xdr:colOff>8521700</xdr:colOff>
                    <xdr:row>1696</xdr:row>
                    <xdr:rowOff>76200</xdr:rowOff>
                  </from>
                  <to>
                    <xdr:col>2</xdr:col>
                    <xdr:colOff>9829800</xdr:colOff>
                    <xdr:row>1697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FH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Usuario de Microsoft Office</cp:lastModifiedBy>
  <cp:revision/>
  <dcterms:created xsi:type="dcterms:W3CDTF">2016-11-17T08:46:58Z</dcterms:created>
  <dcterms:modified xsi:type="dcterms:W3CDTF">2017-06-01T08:18:37Z</dcterms:modified>
  <cp:category/>
  <cp:contentStatus/>
</cp:coreProperties>
</file>