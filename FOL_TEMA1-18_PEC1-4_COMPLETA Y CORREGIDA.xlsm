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Volumes/Datos/diegofdez/OneDrive - UNED/ASIR/Modulos/Formación y orientación laboral/PEC/"/>
    </mc:Choice>
  </mc:AlternateContent>
  <bookViews>
    <workbookView xWindow="0" yWindow="0" windowWidth="25600" windowHeight="16000" tabRatio="500"/>
  </bookViews>
  <sheets>
    <sheet name="FyLO" sheetId="6" r:id="rId1"/>
  </sheets>
  <definedNames>
    <definedName name="_xlnm.Print_Area" localSheetId="0">FyLO!$B$1:$H$131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202" i="6" l="1"/>
  <c r="H3189" i="6"/>
  <c r="H3183" i="6"/>
  <c r="H3045" i="6"/>
  <c r="H2967" i="6"/>
  <c r="G3202" i="6"/>
  <c r="H2962" i="6"/>
  <c r="H2961" i="6"/>
  <c r="H2963" i="6"/>
  <c r="H2968" i="6"/>
  <c r="H2969" i="6"/>
  <c r="H2974" i="6"/>
  <c r="H2973" i="6"/>
  <c r="H2975" i="6"/>
  <c r="H2980" i="6"/>
  <c r="H2979" i="6"/>
  <c r="H2981" i="6"/>
  <c r="H2986" i="6"/>
  <c r="H2985" i="6"/>
  <c r="H2987" i="6"/>
  <c r="H2992" i="6"/>
  <c r="H2991" i="6"/>
  <c r="H2993" i="6"/>
  <c r="H2998" i="6"/>
  <c r="H2997" i="6"/>
  <c r="H2999" i="6"/>
  <c r="H3004" i="6"/>
  <c r="H3003" i="6"/>
  <c r="H3005" i="6"/>
  <c r="H3010" i="6"/>
  <c r="H3009" i="6"/>
  <c r="H3011" i="6"/>
  <c r="H3016" i="6"/>
  <c r="H3015" i="6"/>
  <c r="H3017" i="6"/>
  <c r="H3022" i="6"/>
  <c r="H3021" i="6"/>
  <c r="H3023" i="6"/>
  <c r="H3034" i="6"/>
  <c r="H3033" i="6"/>
  <c r="H3035" i="6"/>
  <c r="H3040" i="6"/>
  <c r="H3039" i="6"/>
  <c r="H3041" i="6"/>
  <c r="H3046" i="6"/>
  <c r="H3047" i="6"/>
  <c r="H3052" i="6"/>
  <c r="H3051" i="6"/>
  <c r="H3053" i="6"/>
  <c r="H3058" i="6"/>
  <c r="H3057" i="6"/>
  <c r="H3059" i="6"/>
  <c r="H3064" i="6"/>
  <c r="H3063" i="6"/>
  <c r="H3065" i="6"/>
  <c r="H3070" i="6"/>
  <c r="H3069" i="6"/>
  <c r="H3071" i="6"/>
  <c r="H3076" i="6"/>
  <c r="H3075" i="6"/>
  <c r="H3077" i="6"/>
  <c r="H3082" i="6"/>
  <c r="H3081" i="6"/>
  <c r="H3083" i="6"/>
  <c r="H3088" i="6"/>
  <c r="H3087" i="6"/>
  <c r="H3089" i="6"/>
  <c r="H3094" i="6"/>
  <c r="H3093" i="6"/>
  <c r="H3095" i="6"/>
  <c r="H3100" i="6"/>
  <c r="H3099" i="6"/>
  <c r="H3101" i="6"/>
  <c r="H3106" i="6"/>
  <c r="H3105" i="6"/>
  <c r="H3107" i="6"/>
  <c r="H3112" i="6"/>
  <c r="H3111" i="6"/>
  <c r="H3113" i="6"/>
  <c r="H3118" i="6"/>
  <c r="H3117" i="6"/>
  <c r="H3119" i="6"/>
  <c r="H3124" i="6"/>
  <c r="H3123" i="6"/>
  <c r="H3125" i="6"/>
  <c r="H3130" i="6"/>
  <c r="H3129" i="6"/>
  <c r="H3131" i="6"/>
  <c r="H3136" i="6"/>
  <c r="H3135" i="6"/>
  <c r="H3137" i="6"/>
  <c r="H3142" i="6"/>
  <c r="H3141" i="6"/>
  <c r="H3143" i="6"/>
  <c r="H3148" i="6"/>
  <c r="H3147" i="6"/>
  <c r="H3149" i="6"/>
  <c r="H3154" i="6"/>
  <c r="H3153" i="6"/>
  <c r="H3155" i="6"/>
  <c r="H3160" i="6"/>
  <c r="H3159" i="6"/>
  <c r="H3161" i="6"/>
  <c r="H3166" i="6"/>
  <c r="H3165" i="6"/>
  <c r="H3167" i="6"/>
  <c r="H3172" i="6"/>
  <c r="H3171" i="6"/>
  <c r="H3173" i="6"/>
  <c r="H3178" i="6"/>
  <c r="H3177" i="6"/>
  <c r="H3179" i="6"/>
  <c r="H3184" i="6"/>
  <c r="H3185" i="6"/>
  <c r="H3190" i="6"/>
  <c r="H3191" i="6"/>
  <c r="H3196" i="6"/>
  <c r="H3195" i="6"/>
  <c r="H3197" i="6"/>
  <c r="H2783" i="6"/>
  <c r="F2582" i="6"/>
  <c r="F2119" i="6"/>
  <c r="H1884" i="6"/>
  <c r="H1736" i="6"/>
  <c r="H914" i="6"/>
  <c r="H938" i="6"/>
  <c r="F880" i="6"/>
  <c r="H765" i="6"/>
  <c r="H771" i="6"/>
  <c r="H777" i="6"/>
  <c r="H783" i="6"/>
  <c r="H789" i="6"/>
  <c r="H795" i="6"/>
  <c r="H801" i="6"/>
  <c r="H807" i="6"/>
  <c r="H813" i="6"/>
  <c r="H819" i="6"/>
  <c r="H825" i="6"/>
  <c r="H831" i="6"/>
  <c r="H849" i="6"/>
  <c r="H867" i="6"/>
  <c r="H873" i="6"/>
  <c r="H736" i="6"/>
  <c r="H712" i="6"/>
  <c r="H670" i="6"/>
  <c r="H658" i="6"/>
  <c r="H640" i="6"/>
  <c r="H646" i="6"/>
  <c r="H652" i="6"/>
  <c r="H664" i="6"/>
  <c r="H676" i="6"/>
  <c r="H682" i="6"/>
  <c r="H688" i="6"/>
  <c r="H694" i="6"/>
  <c r="H700" i="6"/>
  <c r="H706" i="6"/>
  <c r="H724" i="6"/>
  <c r="H730" i="6"/>
  <c r="H742" i="6"/>
  <c r="H587" i="6"/>
  <c r="H593" i="6"/>
  <c r="H599" i="6"/>
  <c r="H605" i="6"/>
  <c r="H611" i="6"/>
  <c r="H623" i="6"/>
  <c r="H581" i="6"/>
  <c r="H569" i="6"/>
  <c r="H563" i="6"/>
  <c r="H557" i="6"/>
  <c r="H551" i="6"/>
  <c r="H545" i="6"/>
  <c r="H539" i="6"/>
  <c r="H533" i="6"/>
  <c r="H527" i="6"/>
  <c r="H492" i="6"/>
  <c r="H480" i="6"/>
  <c r="H456" i="6"/>
  <c r="H450" i="6"/>
  <c r="H444" i="6"/>
  <c r="H438" i="6"/>
  <c r="H432" i="6"/>
  <c r="H426" i="6"/>
  <c r="H420" i="6"/>
  <c r="H414" i="6"/>
  <c r="H402" i="6"/>
  <c r="H396" i="6"/>
  <c r="H390" i="6"/>
  <c r="H373" i="6"/>
  <c r="H355" i="6"/>
  <c r="H349" i="6"/>
  <c r="H337" i="6"/>
  <c r="H331" i="6"/>
  <c r="H313" i="6"/>
  <c r="H301" i="6"/>
  <c r="H248" i="6"/>
  <c r="H242" i="6"/>
  <c r="H236" i="6"/>
  <c r="H230" i="6"/>
  <c r="H224" i="6"/>
  <c r="H218" i="6"/>
  <c r="H206" i="6"/>
  <c r="H176" i="6"/>
  <c r="H170" i="6"/>
  <c r="H158" i="6"/>
  <c r="H140" i="6"/>
  <c r="H57" i="6"/>
  <c r="H3028" i="6"/>
  <c r="H2951" i="6"/>
  <c r="H2945" i="6"/>
  <c r="H2939" i="6"/>
  <c r="H2933" i="6"/>
  <c r="H2927" i="6"/>
  <c r="H2921" i="6"/>
  <c r="H2915" i="6"/>
  <c r="H2909" i="6"/>
  <c r="H2903" i="6"/>
  <c r="H2897" i="6"/>
  <c r="H2891" i="6"/>
  <c r="H2885" i="6"/>
  <c r="H2879" i="6"/>
  <c r="H2873" i="6"/>
  <c r="H2867" i="6"/>
  <c r="H2861" i="6"/>
  <c r="H2855" i="6"/>
  <c r="H2849" i="6"/>
  <c r="H2843" i="6"/>
  <c r="H2837" i="6"/>
  <c r="H2712" i="6"/>
  <c r="H2718" i="6"/>
  <c r="H2724" i="6"/>
  <c r="H2730" i="6"/>
  <c r="H2736" i="6"/>
  <c r="H2742" i="6"/>
  <c r="H2748" i="6"/>
  <c r="H2754" i="6"/>
  <c r="H2760" i="6"/>
  <c r="H2766" i="6"/>
  <c r="H2772" i="6"/>
  <c r="H2778" i="6"/>
  <c r="H2784" i="6"/>
  <c r="H2790" i="6"/>
  <c r="H2796" i="6"/>
  <c r="H2802" i="6"/>
  <c r="H2808" i="6"/>
  <c r="H2814" i="6"/>
  <c r="H2820" i="6"/>
  <c r="H2826" i="6"/>
  <c r="H2587" i="6"/>
  <c r="H2593" i="6"/>
  <c r="H2599" i="6"/>
  <c r="H2605" i="6"/>
  <c r="H2611" i="6"/>
  <c r="H2617" i="6"/>
  <c r="H2623" i="6"/>
  <c r="H2629" i="6"/>
  <c r="H2635" i="6"/>
  <c r="H2641" i="6"/>
  <c r="H2647" i="6"/>
  <c r="H2653" i="6"/>
  <c r="H2659" i="6"/>
  <c r="H2665" i="6"/>
  <c r="H2671" i="6"/>
  <c r="H2677" i="6"/>
  <c r="H2683" i="6"/>
  <c r="H2689" i="6"/>
  <c r="H2695" i="6"/>
  <c r="H2701" i="6"/>
  <c r="H2529" i="6"/>
  <c r="H2530" i="6"/>
  <c r="H2523" i="6"/>
  <c r="H2524" i="6"/>
  <c r="H2517" i="6"/>
  <c r="H2518" i="6"/>
  <c r="H2511" i="6"/>
  <c r="H2512" i="6"/>
  <c r="H2505" i="6"/>
  <c r="H2506" i="6"/>
  <c r="H2499" i="6"/>
  <c r="H2500" i="6"/>
  <c r="H2409" i="6"/>
  <c r="H2410" i="6"/>
  <c r="H2493" i="6"/>
  <c r="H2494" i="6"/>
  <c r="H2487" i="6"/>
  <c r="H2488" i="6"/>
  <c r="H2481" i="6"/>
  <c r="H2482" i="6"/>
  <c r="H2475" i="6"/>
  <c r="H2476" i="6"/>
  <c r="H2535" i="6"/>
  <c r="H2536" i="6"/>
  <c r="H2541" i="6"/>
  <c r="H2542" i="6"/>
  <c r="H2547" i="6"/>
  <c r="H2548" i="6"/>
  <c r="H2553" i="6"/>
  <c r="H2554" i="6"/>
  <c r="H2559" i="6"/>
  <c r="H2560" i="6"/>
  <c r="H2565" i="6"/>
  <c r="H2566" i="6"/>
  <c r="H2571" i="6"/>
  <c r="H2572" i="6"/>
  <c r="H2577" i="6"/>
  <c r="H2578" i="6"/>
  <c r="H2469" i="6"/>
  <c r="H2470" i="6"/>
  <c r="H2463" i="6"/>
  <c r="H2464" i="6"/>
  <c r="H2457" i="6"/>
  <c r="H2458" i="6"/>
  <c r="H2451" i="6"/>
  <c r="H2452" i="6"/>
  <c r="H2439" i="6"/>
  <c r="H2440" i="6"/>
  <c r="H2445" i="6"/>
  <c r="H2446" i="6"/>
  <c r="H2433" i="6"/>
  <c r="H2434" i="6"/>
  <c r="H2427" i="6"/>
  <c r="H2428" i="6"/>
  <c r="H2421" i="6"/>
  <c r="H2422" i="6"/>
  <c r="H2415" i="6"/>
  <c r="H2416" i="6"/>
  <c r="H2403" i="6"/>
  <c r="H2404" i="6"/>
  <c r="H2397" i="6"/>
  <c r="H2398" i="6"/>
  <c r="H2391" i="6"/>
  <c r="H2392" i="6"/>
  <c r="H2385" i="6"/>
  <c r="H2386" i="6"/>
  <c r="H2379" i="6"/>
  <c r="H2380" i="6"/>
  <c r="H2367" i="6"/>
  <c r="H2368" i="6"/>
  <c r="H2361" i="6"/>
  <c r="H2362" i="6"/>
  <c r="H2355" i="6"/>
  <c r="H2356" i="6"/>
  <c r="H2349" i="6"/>
  <c r="H2350" i="6"/>
  <c r="H2343" i="6"/>
  <c r="H2344" i="6"/>
  <c r="H2342" i="6"/>
  <c r="F2343" i="6"/>
  <c r="F2344" i="6"/>
  <c r="H2348" i="6"/>
  <c r="F2349" i="6"/>
  <c r="F2350" i="6"/>
  <c r="H2354" i="6"/>
  <c r="F2355" i="6"/>
  <c r="F2356" i="6"/>
  <c r="H2360" i="6"/>
  <c r="F2361" i="6"/>
  <c r="F2362" i="6"/>
  <c r="H2366" i="6"/>
  <c r="F2367" i="6"/>
  <c r="F2368" i="6"/>
  <c r="H2372" i="6"/>
  <c r="H2373" i="6"/>
  <c r="H2374" i="6"/>
  <c r="F2373" i="6"/>
  <c r="F2374" i="6"/>
  <c r="H2378" i="6"/>
  <c r="F2379" i="6"/>
  <c r="F2380" i="6"/>
  <c r="H2384" i="6"/>
  <c r="F2385" i="6"/>
  <c r="F2386" i="6"/>
  <c r="H2390" i="6"/>
  <c r="F2391" i="6"/>
  <c r="F2392" i="6"/>
  <c r="H2396" i="6"/>
  <c r="F2397" i="6"/>
  <c r="F2398" i="6"/>
  <c r="H2402" i="6"/>
  <c r="F2403" i="6"/>
  <c r="F2404" i="6"/>
  <c r="H2408" i="6"/>
  <c r="F2409" i="6"/>
  <c r="F2410" i="6"/>
  <c r="H2414" i="6"/>
  <c r="F2415" i="6"/>
  <c r="F2416" i="6"/>
  <c r="H2420" i="6"/>
  <c r="F2421" i="6"/>
  <c r="F2422" i="6"/>
  <c r="H2426" i="6"/>
  <c r="F2427" i="6"/>
  <c r="F2428" i="6"/>
  <c r="H2432" i="6"/>
  <c r="F2433" i="6"/>
  <c r="F2434" i="6"/>
  <c r="H2438" i="6"/>
  <c r="F2439" i="6"/>
  <c r="F2440" i="6"/>
  <c r="H2444" i="6"/>
  <c r="F2445" i="6"/>
  <c r="F2446" i="6"/>
  <c r="H2450" i="6"/>
  <c r="F2451" i="6"/>
  <c r="F2452" i="6"/>
  <c r="H2456" i="6"/>
  <c r="F2457" i="6"/>
  <c r="F2458" i="6"/>
  <c r="H2462" i="6"/>
  <c r="F2463" i="6"/>
  <c r="F2464" i="6"/>
  <c r="H2468" i="6"/>
  <c r="F2469" i="6"/>
  <c r="F2470" i="6"/>
  <c r="H2474" i="6"/>
  <c r="F2475" i="6"/>
  <c r="F2476" i="6"/>
  <c r="H2480" i="6"/>
  <c r="F2481" i="6"/>
  <c r="F2482" i="6"/>
  <c r="H2486" i="6"/>
  <c r="F2487" i="6"/>
  <c r="F2488" i="6"/>
  <c r="H2492" i="6"/>
  <c r="F2493" i="6"/>
  <c r="F2494" i="6"/>
  <c r="H2498" i="6"/>
  <c r="F2499" i="6"/>
  <c r="F2500" i="6"/>
  <c r="H2504" i="6"/>
  <c r="F2505" i="6"/>
  <c r="F2506" i="6"/>
  <c r="H2510" i="6"/>
  <c r="F2511" i="6"/>
  <c r="F2512" i="6"/>
  <c r="H2516" i="6"/>
  <c r="F2517" i="6"/>
  <c r="F2518" i="6"/>
  <c r="H2522" i="6"/>
  <c r="F2523" i="6"/>
  <c r="F2524" i="6"/>
  <c r="H2528" i="6"/>
  <c r="F2529" i="6"/>
  <c r="F2530" i="6"/>
  <c r="H2534" i="6"/>
  <c r="F2535" i="6"/>
  <c r="F2536" i="6"/>
  <c r="H2540" i="6"/>
  <c r="F2541" i="6"/>
  <c r="F2542" i="6"/>
  <c r="H2546" i="6"/>
  <c r="F2547" i="6"/>
  <c r="F2548" i="6"/>
  <c r="H2552" i="6"/>
  <c r="F2553" i="6"/>
  <c r="F2554" i="6"/>
  <c r="H2558" i="6"/>
  <c r="F2559" i="6"/>
  <c r="F2560" i="6"/>
  <c r="H2564" i="6"/>
  <c r="F2565" i="6"/>
  <c r="F2566" i="6"/>
  <c r="H2570" i="6"/>
  <c r="F2571" i="6"/>
  <c r="F2572" i="6"/>
  <c r="H2576" i="6"/>
  <c r="F2577" i="6"/>
  <c r="F2578" i="6"/>
  <c r="H3027" i="6"/>
  <c r="F3203" i="6"/>
  <c r="H3029" i="6"/>
  <c r="H2765" i="6"/>
  <c r="H2807" i="6"/>
  <c r="H2771" i="6"/>
  <c r="H2610" i="6"/>
  <c r="H2586" i="6"/>
  <c r="H2950" i="6"/>
  <c r="H2944" i="6"/>
  <c r="H2938" i="6"/>
  <c r="H2932" i="6"/>
  <c r="H2926" i="6"/>
  <c r="H2920" i="6"/>
  <c r="H2914" i="6"/>
  <c r="H2902" i="6"/>
  <c r="H2896" i="6"/>
  <c r="H2890" i="6"/>
  <c r="H2884" i="6"/>
  <c r="H2878" i="6"/>
  <c r="H2872" i="6"/>
  <c r="H2866" i="6"/>
  <c r="H2860" i="6"/>
  <c r="H2854" i="6"/>
  <c r="H2848" i="6"/>
  <c r="H2842" i="6"/>
  <c r="H2836" i="6"/>
  <c r="H2838" i="6"/>
  <c r="H2844" i="6"/>
  <c r="H2850" i="6"/>
  <c r="H2856" i="6"/>
  <c r="H2862" i="6"/>
  <c r="H2868" i="6"/>
  <c r="H2874" i="6"/>
  <c r="H2880" i="6"/>
  <c r="H2886" i="6"/>
  <c r="H2892" i="6"/>
  <c r="H2898" i="6"/>
  <c r="H2904" i="6"/>
  <c r="H2910" i="6"/>
  <c r="H2916" i="6"/>
  <c r="H2922" i="6"/>
  <c r="H2928" i="6"/>
  <c r="H2934" i="6"/>
  <c r="H2940" i="6"/>
  <c r="H2946" i="6"/>
  <c r="H2952" i="6"/>
  <c r="F2957" i="6"/>
  <c r="G2957" i="6"/>
  <c r="F2958" i="6"/>
  <c r="H2908" i="6"/>
  <c r="H2825" i="6"/>
  <c r="H2819" i="6"/>
  <c r="H2813" i="6"/>
  <c r="H2801" i="6"/>
  <c r="H2789" i="6"/>
  <c r="H2777" i="6"/>
  <c r="H2759" i="6"/>
  <c r="H2753" i="6"/>
  <c r="H2747" i="6"/>
  <c r="H2741" i="6"/>
  <c r="H2735" i="6"/>
  <c r="H2729" i="6"/>
  <c r="H2723" i="6"/>
  <c r="H2717" i="6"/>
  <c r="H2711" i="6"/>
  <c r="H2827" i="6"/>
  <c r="H2821" i="6"/>
  <c r="H2815" i="6"/>
  <c r="H2809" i="6"/>
  <c r="H2803" i="6"/>
  <c r="H2797" i="6"/>
  <c r="H2791" i="6"/>
  <c r="H2785" i="6"/>
  <c r="H2779" i="6"/>
  <c r="H2773" i="6"/>
  <c r="H2767" i="6"/>
  <c r="H2761" i="6"/>
  <c r="H2755" i="6"/>
  <c r="H2749" i="6"/>
  <c r="H2743" i="6"/>
  <c r="H2737" i="6"/>
  <c r="H2731" i="6"/>
  <c r="H2725" i="6"/>
  <c r="H2719" i="6"/>
  <c r="H2713" i="6"/>
  <c r="F2832" i="6"/>
  <c r="G2832" i="6"/>
  <c r="F2833" i="6"/>
  <c r="H2795" i="6"/>
  <c r="H2700" i="6"/>
  <c r="H2694" i="6"/>
  <c r="H2688" i="6"/>
  <c r="H2682" i="6"/>
  <c r="H2676" i="6"/>
  <c r="H2670" i="6"/>
  <c r="H2664" i="6"/>
  <c r="H2658" i="6"/>
  <c r="H2652" i="6"/>
  <c r="H2646" i="6"/>
  <c r="H2640" i="6"/>
  <c r="H2634" i="6"/>
  <c r="H2628" i="6"/>
  <c r="H2622" i="6"/>
  <c r="H2616" i="6"/>
  <c r="H2604" i="6"/>
  <c r="H2598" i="6"/>
  <c r="H2592" i="6"/>
  <c r="H2612" i="6"/>
  <c r="H2642" i="6"/>
  <c r="H2636" i="6"/>
  <c r="H2630" i="6"/>
  <c r="H2624" i="6"/>
  <c r="H2618" i="6"/>
  <c r="H2606" i="6"/>
  <c r="H2600" i="6"/>
  <c r="H2594" i="6"/>
  <c r="H2588" i="6"/>
  <c r="H2648" i="6"/>
  <c r="H2654" i="6"/>
  <c r="H2660" i="6"/>
  <c r="H2666" i="6"/>
  <c r="H2672" i="6"/>
  <c r="H2678" i="6"/>
  <c r="H2684" i="6"/>
  <c r="H2690" i="6"/>
  <c r="H2696" i="6"/>
  <c r="H2702" i="6"/>
  <c r="F2707" i="6"/>
  <c r="G2707" i="6"/>
  <c r="F2708" i="6"/>
  <c r="H1433" i="6"/>
  <c r="H1434" i="6"/>
  <c r="H1427" i="6"/>
  <c r="H1428" i="6"/>
  <c r="H1421" i="6"/>
  <c r="H1422" i="6"/>
  <c r="H1415" i="6"/>
  <c r="H1416" i="6"/>
  <c r="H1409" i="6"/>
  <c r="H1410" i="6"/>
  <c r="H1403" i="6"/>
  <c r="H1404" i="6"/>
  <c r="H1397" i="6"/>
  <c r="H1398" i="6"/>
  <c r="H1391" i="6"/>
  <c r="H1392" i="6"/>
  <c r="H1385" i="6"/>
  <c r="H1386" i="6"/>
  <c r="H1379" i="6"/>
  <c r="H1380" i="6"/>
  <c r="H1439" i="6"/>
  <c r="H1440" i="6"/>
  <c r="H1445" i="6"/>
  <c r="H1446" i="6"/>
  <c r="H1451" i="6"/>
  <c r="H1452" i="6"/>
  <c r="H1457" i="6"/>
  <c r="H1458" i="6"/>
  <c r="H1463" i="6"/>
  <c r="H1464" i="6"/>
  <c r="H1469" i="6"/>
  <c r="H1470" i="6"/>
  <c r="H1475" i="6"/>
  <c r="H1476" i="6"/>
  <c r="H1481" i="6"/>
  <c r="H1482" i="6"/>
  <c r="H1487" i="6"/>
  <c r="H1488" i="6"/>
  <c r="H1493" i="6"/>
  <c r="H1494" i="6"/>
  <c r="F1499" i="6"/>
  <c r="G1499" i="6"/>
  <c r="F1500" i="6"/>
  <c r="F1494" i="6"/>
  <c r="F1493" i="6"/>
  <c r="H1492" i="6"/>
  <c r="F1488" i="6"/>
  <c r="F1487" i="6"/>
  <c r="H1486" i="6"/>
  <c r="F1482" i="6"/>
  <c r="F1481" i="6"/>
  <c r="H1480" i="6"/>
  <c r="F1476" i="6"/>
  <c r="F1475" i="6"/>
  <c r="H1474" i="6"/>
  <c r="F1470" i="6"/>
  <c r="F1469" i="6"/>
  <c r="H1468" i="6"/>
  <c r="F1464" i="6"/>
  <c r="F1463" i="6"/>
  <c r="H1462" i="6"/>
  <c r="F1458" i="6"/>
  <c r="F1457" i="6"/>
  <c r="H1456" i="6"/>
  <c r="F1452" i="6"/>
  <c r="F1451" i="6"/>
  <c r="H1450" i="6"/>
  <c r="F1446" i="6"/>
  <c r="F1445" i="6"/>
  <c r="H1444" i="6"/>
  <c r="F1440" i="6"/>
  <c r="F1439" i="6"/>
  <c r="H1438" i="6"/>
  <c r="F1434" i="6"/>
  <c r="F1433" i="6"/>
  <c r="H1432" i="6"/>
  <c r="F1428" i="6"/>
  <c r="F1427" i="6"/>
  <c r="H1426" i="6"/>
  <c r="F1422" i="6"/>
  <c r="F1421" i="6"/>
  <c r="H1420" i="6"/>
  <c r="F1416" i="6"/>
  <c r="F1415" i="6"/>
  <c r="H1414" i="6"/>
  <c r="F1410" i="6"/>
  <c r="F1409" i="6"/>
  <c r="H1408" i="6"/>
  <c r="F1404" i="6"/>
  <c r="F1403" i="6"/>
  <c r="H1402" i="6"/>
  <c r="F1398" i="6"/>
  <c r="F1397" i="6"/>
  <c r="H1396" i="6"/>
  <c r="F1392" i="6"/>
  <c r="F1391" i="6"/>
  <c r="H1390" i="6"/>
  <c r="F1386" i="6"/>
  <c r="F1385" i="6"/>
  <c r="H1384" i="6"/>
  <c r="F1380" i="6"/>
  <c r="F1379" i="6"/>
  <c r="H1378" i="6"/>
  <c r="H2053" i="6"/>
  <c r="H2054" i="6"/>
  <c r="H2047" i="6"/>
  <c r="H2048" i="6"/>
  <c r="H2041" i="6"/>
  <c r="H2042" i="6"/>
  <c r="H2035" i="6"/>
  <c r="H2036" i="6"/>
  <c r="H2029" i="6"/>
  <c r="H2030" i="6"/>
  <c r="H2023" i="6"/>
  <c r="H2024" i="6"/>
  <c r="H2017" i="6"/>
  <c r="H2018" i="6"/>
  <c r="H2011" i="6"/>
  <c r="H2012" i="6"/>
  <c r="H2005" i="6"/>
  <c r="H2006" i="6"/>
  <c r="H1999" i="6"/>
  <c r="H2000" i="6"/>
  <c r="H2059" i="6"/>
  <c r="H2060" i="6"/>
  <c r="H2065" i="6"/>
  <c r="H2066" i="6"/>
  <c r="H2071" i="6"/>
  <c r="H2072" i="6"/>
  <c r="H2077" i="6"/>
  <c r="H2078" i="6"/>
  <c r="H2083" i="6"/>
  <c r="H2084" i="6"/>
  <c r="H2089" i="6"/>
  <c r="H2090" i="6"/>
  <c r="H2095" i="6"/>
  <c r="H2096" i="6"/>
  <c r="H2101" i="6"/>
  <c r="H2102" i="6"/>
  <c r="H2107" i="6"/>
  <c r="H2108" i="6"/>
  <c r="H2113" i="6"/>
  <c r="H2114" i="6"/>
  <c r="H1993" i="6"/>
  <c r="H1994" i="6"/>
  <c r="H1987" i="6"/>
  <c r="H1988" i="6"/>
  <c r="H1981" i="6"/>
  <c r="H1982" i="6"/>
  <c r="H1975" i="6"/>
  <c r="H1976" i="6"/>
  <c r="H1963" i="6"/>
  <c r="H1964" i="6"/>
  <c r="H1969" i="6"/>
  <c r="H1970" i="6"/>
  <c r="H1957" i="6"/>
  <c r="H1958" i="6"/>
  <c r="H1951" i="6"/>
  <c r="H1952" i="6"/>
  <c r="H1945" i="6"/>
  <c r="H1946" i="6"/>
  <c r="H1939" i="6"/>
  <c r="H1940" i="6"/>
  <c r="H1933" i="6"/>
  <c r="H1934" i="6"/>
  <c r="H1927" i="6"/>
  <c r="H1928" i="6"/>
  <c r="H1921" i="6"/>
  <c r="H1922" i="6"/>
  <c r="H1915" i="6"/>
  <c r="H1916" i="6"/>
  <c r="H1909" i="6"/>
  <c r="H1910" i="6"/>
  <c r="H1903" i="6"/>
  <c r="H1904" i="6"/>
  <c r="H1897" i="6"/>
  <c r="H1898" i="6"/>
  <c r="H1891" i="6"/>
  <c r="H1892" i="6"/>
  <c r="H1885" i="6"/>
  <c r="H1886" i="6"/>
  <c r="H1879" i="6"/>
  <c r="H1880" i="6"/>
  <c r="F2118" i="6"/>
  <c r="G2118" i="6"/>
  <c r="F2114" i="6"/>
  <c r="F2113" i="6"/>
  <c r="H2112" i="6"/>
  <c r="F2108" i="6"/>
  <c r="F2107" i="6"/>
  <c r="H2106" i="6"/>
  <c r="F2102" i="6"/>
  <c r="F2101" i="6"/>
  <c r="H2100" i="6"/>
  <c r="F2096" i="6"/>
  <c r="F2095" i="6"/>
  <c r="H2094" i="6"/>
  <c r="F2090" i="6"/>
  <c r="F2089" i="6"/>
  <c r="H2088" i="6"/>
  <c r="F2084" i="6"/>
  <c r="F2083" i="6"/>
  <c r="H2082" i="6"/>
  <c r="F2078" i="6"/>
  <c r="F2077" i="6"/>
  <c r="H2076" i="6"/>
  <c r="F2072" i="6"/>
  <c r="F2071" i="6"/>
  <c r="H2070" i="6"/>
  <c r="F2066" i="6"/>
  <c r="F2065" i="6"/>
  <c r="H2064" i="6"/>
  <c r="F2060" i="6"/>
  <c r="F2059" i="6"/>
  <c r="H2058" i="6"/>
  <c r="F2054" i="6"/>
  <c r="F2053" i="6"/>
  <c r="H2052" i="6"/>
  <c r="F2048" i="6"/>
  <c r="F2047" i="6"/>
  <c r="H2046" i="6"/>
  <c r="F2042" i="6"/>
  <c r="F2041" i="6"/>
  <c r="H2040" i="6"/>
  <c r="F2036" i="6"/>
  <c r="F2035" i="6"/>
  <c r="H2034" i="6"/>
  <c r="F2030" i="6"/>
  <c r="F2029" i="6"/>
  <c r="H2028" i="6"/>
  <c r="F2024" i="6"/>
  <c r="F2023" i="6"/>
  <c r="H2022" i="6"/>
  <c r="F2018" i="6"/>
  <c r="F2017" i="6"/>
  <c r="H2016" i="6"/>
  <c r="F2012" i="6"/>
  <c r="F2011" i="6"/>
  <c r="H2010" i="6"/>
  <c r="F2006" i="6"/>
  <c r="F2005" i="6"/>
  <c r="H2004" i="6"/>
  <c r="F2000" i="6"/>
  <c r="F1999" i="6"/>
  <c r="H1998" i="6"/>
  <c r="F1994" i="6"/>
  <c r="F1993" i="6"/>
  <c r="H1992" i="6"/>
  <c r="F1988" i="6"/>
  <c r="F1987" i="6"/>
  <c r="H1986" i="6"/>
  <c r="F1982" i="6"/>
  <c r="F1981" i="6"/>
  <c r="H1980" i="6"/>
  <c r="F1976" i="6"/>
  <c r="F1975" i="6"/>
  <c r="H1974" i="6"/>
  <c r="F1970" i="6"/>
  <c r="F1969" i="6"/>
  <c r="H1968" i="6"/>
  <c r="F1964" i="6"/>
  <c r="F1963" i="6"/>
  <c r="H1962" i="6"/>
  <c r="F1958" i="6"/>
  <c r="F1957" i="6"/>
  <c r="H1956" i="6"/>
  <c r="F1952" i="6"/>
  <c r="F1951" i="6"/>
  <c r="H1950" i="6"/>
  <c r="F1946" i="6"/>
  <c r="F1945" i="6"/>
  <c r="H1944" i="6"/>
  <c r="F1940" i="6"/>
  <c r="F1939" i="6"/>
  <c r="H1938" i="6"/>
  <c r="F1934" i="6"/>
  <c r="F1933" i="6"/>
  <c r="H1932" i="6"/>
  <c r="F1928" i="6"/>
  <c r="F1927" i="6"/>
  <c r="H1926" i="6"/>
  <c r="F1922" i="6"/>
  <c r="F1921" i="6"/>
  <c r="H1920" i="6"/>
  <c r="F1916" i="6"/>
  <c r="F1915" i="6"/>
  <c r="H1914" i="6"/>
  <c r="F1910" i="6"/>
  <c r="F1909" i="6"/>
  <c r="H1908" i="6"/>
  <c r="F1904" i="6"/>
  <c r="F1903" i="6"/>
  <c r="H1902" i="6"/>
  <c r="F1898" i="6"/>
  <c r="F1897" i="6"/>
  <c r="H1896" i="6"/>
  <c r="F1892" i="6"/>
  <c r="F1891" i="6"/>
  <c r="H1890" i="6"/>
  <c r="F1886" i="6"/>
  <c r="F1885" i="6"/>
  <c r="F1880" i="6"/>
  <c r="F1879" i="6"/>
  <c r="H1878" i="6"/>
  <c r="H1808" i="6"/>
  <c r="H1809" i="6"/>
  <c r="H1802" i="6"/>
  <c r="H1803" i="6"/>
  <c r="H1796" i="6"/>
  <c r="H1797" i="6"/>
  <c r="H1790" i="6"/>
  <c r="H1791" i="6"/>
  <c r="H1784" i="6"/>
  <c r="H1785" i="6"/>
  <c r="H1778" i="6"/>
  <c r="H1779" i="6"/>
  <c r="H1772" i="6"/>
  <c r="H1773" i="6"/>
  <c r="H1766" i="6"/>
  <c r="H1767" i="6"/>
  <c r="H1760" i="6"/>
  <c r="H1761" i="6"/>
  <c r="H1754" i="6"/>
  <c r="H1755" i="6"/>
  <c r="H1814" i="6"/>
  <c r="H1815" i="6"/>
  <c r="H1820" i="6"/>
  <c r="H1821" i="6"/>
  <c r="H1826" i="6"/>
  <c r="H1827" i="6"/>
  <c r="H1832" i="6"/>
  <c r="H1833" i="6"/>
  <c r="H1838" i="6"/>
  <c r="H1839" i="6"/>
  <c r="H1844" i="6"/>
  <c r="H1845" i="6"/>
  <c r="H1850" i="6"/>
  <c r="H1851" i="6"/>
  <c r="H1856" i="6"/>
  <c r="H1857" i="6"/>
  <c r="H1862" i="6"/>
  <c r="H1863" i="6"/>
  <c r="H1868" i="6"/>
  <c r="H1869" i="6"/>
  <c r="F1874" i="6"/>
  <c r="G1874" i="6"/>
  <c r="F1875" i="6"/>
  <c r="F1869" i="6"/>
  <c r="F1868" i="6"/>
  <c r="H1867" i="6"/>
  <c r="F1863" i="6"/>
  <c r="F1862" i="6"/>
  <c r="H1861" i="6"/>
  <c r="F1857" i="6"/>
  <c r="F1856" i="6"/>
  <c r="H1855" i="6"/>
  <c r="F1851" i="6"/>
  <c r="F1850" i="6"/>
  <c r="H1849" i="6"/>
  <c r="F1845" i="6"/>
  <c r="F1844" i="6"/>
  <c r="H1843" i="6"/>
  <c r="F1839" i="6"/>
  <c r="F1838" i="6"/>
  <c r="H1837" i="6"/>
  <c r="F1833" i="6"/>
  <c r="F1832" i="6"/>
  <c r="H1831" i="6"/>
  <c r="F1827" i="6"/>
  <c r="F1826" i="6"/>
  <c r="H1825" i="6"/>
  <c r="F1821" i="6"/>
  <c r="F1820" i="6"/>
  <c r="H1819" i="6"/>
  <c r="F1815" i="6"/>
  <c r="F1814" i="6"/>
  <c r="H1813" i="6"/>
  <c r="F1809" i="6"/>
  <c r="F1808" i="6"/>
  <c r="H1807" i="6"/>
  <c r="F1803" i="6"/>
  <c r="F1802" i="6"/>
  <c r="H1801" i="6"/>
  <c r="F1797" i="6"/>
  <c r="F1796" i="6"/>
  <c r="H1795" i="6"/>
  <c r="F1791" i="6"/>
  <c r="F1790" i="6"/>
  <c r="H1789" i="6"/>
  <c r="F1785" i="6"/>
  <c r="F1784" i="6"/>
  <c r="H1783" i="6"/>
  <c r="F1779" i="6"/>
  <c r="F1778" i="6"/>
  <c r="H1777" i="6"/>
  <c r="F1773" i="6"/>
  <c r="F1772" i="6"/>
  <c r="H1771" i="6"/>
  <c r="F1767" i="6"/>
  <c r="F1766" i="6"/>
  <c r="H1765" i="6"/>
  <c r="F1761" i="6"/>
  <c r="F1760" i="6"/>
  <c r="H1759" i="6"/>
  <c r="F1755" i="6"/>
  <c r="F1754" i="6"/>
  <c r="H1753" i="6"/>
  <c r="H1683" i="6"/>
  <c r="H1684" i="6"/>
  <c r="H1677" i="6"/>
  <c r="H1678" i="6"/>
  <c r="H1671" i="6"/>
  <c r="H1672" i="6"/>
  <c r="H1665" i="6"/>
  <c r="H1666" i="6"/>
  <c r="H1659" i="6"/>
  <c r="H1660" i="6"/>
  <c r="H1653" i="6"/>
  <c r="H1654" i="6"/>
  <c r="H1647" i="6"/>
  <c r="H1648" i="6"/>
  <c r="H1641" i="6"/>
  <c r="H1642" i="6"/>
  <c r="H1635" i="6"/>
  <c r="H1636" i="6"/>
  <c r="H1629" i="6"/>
  <c r="H1630" i="6"/>
  <c r="H1689" i="6"/>
  <c r="H1690" i="6"/>
  <c r="H1695" i="6"/>
  <c r="H1696" i="6"/>
  <c r="H1701" i="6"/>
  <c r="H1702" i="6"/>
  <c r="H1707" i="6"/>
  <c r="H1708" i="6"/>
  <c r="H1713" i="6"/>
  <c r="H1714" i="6"/>
  <c r="H1719" i="6"/>
  <c r="H1720" i="6"/>
  <c r="H1725" i="6"/>
  <c r="H1726" i="6"/>
  <c r="H1731" i="6"/>
  <c r="H1732" i="6"/>
  <c r="H1737" i="6"/>
  <c r="H1738" i="6"/>
  <c r="H1743" i="6"/>
  <c r="H1744" i="6"/>
  <c r="F1749" i="6"/>
  <c r="G1749" i="6"/>
  <c r="F1750" i="6"/>
  <c r="F1744" i="6"/>
  <c r="F1743" i="6"/>
  <c r="H1742" i="6"/>
  <c r="F1738" i="6"/>
  <c r="F1737" i="6"/>
  <c r="F1732" i="6"/>
  <c r="F1731" i="6"/>
  <c r="H1730" i="6"/>
  <c r="F1726" i="6"/>
  <c r="F1725" i="6"/>
  <c r="H1724" i="6"/>
  <c r="F1720" i="6"/>
  <c r="F1719" i="6"/>
  <c r="H1718" i="6"/>
  <c r="F1714" i="6"/>
  <c r="F1713" i="6"/>
  <c r="H1712" i="6"/>
  <c r="F1708" i="6"/>
  <c r="F1707" i="6"/>
  <c r="H1706" i="6"/>
  <c r="F1702" i="6"/>
  <c r="F1701" i="6"/>
  <c r="H1700" i="6"/>
  <c r="F1696" i="6"/>
  <c r="F1695" i="6"/>
  <c r="H1694" i="6"/>
  <c r="F1690" i="6"/>
  <c r="F1689" i="6"/>
  <c r="H1688" i="6"/>
  <c r="F1684" i="6"/>
  <c r="F1683" i="6"/>
  <c r="H1682" i="6"/>
  <c r="F1678" i="6"/>
  <c r="F1677" i="6"/>
  <c r="H1676" i="6"/>
  <c r="F1672" i="6"/>
  <c r="F1671" i="6"/>
  <c r="H1670" i="6"/>
  <c r="F1666" i="6"/>
  <c r="F1665" i="6"/>
  <c r="H1664" i="6"/>
  <c r="F1660" i="6"/>
  <c r="F1659" i="6"/>
  <c r="H1658" i="6"/>
  <c r="F1654" i="6"/>
  <c r="F1653" i="6"/>
  <c r="H1652" i="6"/>
  <c r="F1648" i="6"/>
  <c r="F1647" i="6"/>
  <c r="H1646" i="6"/>
  <c r="F1642" i="6"/>
  <c r="F1641" i="6"/>
  <c r="H1640" i="6"/>
  <c r="F1636" i="6"/>
  <c r="F1635" i="6"/>
  <c r="H1634" i="6"/>
  <c r="F1630" i="6"/>
  <c r="F1629" i="6"/>
  <c r="H1628" i="6"/>
  <c r="H1558" i="6"/>
  <c r="H1559" i="6"/>
  <c r="H1552" i="6"/>
  <c r="H1553" i="6"/>
  <c r="H1546" i="6"/>
  <c r="H1547" i="6"/>
  <c r="H1540" i="6"/>
  <c r="H1541" i="6"/>
  <c r="H1534" i="6"/>
  <c r="H1535" i="6"/>
  <c r="H1528" i="6"/>
  <c r="H1529" i="6"/>
  <c r="H1522" i="6"/>
  <c r="H1523" i="6"/>
  <c r="H1516" i="6"/>
  <c r="H1517" i="6"/>
  <c r="H1510" i="6"/>
  <c r="H1511" i="6"/>
  <c r="H1504" i="6"/>
  <c r="H1505" i="6"/>
  <c r="H1564" i="6"/>
  <c r="H1565" i="6"/>
  <c r="H1570" i="6"/>
  <c r="H1571" i="6"/>
  <c r="H1576" i="6"/>
  <c r="H1577" i="6"/>
  <c r="H1582" i="6"/>
  <c r="H1583" i="6"/>
  <c r="H1588" i="6"/>
  <c r="H1589" i="6"/>
  <c r="H1594" i="6"/>
  <c r="H1595" i="6"/>
  <c r="H1600" i="6"/>
  <c r="H1601" i="6"/>
  <c r="H1606" i="6"/>
  <c r="H1607" i="6"/>
  <c r="H1612" i="6"/>
  <c r="H1613" i="6"/>
  <c r="H1618" i="6"/>
  <c r="H1619" i="6"/>
  <c r="F1624" i="6"/>
  <c r="G1624" i="6"/>
  <c r="F1625" i="6"/>
  <c r="F1619" i="6"/>
  <c r="F1618" i="6"/>
  <c r="H1617" i="6"/>
  <c r="F1613" i="6"/>
  <c r="F1612" i="6"/>
  <c r="H1611" i="6"/>
  <c r="F1607" i="6"/>
  <c r="F1606" i="6"/>
  <c r="H1605" i="6"/>
  <c r="F1601" i="6"/>
  <c r="F1600" i="6"/>
  <c r="H1599" i="6"/>
  <c r="F1595" i="6"/>
  <c r="F1594" i="6"/>
  <c r="H1593" i="6"/>
  <c r="F1589" i="6"/>
  <c r="F1588" i="6"/>
  <c r="H1587" i="6"/>
  <c r="F1583" i="6"/>
  <c r="F1582" i="6"/>
  <c r="H1581" i="6"/>
  <c r="F1577" i="6"/>
  <c r="F1576" i="6"/>
  <c r="H1575" i="6"/>
  <c r="F1571" i="6"/>
  <c r="F1570" i="6"/>
  <c r="H1569" i="6"/>
  <c r="F1565" i="6"/>
  <c r="F1564" i="6"/>
  <c r="H1563" i="6"/>
  <c r="F1559" i="6"/>
  <c r="F1558" i="6"/>
  <c r="H1557" i="6"/>
  <c r="F1553" i="6"/>
  <c r="F1552" i="6"/>
  <c r="H1551" i="6"/>
  <c r="F1547" i="6"/>
  <c r="F1546" i="6"/>
  <c r="H1545" i="6"/>
  <c r="F1541" i="6"/>
  <c r="F1540" i="6"/>
  <c r="H1539" i="6"/>
  <c r="F1535" i="6"/>
  <c r="F1534" i="6"/>
  <c r="H1533" i="6"/>
  <c r="F1529" i="6"/>
  <c r="F1528" i="6"/>
  <c r="H1527" i="6"/>
  <c r="F1523" i="6"/>
  <c r="F1522" i="6"/>
  <c r="H1521" i="6"/>
  <c r="F1517" i="6"/>
  <c r="F1516" i="6"/>
  <c r="H1515" i="6"/>
  <c r="F1511" i="6"/>
  <c r="F1510" i="6"/>
  <c r="H1509" i="6"/>
  <c r="F1505" i="6"/>
  <c r="F1504" i="6"/>
  <c r="H1503" i="6"/>
  <c r="H1308" i="6"/>
  <c r="H1309" i="6"/>
  <c r="H1302" i="6"/>
  <c r="H1303" i="6"/>
  <c r="H1296" i="6"/>
  <c r="H1297" i="6"/>
  <c r="H1290" i="6"/>
  <c r="H1291" i="6"/>
  <c r="H1284" i="6"/>
  <c r="H1285" i="6"/>
  <c r="H1278" i="6"/>
  <c r="H1279" i="6"/>
  <c r="H1272" i="6"/>
  <c r="H1273" i="6"/>
  <c r="H1266" i="6"/>
  <c r="H1267" i="6"/>
  <c r="H1260" i="6"/>
  <c r="H1261" i="6"/>
  <c r="H1254" i="6"/>
  <c r="H1255" i="6"/>
  <c r="H1314" i="6"/>
  <c r="H1315" i="6"/>
  <c r="H1320" i="6"/>
  <c r="H1321" i="6"/>
  <c r="H1326" i="6"/>
  <c r="H1327" i="6"/>
  <c r="H1332" i="6"/>
  <c r="H1333" i="6"/>
  <c r="H1338" i="6"/>
  <c r="H1339" i="6"/>
  <c r="H1344" i="6"/>
  <c r="H1345" i="6"/>
  <c r="H1350" i="6"/>
  <c r="H1351" i="6"/>
  <c r="H1356" i="6"/>
  <c r="H1357" i="6"/>
  <c r="H1362" i="6"/>
  <c r="H1363" i="6"/>
  <c r="H1368" i="6"/>
  <c r="H1369" i="6"/>
  <c r="F1374" i="6"/>
  <c r="G1374" i="6"/>
  <c r="F1375" i="6"/>
  <c r="F1369" i="6"/>
  <c r="F1368" i="6"/>
  <c r="H1367" i="6"/>
  <c r="F1363" i="6"/>
  <c r="F1362" i="6"/>
  <c r="H1361" i="6"/>
  <c r="F1357" i="6"/>
  <c r="F1356" i="6"/>
  <c r="H1355" i="6"/>
  <c r="F1351" i="6"/>
  <c r="F1350" i="6"/>
  <c r="H1349" i="6"/>
  <c r="F1345" i="6"/>
  <c r="F1344" i="6"/>
  <c r="H1343" i="6"/>
  <c r="F1339" i="6"/>
  <c r="F1338" i="6"/>
  <c r="H1337" i="6"/>
  <c r="F1333" i="6"/>
  <c r="F1332" i="6"/>
  <c r="H1331" i="6"/>
  <c r="F1327" i="6"/>
  <c r="F1326" i="6"/>
  <c r="H1325" i="6"/>
  <c r="F1321" i="6"/>
  <c r="F1320" i="6"/>
  <c r="H1319" i="6"/>
  <c r="F1315" i="6"/>
  <c r="F1314" i="6"/>
  <c r="H1313" i="6"/>
  <c r="F1309" i="6"/>
  <c r="F1308" i="6"/>
  <c r="H1307" i="6"/>
  <c r="F1303" i="6"/>
  <c r="F1302" i="6"/>
  <c r="H1301" i="6"/>
  <c r="F1297" i="6"/>
  <c r="F1296" i="6"/>
  <c r="H1295" i="6"/>
  <c r="F1291" i="6"/>
  <c r="F1290" i="6"/>
  <c r="H1289" i="6"/>
  <c r="F1285" i="6"/>
  <c r="F1284" i="6"/>
  <c r="H1283" i="6"/>
  <c r="F1279" i="6"/>
  <c r="F1278" i="6"/>
  <c r="H1277" i="6"/>
  <c r="F1273" i="6"/>
  <c r="F1272" i="6"/>
  <c r="H1271" i="6"/>
  <c r="F1267" i="6"/>
  <c r="F1266" i="6"/>
  <c r="H1265" i="6"/>
  <c r="F1261" i="6"/>
  <c r="F1260" i="6"/>
  <c r="H1259" i="6"/>
  <c r="F1255" i="6"/>
  <c r="F1254" i="6"/>
  <c r="H1253" i="6"/>
  <c r="H1183" i="6"/>
  <c r="H1184" i="6"/>
  <c r="H1177" i="6"/>
  <c r="H1178" i="6"/>
  <c r="H1171" i="6"/>
  <c r="H1172" i="6"/>
  <c r="H1165" i="6"/>
  <c r="H1166" i="6"/>
  <c r="H1159" i="6"/>
  <c r="H1160" i="6"/>
  <c r="H1153" i="6"/>
  <c r="H1154" i="6"/>
  <c r="H1147" i="6"/>
  <c r="H1148" i="6"/>
  <c r="H1141" i="6"/>
  <c r="H1142" i="6"/>
  <c r="H1135" i="6"/>
  <c r="H1136" i="6"/>
  <c r="H1129" i="6"/>
  <c r="H1130" i="6"/>
  <c r="H1189" i="6"/>
  <c r="H1190" i="6"/>
  <c r="H1195" i="6"/>
  <c r="H1196" i="6"/>
  <c r="H1201" i="6"/>
  <c r="H1202" i="6"/>
  <c r="H1207" i="6"/>
  <c r="H1208" i="6"/>
  <c r="H1213" i="6"/>
  <c r="H1214" i="6"/>
  <c r="H1219" i="6"/>
  <c r="H1220" i="6"/>
  <c r="H1225" i="6"/>
  <c r="H1226" i="6"/>
  <c r="H1231" i="6"/>
  <c r="H1232" i="6"/>
  <c r="H1237" i="6"/>
  <c r="H1238" i="6"/>
  <c r="H1243" i="6"/>
  <c r="H1244" i="6"/>
  <c r="F1249" i="6"/>
  <c r="G1249" i="6"/>
  <c r="F1250" i="6"/>
  <c r="F1244" i="6"/>
  <c r="F1243" i="6"/>
  <c r="H1242" i="6"/>
  <c r="F1238" i="6"/>
  <c r="F1237" i="6"/>
  <c r="H1236" i="6"/>
  <c r="F1232" i="6"/>
  <c r="F1231" i="6"/>
  <c r="H1230" i="6"/>
  <c r="F1226" i="6"/>
  <c r="F1225" i="6"/>
  <c r="H1224" i="6"/>
  <c r="F1220" i="6"/>
  <c r="F1219" i="6"/>
  <c r="H1218" i="6"/>
  <c r="F1214" i="6"/>
  <c r="F1213" i="6"/>
  <c r="H1212" i="6"/>
  <c r="F1208" i="6"/>
  <c r="F1207" i="6"/>
  <c r="H1206" i="6"/>
  <c r="F1202" i="6"/>
  <c r="F1201" i="6"/>
  <c r="H1200" i="6"/>
  <c r="F1196" i="6"/>
  <c r="F1195" i="6"/>
  <c r="H1194" i="6"/>
  <c r="F1190" i="6"/>
  <c r="F1189" i="6"/>
  <c r="H1188" i="6"/>
  <c r="F1184" i="6"/>
  <c r="F1183" i="6"/>
  <c r="H1182" i="6"/>
  <c r="F1178" i="6"/>
  <c r="F1177" i="6"/>
  <c r="H1176" i="6"/>
  <c r="F1172" i="6"/>
  <c r="F1171" i="6"/>
  <c r="H1170" i="6"/>
  <c r="F1166" i="6"/>
  <c r="F1165" i="6"/>
  <c r="H1164" i="6"/>
  <c r="F1160" i="6"/>
  <c r="F1159" i="6"/>
  <c r="H1158" i="6"/>
  <c r="F1154" i="6"/>
  <c r="F1153" i="6"/>
  <c r="H1152" i="6"/>
  <c r="F1148" i="6"/>
  <c r="F1147" i="6"/>
  <c r="H1146" i="6"/>
  <c r="F1142" i="6"/>
  <c r="F1141" i="6"/>
  <c r="H1140" i="6"/>
  <c r="F1136" i="6"/>
  <c r="F1135" i="6"/>
  <c r="H1134" i="6"/>
  <c r="F1130" i="6"/>
  <c r="F1129" i="6"/>
  <c r="H1128" i="6"/>
  <c r="H1059" i="6"/>
  <c r="H1060" i="6"/>
  <c r="H1053" i="6"/>
  <c r="H1054" i="6"/>
  <c r="H1047" i="6"/>
  <c r="H1048" i="6"/>
  <c r="H1041" i="6"/>
  <c r="H1042" i="6"/>
  <c r="H1035" i="6"/>
  <c r="H1036" i="6"/>
  <c r="H1029" i="6"/>
  <c r="H1030" i="6"/>
  <c r="H1023" i="6"/>
  <c r="H1024" i="6"/>
  <c r="H1017" i="6"/>
  <c r="H1018" i="6"/>
  <c r="H1011" i="6"/>
  <c r="H1012" i="6"/>
  <c r="H1005" i="6"/>
  <c r="H1006" i="6"/>
  <c r="H1065" i="6"/>
  <c r="H1066" i="6"/>
  <c r="H1071" i="6"/>
  <c r="H1072" i="6"/>
  <c r="H1077" i="6"/>
  <c r="H1078" i="6"/>
  <c r="H1083" i="6"/>
  <c r="H1084" i="6"/>
  <c r="H1089" i="6"/>
  <c r="H1090" i="6"/>
  <c r="H1095" i="6"/>
  <c r="H1096" i="6"/>
  <c r="H1101" i="6"/>
  <c r="H1102" i="6"/>
  <c r="H1107" i="6"/>
  <c r="H1108" i="6"/>
  <c r="H1113" i="6"/>
  <c r="H1114" i="6"/>
  <c r="H1119" i="6"/>
  <c r="H1120" i="6"/>
  <c r="H999" i="6"/>
  <c r="H1000" i="6"/>
  <c r="H993" i="6"/>
  <c r="H994" i="6"/>
  <c r="H987" i="6"/>
  <c r="H988" i="6"/>
  <c r="H981" i="6"/>
  <c r="H982" i="6"/>
  <c r="H969" i="6"/>
  <c r="H970" i="6"/>
  <c r="H975" i="6"/>
  <c r="H976" i="6"/>
  <c r="H963" i="6"/>
  <c r="H964" i="6"/>
  <c r="H957" i="6"/>
  <c r="H958" i="6"/>
  <c r="H951" i="6"/>
  <c r="H952" i="6"/>
  <c r="H945" i="6"/>
  <c r="H946" i="6"/>
  <c r="H939" i="6"/>
  <c r="H940" i="6"/>
  <c r="H933" i="6"/>
  <c r="H934" i="6"/>
  <c r="H927" i="6"/>
  <c r="H928" i="6"/>
  <c r="H921" i="6"/>
  <c r="H922" i="6"/>
  <c r="H915" i="6"/>
  <c r="H916" i="6"/>
  <c r="H909" i="6"/>
  <c r="H910" i="6"/>
  <c r="H903" i="6"/>
  <c r="H904" i="6"/>
  <c r="H897" i="6"/>
  <c r="H898" i="6"/>
  <c r="H891" i="6"/>
  <c r="H892" i="6"/>
  <c r="H885" i="6"/>
  <c r="H886" i="6"/>
  <c r="F1124" i="6"/>
  <c r="G1124" i="6"/>
  <c r="F1125" i="6"/>
  <c r="F1120" i="6"/>
  <c r="F1119" i="6"/>
  <c r="H1118" i="6"/>
  <c r="F1114" i="6"/>
  <c r="F1113" i="6"/>
  <c r="H1112" i="6"/>
  <c r="F1108" i="6"/>
  <c r="F1107" i="6"/>
  <c r="H1106" i="6"/>
  <c r="F1102" i="6"/>
  <c r="F1101" i="6"/>
  <c r="H1100" i="6"/>
  <c r="F1096" i="6"/>
  <c r="F1095" i="6"/>
  <c r="H1094" i="6"/>
  <c r="F1090" i="6"/>
  <c r="F1089" i="6"/>
  <c r="H1088" i="6"/>
  <c r="F1084" i="6"/>
  <c r="F1083" i="6"/>
  <c r="H1082" i="6"/>
  <c r="F1078" i="6"/>
  <c r="F1077" i="6"/>
  <c r="H1076" i="6"/>
  <c r="F1072" i="6"/>
  <c r="F1071" i="6"/>
  <c r="H1070" i="6"/>
  <c r="F1066" i="6"/>
  <c r="F1065" i="6"/>
  <c r="H1064" i="6"/>
  <c r="F1060" i="6"/>
  <c r="F1059" i="6"/>
  <c r="H1058" i="6"/>
  <c r="F1054" i="6"/>
  <c r="F1053" i="6"/>
  <c r="H1052" i="6"/>
  <c r="F1048" i="6"/>
  <c r="F1047" i="6"/>
  <c r="H1046" i="6"/>
  <c r="F1042" i="6"/>
  <c r="F1041" i="6"/>
  <c r="H1040" i="6"/>
  <c r="F1036" i="6"/>
  <c r="F1035" i="6"/>
  <c r="H1034" i="6"/>
  <c r="F1030" i="6"/>
  <c r="F1029" i="6"/>
  <c r="H1028" i="6"/>
  <c r="F1024" i="6"/>
  <c r="F1023" i="6"/>
  <c r="H1022" i="6"/>
  <c r="F1018" i="6"/>
  <c r="F1017" i="6"/>
  <c r="H1016" i="6"/>
  <c r="F1012" i="6"/>
  <c r="F1011" i="6"/>
  <c r="H1010" i="6"/>
  <c r="F1006" i="6"/>
  <c r="F1005" i="6"/>
  <c r="H1004" i="6"/>
  <c r="F1000" i="6"/>
  <c r="F999" i="6"/>
  <c r="H998" i="6"/>
  <c r="F994" i="6"/>
  <c r="F993" i="6"/>
  <c r="H992" i="6"/>
  <c r="F988" i="6"/>
  <c r="F987" i="6"/>
  <c r="H986" i="6"/>
  <c r="F982" i="6"/>
  <c r="F981" i="6"/>
  <c r="H980" i="6"/>
  <c r="F976" i="6"/>
  <c r="F975" i="6"/>
  <c r="H974" i="6"/>
  <c r="F970" i="6"/>
  <c r="F969" i="6"/>
  <c r="H968" i="6"/>
  <c r="F964" i="6"/>
  <c r="F963" i="6"/>
  <c r="H962" i="6"/>
  <c r="F958" i="6"/>
  <c r="F957" i="6"/>
  <c r="H956" i="6"/>
  <c r="F952" i="6"/>
  <c r="F951" i="6"/>
  <c r="H950" i="6"/>
  <c r="F946" i="6"/>
  <c r="F945" i="6"/>
  <c r="H944" i="6"/>
  <c r="F940" i="6"/>
  <c r="F939" i="6"/>
  <c r="F934" i="6"/>
  <c r="F933" i="6"/>
  <c r="H932" i="6"/>
  <c r="F928" i="6"/>
  <c r="F927" i="6"/>
  <c r="H926" i="6"/>
  <c r="F922" i="6"/>
  <c r="F921" i="6"/>
  <c r="H920" i="6"/>
  <c r="F916" i="6"/>
  <c r="F915" i="6"/>
  <c r="F910" i="6"/>
  <c r="F909" i="6"/>
  <c r="H908" i="6"/>
  <c r="F904" i="6"/>
  <c r="F903" i="6"/>
  <c r="H902" i="6"/>
  <c r="F898" i="6"/>
  <c r="F897" i="6"/>
  <c r="H896" i="6"/>
  <c r="F892" i="6"/>
  <c r="F891" i="6"/>
  <c r="H890" i="6"/>
  <c r="F886" i="6"/>
  <c r="F885" i="6"/>
  <c r="H884" i="6"/>
  <c r="G880" i="6"/>
  <c r="F881" i="6"/>
  <c r="H874" i="6"/>
  <c r="H875" i="6"/>
  <c r="F875" i="6"/>
  <c r="F874" i="6"/>
  <c r="H868" i="6"/>
  <c r="H869" i="6"/>
  <c r="F869" i="6"/>
  <c r="F868" i="6"/>
  <c r="H862" i="6"/>
  <c r="H863" i="6"/>
  <c r="F863" i="6"/>
  <c r="F862" i="6"/>
  <c r="H861" i="6"/>
  <c r="H856" i="6"/>
  <c r="H857" i="6"/>
  <c r="F857" i="6"/>
  <c r="F856" i="6"/>
  <c r="H855" i="6"/>
  <c r="H850" i="6"/>
  <c r="H851" i="6"/>
  <c r="F851" i="6"/>
  <c r="F850" i="6"/>
  <c r="H844" i="6"/>
  <c r="H845" i="6"/>
  <c r="F845" i="6"/>
  <c r="F844" i="6"/>
  <c r="H843" i="6"/>
  <c r="H838" i="6"/>
  <c r="H839" i="6"/>
  <c r="F839" i="6"/>
  <c r="F838" i="6"/>
  <c r="H837" i="6"/>
  <c r="H832" i="6"/>
  <c r="H833" i="6"/>
  <c r="F833" i="6"/>
  <c r="F832" i="6"/>
  <c r="H826" i="6"/>
  <c r="H827" i="6"/>
  <c r="F827" i="6"/>
  <c r="F826" i="6"/>
  <c r="H820" i="6"/>
  <c r="H821" i="6"/>
  <c r="F821" i="6"/>
  <c r="F820" i="6"/>
  <c r="H814" i="6"/>
  <c r="H815" i="6"/>
  <c r="F815" i="6"/>
  <c r="F814" i="6"/>
  <c r="H808" i="6"/>
  <c r="H809" i="6"/>
  <c r="F809" i="6"/>
  <c r="F808" i="6"/>
  <c r="H802" i="6"/>
  <c r="H803" i="6"/>
  <c r="F803" i="6"/>
  <c r="F802" i="6"/>
  <c r="H796" i="6"/>
  <c r="H797" i="6"/>
  <c r="F797" i="6"/>
  <c r="F796" i="6"/>
  <c r="H790" i="6"/>
  <c r="H791" i="6"/>
  <c r="F791" i="6"/>
  <c r="F790" i="6"/>
  <c r="H784" i="6"/>
  <c r="H785" i="6"/>
  <c r="F785" i="6"/>
  <c r="F784" i="6"/>
  <c r="H778" i="6"/>
  <c r="H779" i="6"/>
  <c r="F779" i="6"/>
  <c r="F778" i="6"/>
  <c r="H772" i="6"/>
  <c r="H773" i="6"/>
  <c r="F773" i="6"/>
  <c r="F772" i="6"/>
  <c r="H766" i="6"/>
  <c r="H767" i="6"/>
  <c r="F767" i="6"/>
  <c r="F766" i="6"/>
  <c r="H760" i="6"/>
  <c r="H761" i="6"/>
  <c r="F761" i="6"/>
  <c r="F760" i="6"/>
  <c r="H759" i="6"/>
  <c r="H689" i="6"/>
  <c r="H690" i="6"/>
  <c r="H683" i="6"/>
  <c r="H684" i="6"/>
  <c r="H677" i="6"/>
  <c r="H678" i="6"/>
  <c r="H671" i="6"/>
  <c r="H672" i="6"/>
  <c r="H665" i="6"/>
  <c r="H666" i="6"/>
  <c r="H659" i="6"/>
  <c r="H660" i="6"/>
  <c r="H653" i="6"/>
  <c r="H654" i="6"/>
  <c r="H647" i="6"/>
  <c r="H648" i="6"/>
  <c r="H641" i="6"/>
  <c r="H642" i="6"/>
  <c r="H635" i="6"/>
  <c r="H636" i="6"/>
  <c r="H695" i="6"/>
  <c r="H696" i="6"/>
  <c r="H701" i="6"/>
  <c r="H702" i="6"/>
  <c r="H707" i="6"/>
  <c r="H708" i="6"/>
  <c r="H713" i="6"/>
  <c r="H714" i="6"/>
  <c r="H719" i="6"/>
  <c r="H720" i="6"/>
  <c r="H725" i="6"/>
  <c r="H726" i="6"/>
  <c r="H731" i="6"/>
  <c r="H732" i="6"/>
  <c r="H737" i="6"/>
  <c r="H738" i="6"/>
  <c r="H743" i="6"/>
  <c r="H744" i="6"/>
  <c r="H749" i="6"/>
  <c r="H750" i="6"/>
  <c r="F755" i="6"/>
  <c r="G755" i="6"/>
  <c r="F756" i="6"/>
  <c r="F750" i="6"/>
  <c r="F749" i="6"/>
  <c r="H748" i="6"/>
  <c r="F744" i="6"/>
  <c r="F743" i="6"/>
  <c r="F738" i="6"/>
  <c r="F737" i="6"/>
  <c r="F732" i="6"/>
  <c r="F731" i="6"/>
  <c r="F726" i="6"/>
  <c r="F725" i="6"/>
  <c r="F720" i="6"/>
  <c r="F719" i="6"/>
  <c r="H718" i="6"/>
  <c r="F714" i="6"/>
  <c r="F713" i="6"/>
  <c r="F708" i="6"/>
  <c r="F707" i="6"/>
  <c r="F702" i="6"/>
  <c r="F701" i="6"/>
  <c r="F696" i="6"/>
  <c r="F695" i="6"/>
  <c r="F690" i="6"/>
  <c r="F689" i="6"/>
  <c r="F684" i="6"/>
  <c r="F683" i="6"/>
  <c r="F678" i="6"/>
  <c r="F677" i="6"/>
  <c r="F672" i="6"/>
  <c r="F671" i="6"/>
  <c r="F666" i="6"/>
  <c r="F665" i="6"/>
  <c r="F660" i="6"/>
  <c r="F659" i="6"/>
  <c r="F654" i="6"/>
  <c r="F653" i="6"/>
  <c r="F648" i="6"/>
  <c r="F647" i="6"/>
  <c r="F642" i="6"/>
  <c r="F641" i="6"/>
  <c r="F636" i="6"/>
  <c r="F635" i="6"/>
  <c r="H634" i="6"/>
  <c r="H564" i="6"/>
  <c r="H565" i="6"/>
  <c r="H558" i="6"/>
  <c r="H559" i="6"/>
  <c r="H552" i="6"/>
  <c r="H553" i="6"/>
  <c r="H546" i="6"/>
  <c r="H547" i="6"/>
  <c r="H540" i="6"/>
  <c r="H541" i="6"/>
  <c r="H534" i="6"/>
  <c r="H535" i="6"/>
  <c r="H528" i="6"/>
  <c r="H529" i="6"/>
  <c r="H522" i="6"/>
  <c r="H523" i="6"/>
  <c r="H516" i="6"/>
  <c r="H517" i="6"/>
  <c r="H510" i="6"/>
  <c r="H511" i="6"/>
  <c r="H570" i="6"/>
  <c r="H571" i="6"/>
  <c r="H576" i="6"/>
  <c r="H577" i="6"/>
  <c r="H582" i="6"/>
  <c r="H583" i="6"/>
  <c r="H588" i="6"/>
  <c r="H589" i="6"/>
  <c r="H594" i="6"/>
  <c r="H595" i="6"/>
  <c r="H600" i="6"/>
  <c r="H601" i="6"/>
  <c r="H606" i="6"/>
  <c r="H607" i="6"/>
  <c r="H612" i="6"/>
  <c r="H613" i="6"/>
  <c r="H618" i="6"/>
  <c r="H619" i="6"/>
  <c r="H624" i="6"/>
  <c r="H625" i="6"/>
  <c r="F630" i="6"/>
  <c r="G630" i="6"/>
  <c r="F631" i="6"/>
  <c r="F625" i="6"/>
  <c r="F624" i="6"/>
  <c r="F619" i="6"/>
  <c r="F618" i="6"/>
  <c r="H617" i="6"/>
  <c r="F613" i="6"/>
  <c r="F612" i="6"/>
  <c r="F607" i="6"/>
  <c r="F606" i="6"/>
  <c r="F601" i="6"/>
  <c r="F600" i="6"/>
  <c r="F595" i="6"/>
  <c r="F594" i="6"/>
  <c r="F589" i="6"/>
  <c r="F588" i="6"/>
  <c r="F583" i="6"/>
  <c r="F582" i="6"/>
  <c r="F577" i="6"/>
  <c r="F576" i="6"/>
  <c r="H575" i="6"/>
  <c r="F571" i="6"/>
  <c r="F570" i="6"/>
  <c r="F565" i="6"/>
  <c r="F564" i="6"/>
  <c r="F559" i="6"/>
  <c r="F558" i="6"/>
  <c r="F553" i="6"/>
  <c r="F552" i="6"/>
  <c r="F547" i="6"/>
  <c r="F546" i="6"/>
  <c r="F541" i="6"/>
  <c r="F540" i="6"/>
  <c r="F535" i="6"/>
  <c r="F534" i="6"/>
  <c r="F529" i="6"/>
  <c r="F528" i="6"/>
  <c r="F523" i="6"/>
  <c r="F522" i="6"/>
  <c r="H521" i="6"/>
  <c r="F517" i="6"/>
  <c r="F516" i="6"/>
  <c r="H515" i="6"/>
  <c r="F511" i="6"/>
  <c r="F510" i="6"/>
  <c r="H509" i="6"/>
  <c r="H439" i="6"/>
  <c r="H440" i="6"/>
  <c r="H433" i="6"/>
  <c r="H434" i="6"/>
  <c r="H427" i="6"/>
  <c r="H428" i="6"/>
  <c r="H421" i="6"/>
  <c r="H422" i="6"/>
  <c r="H415" i="6"/>
  <c r="H416" i="6"/>
  <c r="H409" i="6"/>
  <c r="H410" i="6"/>
  <c r="H403" i="6"/>
  <c r="H404" i="6"/>
  <c r="H397" i="6"/>
  <c r="H398" i="6"/>
  <c r="H391" i="6"/>
  <c r="H392" i="6"/>
  <c r="H385" i="6"/>
  <c r="H386" i="6"/>
  <c r="H445" i="6"/>
  <c r="H446" i="6"/>
  <c r="H451" i="6"/>
  <c r="H452" i="6"/>
  <c r="H457" i="6"/>
  <c r="H458" i="6"/>
  <c r="H463" i="6"/>
  <c r="H464" i="6"/>
  <c r="H469" i="6"/>
  <c r="H470" i="6"/>
  <c r="H475" i="6"/>
  <c r="H476" i="6"/>
  <c r="H481" i="6"/>
  <c r="H482" i="6"/>
  <c r="H487" i="6"/>
  <c r="H488" i="6"/>
  <c r="H493" i="6"/>
  <c r="H494" i="6"/>
  <c r="H499" i="6"/>
  <c r="H500" i="6"/>
  <c r="F505" i="6"/>
  <c r="G505" i="6"/>
  <c r="F506" i="6"/>
  <c r="F500" i="6"/>
  <c r="F499" i="6"/>
  <c r="H498" i="6"/>
  <c r="F494" i="6"/>
  <c r="F493" i="6"/>
  <c r="F488" i="6"/>
  <c r="F487" i="6"/>
  <c r="H486" i="6"/>
  <c r="F482" i="6"/>
  <c r="F481" i="6"/>
  <c r="F476" i="6"/>
  <c r="F475" i="6"/>
  <c r="H474" i="6"/>
  <c r="F470" i="6"/>
  <c r="F469" i="6"/>
  <c r="H468" i="6"/>
  <c r="F464" i="6"/>
  <c r="F463" i="6"/>
  <c r="H462" i="6"/>
  <c r="F458" i="6"/>
  <c r="F457" i="6"/>
  <c r="F452" i="6"/>
  <c r="F451" i="6"/>
  <c r="F446" i="6"/>
  <c r="F445" i="6"/>
  <c r="F440" i="6"/>
  <c r="F439" i="6"/>
  <c r="F434" i="6"/>
  <c r="F433" i="6"/>
  <c r="F428" i="6"/>
  <c r="F427" i="6"/>
  <c r="F422" i="6"/>
  <c r="F421" i="6"/>
  <c r="F416" i="6"/>
  <c r="F415" i="6"/>
  <c r="F410" i="6"/>
  <c r="F409" i="6"/>
  <c r="H408" i="6"/>
  <c r="F404" i="6"/>
  <c r="F403" i="6"/>
  <c r="F398" i="6"/>
  <c r="F397" i="6"/>
  <c r="F392" i="6"/>
  <c r="F391" i="6"/>
  <c r="F386" i="6"/>
  <c r="F385" i="6"/>
  <c r="H384" i="6"/>
  <c r="H314" i="6"/>
  <c r="H315" i="6"/>
  <c r="H308" i="6"/>
  <c r="H309" i="6"/>
  <c r="H302" i="6"/>
  <c r="H303" i="6"/>
  <c r="H296" i="6"/>
  <c r="H297" i="6"/>
  <c r="H290" i="6"/>
  <c r="H291" i="6"/>
  <c r="H284" i="6"/>
  <c r="H285" i="6"/>
  <c r="H278" i="6"/>
  <c r="H279" i="6"/>
  <c r="H272" i="6"/>
  <c r="H273" i="6"/>
  <c r="H266" i="6"/>
  <c r="H267" i="6"/>
  <c r="H260" i="6"/>
  <c r="H261" i="6"/>
  <c r="H320" i="6"/>
  <c r="H321" i="6"/>
  <c r="H326" i="6"/>
  <c r="H327" i="6"/>
  <c r="H332" i="6"/>
  <c r="H333" i="6"/>
  <c r="H338" i="6"/>
  <c r="H339" i="6"/>
  <c r="H344" i="6"/>
  <c r="H345" i="6"/>
  <c r="H350" i="6"/>
  <c r="H351" i="6"/>
  <c r="H356" i="6"/>
  <c r="H357" i="6"/>
  <c r="H362" i="6"/>
  <c r="H363" i="6"/>
  <c r="H368" i="6"/>
  <c r="H369" i="6"/>
  <c r="H374" i="6"/>
  <c r="H375" i="6"/>
  <c r="F380" i="6"/>
  <c r="G380" i="6"/>
  <c r="F381" i="6"/>
  <c r="F375" i="6"/>
  <c r="F374" i="6"/>
  <c r="F369" i="6"/>
  <c r="F368" i="6"/>
  <c r="H367" i="6"/>
  <c r="F363" i="6"/>
  <c r="F362" i="6"/>
  <c r="H361" i="6"/>
  <c r="F357" i="6"/>
  <c r="F356" i="6"/>
  <c r="F351" i="6"/>
  <c r="F350" i="6"/>
  <c r="F345" i="6"/>
  <c r="F344" i="6"/>
  <c r="H343" i="6"/>
  <c r="F339" i="6"/>
  <c r="F338" i="6"/>
  <c r="F333" i="6"/>
  <c r="F332" i="6"/>
  <c r="F327" i="6"/>
  <c r="F326" i="6"/>
  <c r="H325" i="6"/>
  <c r="F321" i="6"/>
  <c r="F320" i="6"/>
  <c r="H319" i="6"/>
  <c r="F315" i="6"/>
  <c r="F314" i="6"/>
  <c r="F309" i="6"/>
  <c r="F308" i="6"/>
  <c r="H307" i="6"/>
  <c r="F303" i="6"/>
  <c r="F302" i="6"/>
  <c r="F297" i="6"/>
  <c r="F296" i="6"/>
  <c r="H295" i="6"/>
  <c r="F291" i="6"/>
  <c r="F290" i="6"/>
  <c r="H289" i="6"/>
  <c r="F285" i="6"/>
  <c r="F284" i="6"/>
  <c r="H283" i="6"/>
  <c r="F279" i="6"/>
  <c r="F278" i="6"/>
  <c r="H277" i="6"/>
  <c r="F273" i="6"/>
  <c r="F272" i="6"/>
  <c r="H271" i="6"/>
  <c r="F267" i="6"/>
  <c r="F266" i="6"/>
  <c r="H265" i="6"/>
  <c r="F261" i="6"/>
  <c r="F260" i="6"/>
  <c r="H259" i="6"/>
  <c r="H189" i="6"/>
  <c r="H190" i="6"/>
  <c r="H183" i="6"/>
  <c r="H184" i="6"/>
  <c r="H177" i="6"/>
  <c r="H178" i="6"/>
  <c r="H171" i="6"/>
  <c r="H172" i="6"/>
  <c r="H165" i="6"/>
  <c r="H166" i="6"/>
  <c r="H159" i="6"/>
  <c r="H160" i="6"/>
  <c r="H153" i="6"/>
  <c r="H154" i="6"/>
  <c r="H147" i="6"/>
  <c r="H148" i="6"/>
  <c r="H141" i="6"/>
  <c r="H142" i="6"/>
  <c r="H135" i="6"/>
  <c r="H136" i="6"/>
  <c r="H195" i="6"/>
  <c r="H196" i="6"/>
  <c r="H201" i="6"/>
  <c r="H202" i="6"/>
  <c r="H207" i="6"/>
  <c r="H208" i="6"/>
  <c r="H213" i="6"/>
  <c r="H214" i="6"/>
  <c r="H219" i="6"/>
  <c r="H220" i="6"/>
  <c r="H225" i="6"/>
  <c r="H226" i="6"/>
  <c r="H231" i="6"/>
  <c r="H232" i="6"/>
  <c r="H237" i="6"/>
  <c r="H238" i="6"/>
  <c r="H243" i="6"/>
  <c r="H244" i="6"/>
  <c r="H249" i="6"/>
  <c r="H250" i="6"/>
  <c r="F255" i="6"/>
  <c r="G255" i="6"/>
  <c r="F256" i="6"/>
  <c r="F250" i="6"/>
  <c r="F249" i="6"/>
  <c r="F244" i="6"/>
  <c r="F243" i="6"/>
  <c r="F238" i="6"/>
  <c r="F237" i="6"/>
  <c r="F232" i="6"/>
  <c r="F231" i="6"/>
  <c r="F226" i="6"/>
  <c r="F225" i="6"/>
  <c r="F220" i="6"/>
  <c r="F219" i="6"/>
  <c r="F214" i="6"/>
  <c r="F213" i="6"/>
  <c r="H212" i="6"/>
  <c r="F208" i="6"/>
  <c r="F207" i="6"/>
  <c r="F202" i="6"/>
  <c r="F201" i="6"/>
  <c r="H200" i="6"/>
  <c r="F196" i="6"/>
  <c r="F195" i="6"/>
  <c r="H194" i="6"/>
  <c r="F190" i="6"/>
  <c r="F189" i="6"/>
  <c r="H188" i="6"/>
  <c r="F184" i="6"/>
  <c r="F183" i="6"/>
  <c r="H182" i="6"/>
  <c r="F178" i="6"/>
  <c r="F177" i="6"/>
  <c r="F172" i="6"/>
  <c r="F171" i="6"/>
  <c r="F166" i="6"/>
  <c r="F165" i="6"/>
  <c r="H164" i="6"/>
  <c r="F160" i="6"/>
  <c r="F159" i="6"/>
  <c r="F154" i="6"/>
  <c r="F153" i="6"/>
  <c r="H152" i="6"/>
  <c r="F148" i="6"/>
  <c r="F147" i="6"/>
  <c r="H146" i="6"/>
  <c r="F142" i="6"/>
  <c r="F141" i="6"/>
  <c r="F136" i="6"/>
  <c r="F135" i="6"/>
  <c r="H134" i="6"/>
  <c r="H64" i="6"/>
  <c r="H65" i="6"/>
  <c r="H58" i="6"/>
  <c r="H59" i="6"/>
  <c r="H52" i="6"/>
  <c r="H53" i="6"/>
  <c r="H46" i="6"/>
  <c r="H47" i="6"/>
  <c r="H40" i="6"/>
  <c r="H41" i="6"/>
  <c r="H34" i="6"/>
  <c r="H33" i="6"/>
  <c r="H35" i="6"/>
  <c r="H28" i="6"/>
  <c r="H29" i="6"/>
  <c r="H22" i="6"/>
  <c r="H23" i="6"/>
  <c r="H16" i="6"/>
  <c r="H17" i="6"/>
  <c r="H10" i="6"/>
  <c r="H11" i="6"/>
  <c r="H70" i="6"/>
  <c r="H71" i="6"/>
  <c r="H76" i="6"/>
  <c r="H77" i="6"/>
  <c r="H82" i="6"/>
  <c r="H83" i="6"/>
  <c r="H88" i="6"/>
  <c r="H89" i="6"/>
  <c r="H94" i="6"/>
  <c r="H95" i="6"/>
  <c r="H100" i="6"/>
  <c r="H101" i="6"/>
  <c r="H106" i="6"/>
  <c r="H107" i="6"/>
  <c r="H112" i="6"/>
  <c r="H113" i="6"/>
  <c r="H118" i="6"/>
  <c r="H119" i="6"/>
  <c r="H124" i="6"/>
  <c r="H125" i="6"/>
  <c r="F130" i="6"/>
  <c r="G130" i="6"/>
  <c r="F131" i="6"/>
  <c r="F125" i="6"/>
  <c r="F124" i="6"/>
  <c r="H123" i="6"/>
  <c r="F119" i="6"/>
  <c r="F118" i="6"/>
  <c r="H117" i="6"/>
  <c r="F113" i="6"/>
  <c r="F112" i="6"/>
  <c r="H111" i="6"/>
  <c r="F107" i="6"/>
  <c r="F106" i="6"/>
  <c r="H105" i="6"/>
  <c r="F101" i="6"/>
  <c r="F100" i="6"/>
  <c r="H99" i="6"/>
  <c r="F95" i="6"/>
  <c r="F94" i="6"/>
  <c r="H93" i="6"/>
  <c r="F89" i="6"/>
  <c r="F88" i="6"/>
  <c r="H87" i="6"/>
  <c r="F83" i="6"/>
  <c r="F82" i="6"/>
  <c r="H81" i="6"/>
  <c r="F77" i="6"/>
  <c r="F76" i="6"/>
  <c r="H75" i="6"/>
  <c r="F71" i="6"/>
  <c r="F70" i="6"/>
  <c r="H69" i="6"/>
  <c r="F65" i="6"/>
  <c r="F64" i="6"/>
  <c r="H63" i="6"/>
  <c r="F59" i="6"/>
  <c r="F58" i="6"/>
  <c r="F53" i="6"/>
  <c r="F52" i="6"/>
  <c r="H51" i="6"/>
  <c r="F47" i="6"/>
  <c r="F46" i="6"/>
  <c r="H45" i="6"/>
  <c r="F41" i="6"/>
  <c r="F40" i="6"/>
  <c r="H39" i="6"/>
  <c r="F35" i="6"/>
  <c r="F34" i="6"/>
  <c r="F29" i="6"/>
  <c r="F28" i="6"/>
  <c r="H27" i="6"/>
  <c r="F23" i="6"/>
  <c r="F22" i="6"/>
  <c r="H21" i="6"/>
  <c r="F17" i="6"/>
  <c r="F16" i="6"/>
  <c r="H15" i="6"/>
  <c r="F11" i="6"/>
  <c r="F10" i="6"/>
  <c r="H9" i="6"/>
  <c r="H2331" i="6"/>
  <c r="H2325" i="6"/>
  <c r="H2319" i="6"/>
  <c r="H2313" i="6"/>
  <c r="H2307" i="6"/>
  <c r="H2301" i="6"/>
  <c r="H2295" i="6"/>
  <c r="H2289" i="6"/>
  <c r="H2283" i="6"/>
  <c r="H2277" i="6"/>
  <c r="H2271" i="6"/>
  <c r="H2265" i="6"/>
  <c r="H2259" i="6"/>
  <c r="H2253" i="6"/>
  <c r="H2247" i="6"/>
  <c r="H2236" i="6"/>
  <c r="H2230" i="6"/>
  <c r="H2224" i="6"/>
  <c r="H2218" i="6"/>
  <c r="H2212" i="6"/>
  <c r="H2206" i="6"/>
  <c r="H2200" i="6"/>
  <c r="H2194" i="6"/>
  <c r="H2188" i="6"/>
  <c r="H2182" i="6"/>
  <c r="H2176" i="6"/>
  <c r="H2170" i="6"/>
  <c r="H2164" i="6"/>
  <c r="H2158" i="6"/>
  <c r="H2152" i="6"/>
  <c r="H2146" i="6"/>
  <c r="H2140" i="6"/>
  <c r="H2134" i="6"/>
  <c r="H2128" i="6"/>
  <c r="H2122" i="6"/>
  <c r="G2582" i="6"/>
  <c r="F2583" i="6"/>
  <c r="G2338" i="6"/>
  <c r="H2302" i="6"/>
  <c r="H2303" i="6"/>
  <c r="H2296" i="6"/>
  <c r="H2297" i="6"/>
  <c r="H2290" i="6"/>
  <c r="H2291" i="6"/>
  <c r="H2284" i="6"/>
  <c r="H2285" i="6"/>
  <c r="H2278" i="6"/>
  <c r="H2279" i="6"/>
  <c r="H2272" i="6"/>
  <c r="H2273" i="6"/>
  <c r="H2266" i="6"/>
  <c r="H2267" i="6"/>
  <c r="H2260" i="6"/>
  <c r="H2261" i="6"/>
  <c r="H2254" i="6"/>
  <c r="H2255" i="6"/>
  <c r="H2248" i="6"/>
  <c r="H2249" i="6"/>
  <c r="H2308" i="6"/>
  <c r="H2309" i="6"/>
  <c r="H2314" i="6"/>
  <c r="H2315" i="6"/>
  <c r="H2320" i="6"/>
  <c r="H2321" i="6"/>
  <c r="H2326" i="6"/>
  <c r="H2327" i="6"/>
  <c r="H2332" i="6"/>
  <c r="H2333" i="6"/>
  <c r="F2338" i="6"/>
  <c r="F2339" i="6"/>
  <c r="H2129" i="6"/>
  <c r="H2130" i="6"/>
  <c r="H2135" i="6"/>
  <c r="H2136" i="6"/>
  <c r="H2141" i="6"/>
  <c r="H2142" i="6"/>
  <c r="H2147" i="6"/>
  <c r="H2148" i="6"/>
  <c r="H2153" i="6"/>
  <c r="H2154" i="6"/>
  <c r="H2159" i="6"/>
  <c r="H2160" i="6"/>
  <c r="H2165" i="6"/>
  <c r="H2166" i="6"/>
  <c r="H2171" i="6"/>
  <c r="H2172" i="6"/>
  <c r="H2177" i="6"/>
  <c r="H2178" i="6"/>
  <c r="H2183" i="6"/>
  <c r="H2184" i="6"/>
  <c r="H2189" i="6"/>
  <c r="H2190" i="6"/>
  <c r="H2195" i="6"/>
  <c r="H2196" i="6"/>
  <c r="H2201" i="6"/>
  <c r="H2202" i="6"/>
  <c r="H2207" i="6"/>
  <c r="H2208" i="6"/>
  <c r="H2213" i="6"/>
  <c r="H2214" i="6"/>
  <c r="H2219" i="6"/>
  <c r="H2220" i="6"/>
  <c r="H2225" i="6"/>
  <c r="H2226" i="6"/>
  <c r="H2231" i="6"/>
  <c r="H2232" i="6"/>
  <c r="H2237" i="6"/>
  <c r="H2238" i="6"/>
  <c r="H2123" i="6"/>
  <c r="G2243" i="6"/>
  <c r="H2124" i="6"/>
  <c r="F2243" i="6"/>
  <c r="F2244" i="6"/>
</calcChain>
</file>

<file path=xl/sharedStrings.xml><?xml version="1.0" encoding="utf-8"?>
<sst xmlns="http://schemas.openxmlformats.org/spreadsheetml/2006/main" count="5177" uniqueCount="2139">
  <si>
    <t>FOL</t>
  </si>
  <si>
    <t>TEMA 1</t>
  </si>
  <si>
    <t>Marca con una X la respuesta correcta</t>
  </si>
  <si>
    <t>CORRECTO</t>
  </si>
  <si>
    <t>Preguntas correctas = 1 punto</t>
  </si>
  <si>
    <t>Preguntas falladas = -0.33 puntos</t>
  </si>
  <si>
    <t>Preguntas no respondida = 0 puntos</t>
  </si>
  <si>
    <t>Que el trabajo regulado por el Derecho Laboral sea dependiente significa que…</t>
  </si>
  <si>
    <t>El trabajo ha de pagarse.</t>
  </si>
  <si>
    <t>El empresario es el que ordena cuándo, dónde y cómo se ha de realizar el trabajo.</t>
  </si>
  <si>
    <t>El trabajador es insustituible.</t>
  </si>
  <si>
    <t xml:space="preserve">Indica cuál de las siguientes de las siguientes situaciones es una relación laboral excluida: </t>
  </si>
  <si>
    <t>Ayudar de forma esporádica a una ONG.</t>
  </si>
  <si>
    <t>Ser consejero de una SL o de una SA cuando no realiza ningún trabajo y solamente es socio.</t>
  </si>
  <si>
    <t>Los funcionarios.</t>
  </si>
  <si>
    <t>Todas son situaciones laborales excluidas.</t>
  </si>
  <si>
    <t>No es una relación laboral especial:</t>
  </si>
  <si>
    <t>Los directivos de las empresas.</t>
  </si>
  <si>
    <t>Los deportistas profesionales.</t>
  </si>
  <si>
    <t>Los agentes comerciales que asumen el riesgo de la venta.</t>
  </si>
  <si>
    <t>¿Cuáles de las siguientes relaciones no reúnen los requisitos para que se las considere reguladas por el Derecho Laboral?</t>
  </si>
  <si>
    <t>El trabajo prestado por una empleada de hogar.</t>
  </si>
  <si>
    <t>El trabajo desempeñado por un autónomo para un cliente.</t>
  </si>
  <si>
    <t>La relación de una peluquera con su jefa, que es la dueña de la empresa.</t>
  </si>
  <si>
    <t>De los siguientes familiares señala cuál es familiar de segundo grado de consanguinidad:</t>
  </si>
  <si>
    <t>Mis suegros.</t>
  </si>
  <si>
    <t>Mi padre.</t>
  </si>
  <si>
    <t>Ninguno de los anteriores.</t>
  </si>
  <si>
    <t>Mis hermanos.</t>
  </si>
  <si>
    <t>Mi sobrina.</t>
  </si>
  <si>
    <t>Indica cuál de las siguientes normas no es fuente del Derecho del Trabajo.</t>
  </si>
  <si>
    <t>Los usos y costumbres.</t>
  </si>
  <si>
    <t>La Constitución.</t>
  </si>
  <si>
    <t>Los contratos mercantiles de compra-venta.</t>
  </si>
  <si>
    <t>Los Convenios Colectivos.</t>
  </si>
  <si>
    <t>Señala cuáles de las siguientes fuentes de Derecho del Trabajo no provienen del Estado.</t>
  </si>
  <si>
    <t>Convenio Colectivo.</t>
  </si>
  <si>
    <t>Ley orgánica.</t>
  </si>
  <si>
    <t>Reglamento</t>
  </si>
  <si>
    <t>Un Real Decreto-Ley.</t>
  </si>
  <si>
    <t>Lo aprueba las Cortes Generales para unificar muchas leyes en una sola.</t>
  </si>
  <si>
    <t>Se aprueba por el Gobierno en caso de urgente necesidad.</t>
  </si>
  <si>
    <t>Desarrolla los derechos fundamentales.</t>
  </si>
  <si>
    <t>En el convenio colectivo es cierto que:</t>
  </si>
  <si>
    <t>Los aprueban los sindicatos en sus reuniones.</t>
  </si>
  <si>
    <t>Los pactan los sindicatos y empresarios al negociar las condiciones de trabajo de la empresa o del sector.</t>
  </si>
  <si>
    <t>En caso de conflicto de normas, ¿Cuál de las siguientes prevalecerá?</t>
  </si>
  <si>
    <t>Un tratado internacional.</t>
  </si>
  <si>
    <t>Ninguna de las dos.</t>
  </si>
  <si>
    <t>Una ley interna.</t>
  </si>
  <si>
    <t>Señala la respuesta correcta:</t>
  </si>
  <si>
    <t>EL ET se aprobó por Decreto-Ley.</t>
  </si>
  <si>
    <t>La Constitución está por encima del Derecho comunitario.</t>
  </si>
  <si>
    <t>La Constitución está por encima de los tratados internacionales.</t>
  </si>
  <si>
    <t>¿En virtud de qué principio en los contratos de trabajo no se pueden empeorar las condiciones establecidas en los convenios colectivos?</t>
  </si>
  <si>
    <t>Principio de norma más favorable.</t>
  </si>
  <si>
    <t>Principio de irrenunciabilidad de derechos.</t>
  </si>
  <si>
    <t>Principio de norma mínima.</t>
  </si>
  <si>
    <t>¿Puede renunciar un trabajador a los derechos reconocidos en su convenio colectivo?</t>
  </si>
  <si>
    <t>Sí, pero a cambio de dinero.</t>
  </si>
  <si>
    <t>Sí, siempre, porque son derechos personales.</t>
  </si>
  <si>
    <t>A veces, siempre que se trate de derechos económicos.</t>
  </si>
  <si>
    <t>No, por el principio de irrenunciabilidad de derechos.</t>
  </si>
  <si>
    <t>El principio de condición más beneficiosa implica:</t>
  </si>
  <si>
    <t>Que el trabajador puede renunciar a los derechos que quiera.</t>
  </si>
  <si>
    <t>Que los derechos adquiridos por el trabajador por contrato de trabajo no se pierden aunque cambien las leyes.</t>
  </si>
  <si>
    <t>Que se aplicará la norma más favorable para el trabajador.</t>
  </si>
  <si>
    <t>En el supuesto de que existan dos o más normas aplicables a un caso concreto, se aplicará:</t>
  </si>
  <si>
    <t>La más antigua.</t>
  </si>
  <si>
    <t>La más favorable al trabajador.</t>
  </si>
  <si>
    <t>La de mayor rango.</t>
  </si>
  <si>
    <t>Según el principio in dubio pro operario:</t>
  </si>
  <si>
    <t>El juez deberá tener en cuenta la norma más favorable para el trabajador.</t>
  </si>
  <si>
    <t>El juez nunca podrá quitar al trabajador sus derechos mínimos.</t>
  </si>
  <si>
    <t>El juez deberá realizar la interpretación de la ley que más favorezca al trabajador.</t>
  </si>
  <si>
    <t>¿Cuáles de los siguientes derechos tienen consideración de derecho fundamental de los trabajadores?</t>
  </si>
  <si>
    <t>Promoción y formación profesional.</t>
  </si>
  <si>
    <t>Percepción puntual del salario.</t>
  </si>
  <si>
    <t>Huelga.</t>
  </si>
  <si>
    <t>El derecho a la ocupación efectiva de los trabajadores significa que:</t>
  </si>
  <si>
    <t>Los ciudadanos tienen derecho a trabajar.</t>
  </si>
  <si>
    <t>Los trabajadores tienen derecho a conocer cuál es su función en la empresa.</t>
  </si>
  <si>
    <t>Los trabajadores tienen derecho a estar ocupados laboralmente durante su jornada de trabajo.</t>
  </si>
  <si>
    <t>De las siguientes ordenes, ¿Cuál puede ser desobedecida por un trabajador?</t>
  </si>
  <si>
    <t>Las órdenes que pongan en peligro su integridad física.</t>
  </si>
  <si>
    <t>Las órdenes que se refieren a su horario de trabajo.</t>
  </si>
  <si>
    <t>Las referidas a las tareas que  debe realizar.</t>
  </si>
  <si>
    <t>La empresa puede sancionar a los trabajadores, para ello:</t>
  </si>
  <si>
    <t>Sancionará a los trabajadores aunque haya pasado un año desde que se cometió la falta; nunca prescriben las faltas.</t>
  </si>
  <si>
    <t>Podrá sancionar rebajando el sueldo o el periodo de vacaciones si la falta es considerada muy grave.</t>
  </si>
  <si>
    <t>Deberá consultar que faltas se consideran leves, graves y muy graves por su convenio colectivo.</t>
  </si>
  <si>
    <t>APROBADO</t>
  </si>
  <si>
    <t>SUSPENDIDO</t>
  </si>
  <si>
    <t>NOTA</t>
  </si>
  <si>
    <t>TEMA 2</t>
  </si>
  <si>
    <t>¿A qué edad se puede acceder al mercado laboral?</t>
  </si>
  <si>
    <t>A los 18 años.</t>
  </si>
  <si>
    <t>A los 14 años.</t>
  </si>
  <si>
    <t>A los 16 años.</t>
  </si>
  <si>
    <t>En caso de que el convenio colectivo no disponga nada. ¿Qué periodo de prueba debe pactarse, como máximo para los trabajadores que no sean técnicos titulados?</t>
  </si>
  <si>
    <t>Seis meses.</t>
  </si>
  <si>
    <t>Dos meses.</t>
  </si>
  <si>
    <t>Quince días.</t>
  </si>
  <si>
    <t>En caso de que el convenio colectivo no disponga nada. ¿Qué periodo de prueba debe pactarse, como máximo para los trabajadores que sean contratados con un contrato temporal de cinco meses de duración?</t>
  </si>
  <si>
    <t>No está regulado.</t>
  </si>
  <si>
    <t>Un mes.</t>
  </si>
  <si>
    <t>Un empresario puede ser:</t>
  </si>
  <si>
    <t>Una persona física.</t>
  </si>
  <si>
    <t>Una persona jurídica o una comunidad de bienes.</t>
  </si>
  <si>
    <t>Las dos son verdaderas.</t>
  </si>
  <si>
    <t>En cuales de los siguientes contratos no es obligatoria la forma escrita.</t>
  </si>
  <si>
    <t>Contrato a tiempo parcial.</t>
  </si>
  <si>
    <t>Contrato indefinido ordinario</t>
  </si>
  <si>
    <t>Contrato de obra y servicio.</t>
  </si>
  <si>
    <t>En el periodo de prueba:</t>
  </si>
  <si>
    <t>La empresa puede decidir sin motivo alguno rescindir el contrato.</t>
  </si>
  <si>
    <t>El trabajador puede decidir sin motivo alguno rescindir el contrato.</t>
  </si>
  <si>
    <t>Todas son ciertas.</t>
  </si>
  <si>
    <t>Un contrato indefinido es el que…</t>
  </si>
  <si>
    <t>Fomenta la contratación de trabajadores afectados por desempleo.</t>
  </si>
  <si>
    <t>No fija la fecha de finalización.</t>
  </si>
  <si>
    <t>Establece una fecha determinada de finalización.</t>
  </si>
  <si>
    <t>El contrato indefinido de apoyo a emprendedores lo podrán realizar empresas que tengan:</t>
  </si>
  <si>
    <t>Menos de 50 trabajadores.</t>
  </si>
  <si>
    <t>Más de 30 trabajadores.</t>
  </si>
  <si>
    <t>Más de 50 trabajadores.</t>
  </si>
  <si>
    <t>El contrato en prácticas tiene por objeto facilitar experiencia profesional a personas:</t>
  </si>
  <si>
    <t>Que no tengan ninguna titulación.</t>
  </si>
  <si>
    <t>Que tengan graduado en educación secundaria.</t>
  </si>
  <si>
    <t>Que posea un título oficial que habilite para el desarrollo de una actividad profesional.</t>
  </si>
  <si>
    <t>La duración máxima de un contrato en prácticas es de:</t>
  </si>
  <si>
    <t>Un año.</t>
  </si>
  <si>
    <t>Dos años.</t>
  </si>
  <si>
    <t>Tres años.</t>
  </si>
  <si>
    <t>La duración máxima de un contrato eventual será de:</t>
  </si>
  <si>
    <t>No tiene duración máxima.</t>
  </si>
  <si>
    <t>Ocho meses dentro de un periodo de un año, ampliables por convenio colectivo a un máximo de doce meses dentro de un periodo de 18 meses.</t>
  </si>
  <si>
    <t>Seis meses dentro de un periodo de un año, ampliables por convenio colectivo a un máximo de doce meses dentro de un periodo de 18 meses.</t>
  </si>
  <si>
    <t>La duración mínima de un contrato en prácticas es de:</t>
  </si>
  <si>
    <t>Tres meses.</t>
  </si>
  <si>
    <t>El contrato adecuado para sustituir a un trabajador de baja por enfermedad es de:</t>
  </si>
  <si>
    <t>Interinidad.</t>
  </si>
  <si>
    <t>Obra y servicio.</t>
  </si>
  <si>
    <t>Eventual por circunstancias de la producción.</t>
  </si>
  <si>
    <t>El contrato adecuado para cubrir un incremento de pedidos es:</t>
  </si>
  <si>
    <t>Cuando un trabajador es contratado por una ETT y cedido a otra empresa usuaria para la realización de la prestación laboral, el poder sancionador recae en:</t>
  </si>
  <si>
    <t>La empresa usuaria.</t>
  </si>
  <si>
    <t>La ETT.</t>
  </si>
  <si>
    <t>Las dos.</t>
  </si>
  <si>
    <t>Ignacio, de 19 años de edad, obtuvo hace dos años un título de Grado Medio. Una empresa le contrata por primera vez, mediante un contrato para la formación y el aprendizaje:</t>
  </si>
  <si>
    <t>No es posible, porque Ignacio obtuvo el título hace dos años.</t>
  </si>
  <si>
    <t>No se puede contratar a una persona con un título de un Ciclo Formativo de Grado Medio mediante este tipo de contrato.</t>
  </si>
  <si>
    <t>Ninguna es correcta.</t>
  </si>
  <si>
    <t>Ignacio excede de la edad permitida.</t>
  </si>
  <si>
    <t>El ayuntamiento de una localidad necesita cubrir un puesto de trabajo, por lo que convoca un concurso-oposición. Como el proceso de selección se demora, decide contratar a una persona para ocupar ese puesto mientras dure dicho proceso de selección. ¿Qué tipo de contrato firmarán con esa persona?</t>
  </si>
  <si>
    <t>Eventual.</t>
  </si>
  <si>
    <t>Indefinido.</t>
  </si>
  <si>
    <t>A tiempo parcial.</t>
  </si>
  <si>
    <t>De interinidad.</t>
  </si>
  <si>
    <t>¿Cuántos meses puede durar como máximo el contrato de la pregunta anterior?</t>
  </si>
  <si>
    <t>No hay límite establecido.</t>
  </si>
  <si>
    <t>Respecto al contrato de obra y servicio.</t>
  </si>
  <si>
    <t>Al finalizar el contrato, el trabajador recibe una indemnización.</t>
  </si>
  <si>
    <t>El empresario debe avisar con una antelación de 15 días del final</t>
  </si>
  <si>
    <t>Solo puede celebrarse por escrito.</t>
  </si>
  <si>
    <t>Todas son correctas.</t>
  </si>
  <si>
    <t>Respecto a las ETTs es falso que:</t>
  </si>
  <si>
    <t>Se pueda contratar para cualquier tipo de trabajo con independencia de su peligrosidad o toxicidad.</t>
  </si>
  <si>
    <t>Quien paga los salarios y los seguros sociales es la ETT.</t>
  </si>
  <si>
    <t>Se realice un contrato de puesta a disposición entre la ETT y la empresa usuaria.</t>
  </si>
  <si>
    <t>La ETT abonará al finalizar una indemnización de 12 días por cada año de trabajo.</t>
  </si>
  <si>
    <t>TEMA 3</t>
  </si>
  <si>
    <t>La duración máxima de la jornada ordinaria es de:</t>
  </si>
  <si>
    <t>8 horas al día.</t>
  </si>
  <si>
    <t>40 horas semanales de promedio en cómputo semanal.</t>
  </si>
  <si>
    <t>40 horas semanales de promedio en cómputo anual.</t>
  </si>
  <si>
    <t>El empresario puede distribuir irregularmente la jornada a lo largo del año un:</t>
  </si>
  <si>
    <t>El descanso dentro de la jornada de trabajo para los menores de 18 años será de:</t>
  </si>
  <si>
    <t>30 minutos si la jornada continuada excede de 4 horas.</t>
  </si>
  <si>
    <t>15 minutos si la jornada continuada excede de 6 horas.</t>
  </si>
  <si>
    <t>30 minutos si la jornada continuada excede de 4 horas y media.</t>
  </si>
  <si>
    <t>¿Qué número de horas deben mediar entre el final de una jornada laboral y el comienzo de la siguiente?</t>
  </si>
  <si>
    <t>Ocho horas.</t>
  </si>
  <si>
    <t>No hay límite.</t>
  </si>
  <si>
    <t>Doce horas.</t>
  </si>
  <si>
    <t>El descanso semanal de los menores de 18 años es de:</t>
  </si>
  <si>
    <t>No existe diferencia con los mayores de 18 años.</t>
  </si>
  <si>
    <t>Un día y medio.</t>
  </si>
  <si>
    <t>Dos días ininterrumpidos.</t>
  </si>
  <si>
    <t>¿Qué horario comprende la jornada nocturna?</t>
  </si>
  <si>
    <t>Entre las 8 de la tarde y las 8 de la mañana.</t>
  </si>
  <si>
    <t>Desde el anochecer y el amanecer.</t>
  </si>
  <si>
    <t>Entre las 10 de la noche y las 6 de las mañana.</t>
  </si>
  <si>
    <t>Se considera trabajador nocturno el que trabaja como mínimo:</t>
  </si>
  <si>
    <t>De las 10 de la noche a las 6 de la mañana.</t>
  </si>
  <si>
    <t>Todas son verdaderas.</t>
  </si>
  <si>
    <t>Tres horas en horario de noche.</t>
  </si>
  <si>
    <t>En caso de compensación de las horas extraordinarias por tiempo de descanso, ¿existe algún límite para el disfrute de la citada compensación?</t>
  </si>
  <si>
    <t>Cuatro meses.</t>
  </si>
  <si>
    <t>No existe límite.</t>
  </si>
  <si>
    <t>¿Cuál es el límite máximo de horas extraordinarias que puede realizar el trabajador?</t>
  </si>
  <si>
    <t>60 horas.</t>
  </si>
  <si>
    <t>100 horas.</t>
  </si>
  <si>
    <t>80 horas.</t>
  </si>
  <si>
    <t>Las horas extraordinarias pactadas en el convenio colectivo o contrato son:</t>
  </si>
  <si>
    <t>Voluntarias.</t>
  </si>
  <si>
    <t>Obligatorias.</t>
  </si>
  <si>
    <t>Libres de realización.</t>
  </si>
  <si>
    <t>¿Cuál es la duración mínima del descanso anual?</t>
  </si>
  <si>
    <t>30 días hábiles.</t>
  </si>
  <si>
    <t>El mes de agosto.</t>
  </si>
  <si>
    <t>30 días naturales.</t>
  </si>
  <si>
    <t>Señala cuál de las siguientes afirmaciones es cierta respecto a las vacaciones:</t>
  </si>
  <si>
    <t>Las empresas no deben elaborar un calendario laboral, ya que éste ya lo aprueba la Administración todos los años y es el mismo para todas las empresas.</t>
  </si>
  <si>
    <t>Se tiene derecho a un mínimo de 30 días laborales de vacaciones por año trabajado.</t>
  </si>
  <si>
    <t>No se pueden compensar por dinero, salvo que el contrato finalice y queden vacaciones pendientes de disfrutar.</t>
  </si>
  <si>
    <t>¿Cuántos días de fiestas laborales anuales de carácter retribuido y no recuperable tienen los trabajadores?</t>
  </si>
  <si>
    <t>Catorce días.</t>
  </si>
  <si>
    <t>Doce días.</t>
  </si>
  <si>
    <t>¿Qué fiestas de ámbito nacional se respetan siempre?</t>
  </si>
  <si>
    <t>Fiesta de los reyes magos, el 6 de enero.</t>
  </si>
  <si>
    <t>Fiesta del trabajo, el 1 de mayo.</t>
  </si>
  <si>
    <t>Fiesta de la Constitución, el 6 de diciembre.</t>
  </si>
  <si>
    <t>Día del padre, el 19 de marzo.</t>
  </si>
  <si>
    <t>¿A qué permiso retribuido tiene derecho un trabajador por el nacimiento de un hijo en la misma localidad?</t>
  </si>
  <si>
    <t>Un día.</t>
  </si>
  <si>
    <t>Tres días.</t>
  </si>
  <si>
    <t>Dos días.</t>
  </si>
  <si>
    <t>No trabajar más de un 20% de las horas laborales durante tres meses por un deber inexcusable permite que:</t>
  </si>
  <si>
    <t>El trabajador solo disfrute de una excedencia voluntaria.</t>
  </si>
  <si>
    <t>La empresa pase al trabajador a excedencia forzosa.</t>
  </si>
  <si>
    <t>Se pague al trabajador simplemente.</t>
  </si>
  <si>
    <t>Se dé siempre la oportunidad de trabajar.</t>
  </si>
  <si>
    <t>Las horas extraordinarias según el Estatuto de los Trabajadores se retribuirán:</t>
  </si>
  <si>
    <t>Igual que una hora ordinaria, como mínimo.</t>
  </si>
  <si>
    <t>Con un incremento del 20%</t>
  </si>
  <si>
    <t>Con un incremento del 50%</t>
  </si>
  <si>
    <t>¿A qué permiso retribuido tiene derecho un trabajador por lactancia de un hijo?</t>
  </si>
  <si>
    <t>Una hora de ausencia de trabajo que puede dividir en dos fracciones.</t>
  </si>
  <si>
    <t>Voluntariamente, se puede reducir la jornada en media hora al inicio o fin de la jornada.</t>
  </si>
  <si>
    <t>Si las vacaciones coinciden con una incapacidad temporal por accidente no laboral, el trabajador…</t>
  </si>
  <si>
    <t>Tiene que disfrutarlas dentro del año natural.</t>
  </si>
  <si>
    <t>Pierde las vacaciones</t>
  </si>
  <si>
    <t>Podrá disfrutarlas cuando finalice la incapacidad, siempre que no hayan transcurrido más de 18 meses, a partir del final del año en que se hayan originado.</t>
  </si>
  <si>
    <t>La utilización de un contrato a tiempo parcial se considera:</t>
  </si>
  <si>
    <t>Flexibilidad contractual.</t>
  </si>
  <si>
    <t>Flexibilidad horaria.</t>
  </si>
  <si>
    <t>Flexibilidad salarial.</t>
  </si>
  <si>
    <t>Flexibilidad funcional.</t>
  </si>
  <si>
    <t>TEMA 4</t>
  </si>
  <si>
    <t>El salario está constituido por:</t>
  </si>
  <si>
    <t>La totalidad de las percepciones dinerarias.</t>
  </si>
  <si>
    <t>Las percepciones salariales</t>
  </si>
  <si>
    <t>Las percepciones económicas en dinero y en especie.</t>
  </si>
  <si>
    <t>El periodo de liquidación de la nómina recoge:</t>
  </si>
  <si>
    <t>Los datos personales del trabajador.</t>
  </si>
  <si>
    <t>El tiempo al que se refiere la nómina.</t>
  </si>
  <si>
    <t>Las percepciones del trabajador.</t>
  </si>
  <si>
    <t>Las cuotas que han de liquidarse con el trabajador.</t>
  </si>
  <si>
    <t>¿Qué porcentaje máximo de las percepciones salariales del trabajador se podrán cobrar en especie?</t>
  </si>
  <si>
    <t>El salario mínimo interprofesional lo establece:</t>
  </si>
  <si>
    <t>El Gobierno, los sindicatos y la patronal.</t>
  </si>
  <si>
    <t>El Gobierno.</t>
  </si>
  <si>
    <t>El Ministerio de Empleo.</t>
  </si>
  <si>
    <t>El salario mínimo interprofesional no:</t>
  </si>
  <si>
    <t>Se puede mejorar en los convenios colectivos.</t>
  </si>
  <si>
    <t>Es la cantidad mínima que se percibe como salario base por jornada completa.</t>
  </si>
  <si>
    <t>Es la cantidad mínima que se percibe como salario base independientemente de la jornada.</t>
  </si>
  <si>
    <t>Se considera percepción no salarial.</t>
  </si>
  <si>
    <t>El plus de trasporte.</t>
  </si>
  <si>
    <t>El plus convenio.</t>
  </si>
  <si>
    <t>El plus de nocturnidad.</t>
  </si>
  <si>
    <t>Es percepción salarial:</t>
  </si>
  <si>
    <t>El complemento por toxicidad.</t>
  </si>
  <si>
    <t>Los gastos de viaje.</t>
  </si>
  <si>
    <t>El plus de distancia.</t>
  </si>
  <si>
    <t>¿Cuándo se incluyen las horas extraordinarias en el recibo de salarios?</t>
  </si>
  <si>
    <t>Solo se incluyen las horas por fuerza mayor.</t>
  </si>
  <si>
    <t>Se incluyen tanto las pagadas como las compensadas con tiempo libre.</t>
  </si>
  <si>
    <t>Nunca se incluyen las horas extras en la nómina</t>
  </si>
  <si>
    <t>Solo las que se acuerde que se van a compensar económicamente.</t>
  </si>
  <si>
    <t>¿Donde aparecerá el importe de las pagas extraordinarias en la nómina de un trabajador que las cobra prorrateadas cada mes?</t>
  </si>
  <si>
    <t>En los devengos, dentro de las percepciones no salariales.</t>
  </si>
  <si>
    <t>En los devengos, dentro de las percepciones salariales.</t>
  </si>
  <si>
    <t>En las deducciones, dentro de los anticipos del salario.</t>
  </si>
  <si>
    <t>En los devengos, dentro del salario en especie.</t>
  </si>
  <si>
    <t>Las percepciones no salariales :</t>
  </si>
  <si>
    <t>No cotizan a la Seguridad Social.</t>
  </si>
  <si>
    <t>Algunas cotizan a la Seguridad Social si sobrepasan un límite.</t>
  </si>
  <si>
    <t>Ninguna tributa en el IRPF.</t>
  </si>
  <si>
    <t>Cuando la empresa abona al trabajador dinero para compensar los gastos de sus desplazamientos fuera del centro de trabajo, le está abonando:</t>
  </si>
  <si>
    <t>Dietas.</t>
  </si>
  <si>
    <t>Gastos de locomoción</t>
  </si>
  <si>
    <t>Plus de transporte.</t>
  </si>
  <si>
    <t>Plus por quebranto de moneda.</t>
  </si>
  <si>
    <t>Las bases de cotización a la Seguridad Social y al IRPF sirven para:</t>
  </si>
  <si>
    <t>Calcular las deducciones por estos conceptos.</t>
  </si>
  <si>
    <t>Calcular el importe del salario neto.</t>
  </si>
  <si>
    <t>Calcular las prestaciones del FOGASA.</t>
  </si>
  <si>
    <t>Solo la empresa, y no el trabajador, realiza aportaciones a favor de sus trabajadores:</t>
  </si>
  <si>
    <t>Por desempleo.</t>
  </si>
  <si>
    <t>Para el FOGASA,  por accidente de trabajo y enfermedad profesional.</t>
  </si>
  <si>
    <t>Por formación profesional.</t>
  </si>
  <si>
    <t>Por contingencias comunes.</t>
  </si>
  <si>
    <t>Si un trabajador solicita en su empresa un anticipo del salario  a cuenta del trabajo que ya ha realizado en ese mes. La cantidad que adelanta figurará:</t>
  </si>
  <si>
    <t>En las percepciones salariales del devengo.</t>
  </si>
  <si>
    <t>En las percepciones no salariales del devengo.</t>
  </si>
  <si>
    <t>En las deducciones.</t>
  </si>
  <si>
    <t>En el valor de los productos recibidos en especie de las deducciones.</t>
  </si>
  <si>
    <t>En el cálculo de la base de contingencias comunes no se incluyen:</t>
  </si>
  <si>
    <t>Las percepciones salariales.</t>
  </si>
  <si>
    <t>La prorrata de las pagas extraordinarias.</t>
  </si>
  <si>
    <t>Las horas extraordinarias.</t>
  </si>
  <si>
    <t>La base de contingencias profesionales:</t>
  </si>
  <si>
    <t>Es la misma que la de contingencias comunes.</t>
  </si>
  <si>
    <t>Es la de contingencias comunes mas las pagas extraordinarias.</t>
  </si>
  <si>
    <t>Es la de contingencias comunes mas las horas extraordinarias.</t>
  </si>
  <si>
    <t>Cuando la retribución es mensual, para el cálculo de las bases de cotización, las pagas extraordinarias:</t>
  </si>
  <si>
    <t>Se prorratean entre 12 meses.</t>
  </si>
  <si>
    <t>Se prorratean entre 365 días.</t>
  </si>
  <si>
    <t>Se prorratean entre el número de pagas.</t>
  </si>
  <si>
    <t>Se exceptúan de gravamen y, por tanto, no se les practica retención a cuenta del IRPF:</t>
  </si>
  <si>
    <t>El plus por quebranto de moneda.</t>
  </si>
  <si>
    <t>Los gastos de estancia justificados con factura.</t>
  </si>
  <si>
    <t>Para calcular la aportación del trabajador a la Seguridad Social por contingencias comunes, se aplica a la base de cotización:</t>
  </si>
  <si>
    <t>El 4,7%</t>
  </si>
  <si>
    <t>El 0,10%</t>
  </si>
  <si>
    <t>El 8%</t>
  </si>
  <si>
    <t>El 2%</t>
  </si>
  <si>
    <t>Para calcular la aportación del trabajador a Seguridad Social por desempleo con un  contrato indefinido, se aplica a la base de cotización:</t>
  </si>
  <si>
    <t>El 1,6%</t>
  </si>
  <si>
    <t>El 1,55%</t>
  </si>
  <si>
    <t>TEMA 5</t>
  </si>
  <si>
    <t>La movilidad funcional consiste en</t>
  </si>
  <si>
    <t>El cambio temporal o definitivo de centro de trabajo por parte del trabajador.</t>
  </si>
  <si>
    <t>La modificación de horario, turno, jornada etc.</t>
  </si>
  <si>
    <t>Un cambio de las funciones que desempeña el trabajador.</t>
  </si>
  <si>
    <t>Algunas de las condiciones en las que el empresario puede realizar una modificación sustancial de las condiciones de trabajo con los límites establecidos en el Estatuto de los Trabajadores serán:</t>
  </si>
  <si>
    <t>La ropa de trabajo.</t>
  </si>
  <si>
    <t>Un cambio del centro de trabajo.</t>
  </si>
  <si>
    <t>La jornada de trabajo, horario, turnos, etc.</t>
  </si>
  <si>
    <t>La movilidad geográfica implica el traslado del trabajador de forma:</t>
  </si>
  <si>
    <t>Definitiva.</t>
  </si>
  <si>
    <t>Temporal.</t>
  </si>
  <si>
    <t>Definitiva o temporal.</t>
  </si>
  <si>
    <t>El traslado definitivo de un trabajador debe ser notificado con una antelación de:</t>
  </si>
  <si>
    <t>30 días.</t>
  </si>
  <si>
    <t>15 días.</t>
  </si>
  <si>
    <t>10 días</t>
  </si>
  <si>
    <t>Las modificaciones sustanciales de las condiciones de trabajo deberán ser notificadas con un preaviso de:</t>
  </si>
  <si>
    <t>20 días.</t>
  </si>
  <si>
    <t>15 días</t>
  </si>
  <si>
    <t>El empresario puede asignar tareas a un trabajador de un grupo inferior:</t>
  </si>
  <si>
    <t>Cuando existan razones técnicas, organizativas o de producción.</t>
  </si>
  <si>
    <t>Siempre que le parezca conveniente.</t>
  </si>
  <si>
    <t>Con la rebaja correspondiente en el sueldo.</t>
  </si>
  <si>
    <t>Cuando le menoscaben su dignidad.</t>
  </si>
  <si>
    <t>¿Cuál de las siguientes situaciones no suspende el contrato de trabajo?</t>
  </si>
  <si>
    <t>La sanción disciplinaria de empleo y sueldo.</t>
  </si>
  <si>
    <t>La prisión definitiva del trabajador.</t>
  </si>
  <si>
    <t>La incapacidad temporal del trabajador.</t>
  </si>
  <si>
    <t>La huelga del trabajador.</t>
  </si>
  <si>
    <t>La duración máxima de una excedencia por cuidado de un hijo de 2 años es de:</t>
  </si>
  <si>
    <t>3 años.</t>
  </si>
  <si>
    <t>4 años.</t>
  </si>
  <si>
    <t>1 año.</t>
  </si>
  <si>
    <t>2 años.</t>
  </si>
  <si>
    <t>¿Qué extinción no da derecho a indemnización?</t>
  </si>
  <si>
    <t>Finalización de la duración de un contrato eventual.</t>
  </si>
  <si>
    <t>Jubilación del empresario.</t>
  </si>
  <si>
    <t>Fuerza mayor constatada por la autoridad laboral.</t>
  </si>
  <si>
    <t>Dimisión del trabajador.</t>
  </si>
  <si>
    <t>El trabajador no queda en situación legal de desempleo cuando:</t>
  </si>
  <si>
    <t>El empresario le despide por motivos disciplinarios.</t>
  </si>
  <si>
    <t>Presenta la dimisión en su empresa.</t>
  </si>
  <si>
    <t>Solicita al juez la extinción del contrato porque el empresario incumple sus obligaciones.</t>
  </si>
  <si>
    <t>El empresario le despide por causas objetivas.</t>
  </si>
  <si>
    <t>El plazo para reclamar judicialmente un despido es de:</t>
  </si>
  <si>
    <t>20 días hábiles.</t>
  </si>
  <si>
    <t>40 días laborales.</t>
  </si>
  <si>
    <t>2 meses laborales.</t>
  </si>
  <si>
    <t>El despido será procedente cuando:</t>
  </si>
  <si>
    <t>No se acredite la causa del despido.</t>
  </si>
  <si>
    <t>No se cumplan los requisitos formales para despedir.</t>
  </si>
  <si>
    <t>Se acredite la causa del despido y se cumplan los requisitos formales para despedir al trabajador.</t>
  </si>
  <si>
    <t>Se acredite que la causa del despido fue discriminatoria y se cumplan los requisitos formales para despedir al trabajador.</t>
  </si>
  <si>
    <t>No es motivo de despido disciplinario:</t>
  </si>
  <si>
    <t>Las faltas de asistencias al trabajo, intermitentes y justificadas.</t>
  </si>
  <si>
    <t>La indisciplina del trabajador.</t>
  </si>
  <si>
    <t>Las faltas de asistencias al trabajo, repetidas e injustificadas.</t>
  </si>
  <si>
    <t>La disminución continuada y voluntaria del rendimiento.</t>
  </si>
  <si>
    <t>Indica cuales de las siguientes situaciones son causa de despido disciplinario.</t>
  </si>
  <si>
    <t>Finalización del periodo contratado.</t>
  </si>
  <si>
    <t>Faltas de asistencia y retrasos continuados e injustificados.</t>
  </si>
  <si>
    <t>Disminución de pedidos en la empresa.</t>
  </si>
  <si>
    <t>Si un administrativo no es capaz de manejar un programa informático que la empresa ha implantado y el empresario extingue el contrato, ¿ante qué tipo de extinción nos encontramos?</t>
  </si>
  <si>
    <t>No se puede extinguir el contrato por esta causa.</t>
  </si>
  <si>
    <t>Por causas objetivas, por falta de adaptación del trabajador a las modificaciones técnicas.</t>
  </si>
  <si>
    <t>Despido disciplinario.</t>
  </si>
  <si>
    <t>Antes de presentar una demanda por despido ante el juzgado de lo Social:</t>
  </si>
  <si>
    <t>Se debe intentar la conciliación ante el servicio de Mediación, Arbitraje y Conciliación.</t>
  </si>
  <si>
    <t>No es necesario la conciliación.</t>
  </si>
  <si>
    <t>Se debe reclamar ante el empresario.</t>
  </si>
  <si>
    <t>Simular una enfermedad puede ser causa de:</t>
  </si>
  <si>
    <t>Despido disciplinario, al tratarse de un abuso de confianza.</t>
  </si>
  <si>
    <t>Despido por causas objetivas.</t>
  </si>
  <si>
    <t>No es causa de despido ni sanción.</t>
  </si>
  <si>
    <t>El despido de 15 trabajadores en una empresa de 150 trabajadores en plantilla, debido a la disminución persistente de ingresos, es:</t>
  </si>
  <si>
    <t>Disciplinario.</t>
  </si>
  <si>
    <t>Por causas objetivas.</t>
  </si>
  <si>
    <t>Colectivo.</t>
  </si>
  <si>
    <t>Improcedente.</t>
  </si>
  <si>
    <t>El despido será declarado improcedente cuando:</t>
  </si>
  <si>
    <t>La causa del despido haya sido discriminatoria.</t>
  </si>
  <si>
    <t>La causa del despido quede acreditada.</t>
  </si>
  <si>
    <t>La causa del despido no quede acreditada.</t>
  </si>
  <si>
    <t>Se hayan cumplido los requisitos formales del despido.</t>
  </si>
  <si>
    <t>En el finiquito, el importe de las vacaciones se restará cuando el trabajador:</t>
  </si>
  <si>
    <t>No haya tenido sus vacaciones.</t>
  </si>
  <si>
    <t>Haya usado más días de vacaciones que los que le correspondían.</t>
  </si>
  <si>
    <t>Haya cogido menos días de vacaciones que los que le correspondían.</t>
  </si>
  <si>
    <t>Haya gastado ya todos sus días de vacaciones.</t>
  </si>
  <si>
    <t>TEMA 6</t>
  </si>
  <si>
    <t>La libertad sindical es un derecho reconocido a.</t>
  </si>
  <si>
    <t>Los trabajadores.</t>
  </si>
  <si>
    <t>Los empresarios.</t>
  </si>
  <si>
    <t>Los representantes unitarios.</t>
  </si>
  <si>
    <t>Los representantes de los empresarios.</t>
  </si>
  <si>
    <t>La libertad sindical implica:</t>
  </si>
  <si>
    <t>Poder afiliarse a un sindicato.</t>
  </si>
  <si>
    <t>No estar obligado a afiliarse.</t>
  </si>
  <si>
    <t>Ambas son vertientes de la libertad sindical.</t>
  </si>
  <si>
    <t>Los sindicatos:</t>
  </si>
  <si>
    <t>Son asociaciones lucrativas, cuyos objetivos son la defensa de los trabajadores y la promoción de sus intereses personales.</t>
  </si>
  <si>
    <t>Se dividen en secciones sindicales, cuando la empresa tiene más de 50 trabajadores.</t>
  </si>
  <si>
    <t>Forman parte de la representación unitaria de los trabajadores en la empresa.</t>
  </si>
  <si>
    <t>Tienen derecho a sindicarse</t>
  </si>
  <si>
    <t>Los trabajadores por cuenta ajena.</t>
  </si>
  <si>
    <t>Los trabajadores desempleados y jubilados.</t>
  </si>
  <si>
    <t>¿Qué número máximo de trabajadores debe tener una empresa para que se elija delegado de personal?</t>
  </si>
  <si>
    <t>Si un sindicato obtuvo el 15% de representantes de los trabajadores en el ámbito estatal es:</t>
  </si>
  <si>
    <t>Más representativo a nivel autonómico.</t>
  </si>
  <si>
    <t>Más representativo a nivel estatal.</t>
  </si>
  <si>
    <t>Representativo a nivel provincial.</t>
  </si>
  <si>
    <t>Más representativo a nivel interprovincial.</t>
  </si>
  <si>
    <t>Señala cuantas personas forman parte del comité de una empresa que tiene 495 trabajadores.</t>
  </si>
  <si>
    <t>Los delegados de personal y los comités de empresa representan:</t>
  </si>
  <si>
    <t>Solamente a los afiliados.</t>
  </si>
  <si>
    <t>A todos los trabajadores de la empresa, con independencia de su afiliación a un sindicato.</t>
  </si>
  <si>
    <t>A los que llevan afiliados más de tres meses.</t>
  </si>
  <si>
    <t>El comité de empresa es el órgano de representación colegiado de los trabajadores en las empresas o centros de trabajo cuyo número de trabajadores sea igual o superior a:</t>
  </si>
  <si>
    <t>Es una garantía de los representantes de los trabajadores:</t>
  </si>
  <si>
    <t>Tener un tablón de anuncios.</t>
  </si>
  <si>
    <t>Contar con un delegado sindical.</t>
  </si>
  <si>
    <t>Poder utilizar un local donde reunirse.</t>
  </si>
  <si>
    <t>Disponer de un crédito horario retribuido</t>
  </si>
  <si>
    <t>No son garantías de los representantes de los trabajadores:</t>
  </si>
  <si>
    <t>La prioridad de permanencia en la empresa en caso de suspensión, extinción por causas económicas, técnicas y organizativas</t>
  </si>
  <si>
    <t>Tener una mayor retribución.</t>
  </si>
  <si>
    <t>Disponer de un determinado número de horas mensuales para el ejercicio de sus funciones.</t>
  </si>
  <si>
    <t>Para que una empresa tenga delegados sindicales:</t>
  </si>
  <si>
    <t>Los trabajadores de la empresa deben votarlos en las elecciones.</t>
  </si>
  <si>
    <t>La empresa debe tener al menos 250 trabajadores.</t>
  </si>
  <si>
    <t>Su sindicato debe tener al menos dos representantes en el comité de empresa.</t>
  </si>
  <si>
    <t>Cuando se dice que un convenio colectivo se aplica a todos los trabajadores de una actividad económica , se está haciendo referencia a su ámbito:</t>
  </si>
  <si>
    <t>Geográfico</t>
  </si>
  <si>
    <t>Funcional.</t>
  </si>
  <si>
    <t>Territorial.</t>
  </si>
  <si>
    <t>La huelga es:</t>
  </si>
  <si>
    <t>Un derecho de todo ciudadano.</t>
  </si>
  <si>
    <t>Un derecho individual de ejercicio colectivo</t>
  </si>
  <si>
    <t>Un derecho colectivo.</t>
  </si>
  <si>
    <t>Un derecho colectivo de ejercicio individual.</t>
  </si>
  <si>
    <t>Durante el periodo de huelga, el empresario:</t>
  </si>
  <si>
    <t>No puede contratar a nuevo personal para sustituir a los trabajadores en huelga.</t>
  </si>
  <si>
    <t>Puede sustituir a los trabajadores huelguistas por otros contratados para el periodo de huelga.</t>
  </si>
  <si>
    <t>Puede contratar nuevo personal con un contrato de interinidad para sustituir a los trabajadores en huelga.</t>
  </si>
  <si>
    <t>Durante el periodo de huelga los trabajadores perciben:</t>
  </si>
  <si>
    <t>El salario mínimo interprofesional.</t>
  </si>
  <si>
    <t>Ninguna retribución.</t>
  </si>
  <si>
    <t>El salario base.</t>
  </si>
  <si>
    <t>Durante la huelga legal, el trabajador se encuentra en una situación de alta especial en la Seguridad Social y:</t>
  </si>
  <si>
    <t>No cotiza, no tiene derecho a la prestación de IT ni al desempleo.</t>
  </si>
  <si>
    <t>Mantiene el derecho a la asistencia sanitaria.</t>
  </si>
  <si>
    <t>La huelga debe comunicarse al empresario con un plazo de:</t>
  </si>
  <si>
    <t>Cinco días.</t>
  </si>
  <si>
    <t>Siete días.</t>
  </si>
  <si>
    <t>Nueve días.</t>
  </si>
  <si>
    <t>El cierre patronal en España está permitido en para que el empresario pueda:</t>
  </si>
  <si>
    <t>Negociar para abrir un nuevo centro de trabajo.</t>
  </si>
  <si>
    <t>Defenderse de una huelga que causa graves daños a las personas o cosas.</t>
  </si>
  <si>
    <t>Conseguir unos mejores acuerdos para la empresa en la negociación de un convenio colectivo.</t>
  </si>
  <si>
    <t>Cuando un tercero interviene en un conflicto proponiendo a las partes posibles soluciones, pero estas son libres de aceptarlas o no, nos encontramos ante:</t>
  </si>
  <si>
    <t>Una mediación.</t>
  </si>
  <si>
    <t>Una conciliación.</t>
  </si>
  <si>
    <t>Un arbitraje.</t>
  </si>
  <si>
    <t>Una negociación.</t>
  </si>
  <si>
    <t>La seguridad social:</t>
  </si>
  <si>
    <t>Garantiza el mismo nivel de protección para todos los ciudadanos.</t>
  </si>
  <si>
    <t>Es un sistema financiado únicamente con presupuestos públicos.</t>
  </si>
  <si>
    <t>Comprende tres niveles de protección, y el nivel profesional profesional se organiza en varios regímenes.</t>
  </si>
  <si>
    <t>Proporciona en su nivel de protección profesional prestaciones no contributivas.</t>
  </si>
  <si>
    <t>¿Quién debe comunicar el alta de un trabajador en la Tesorería de la Seguridad Social?</t>
  </si>
  <si>
    <t>La misma Tesorería.</t>
  </si>
  <si>
    <t>El empresario.</t>
  </si>
  <si>
    <t>El mismo trabajador.</t>
  </si>
  <si>
    <t>Indica que organismo es el encargado de la gestión y administración de las prestaciones económicas de la Seguridad Social (incapacidad, viudedad, orfandad, jubilación, etc.):</t>
  </si>
  <si>
    <t>EL Instituto Nacional de la Seguridad Social (INSS)</t>
  </si>
  <si>
    <t>La Tesorería General de la Seguridad Social.</t>
  </si>
  <si>
    <t>El Nacional de Gestión Sanitaria.</t>
  </si>
  <si>
    <t>Las modalidades de las prestaciones de la Seguridad Social se pueden clasificar en:</t>
  </si>
  <si>
    <t>Económicas y no económicas.</t>
  </si>
  <si>
    <t>Contributivas y no contributivas.</t>
  </si>
  <si>
    <t>Familiares y no familiares.</t>
  </si>
  <si>
    <t>Sanitarias y no sanitarias.</t>
  </si>
  <si>
    <t>La prestación por desempleo se solicitará:</t>
  </si>
  <si>
    <t>En el INSS</t>
  </si>
  <si>
    <t>En el IMSERSO</t>
  </si>
  <si>
    <t>En la TGSS</t>
  </si>
  <si>
    <t>En el SEPE</t>
  </si>
  <si>
    <t xml:space="preserve">La base reguladora de una prestación es: </t>
  </si>
  <si>
    <t>La base de cotización del mes anterior.</t>
  </si>
  <si>
    <t>La base sobre la que se aplican los porcentajes para calcular la cuantía de la prestación.</t>
  </si>
  <si>
    <t xml:space="preserve">Los salarios bases de los meses anteriores. </t>
  </si>
  <si>
    <t>La contingencia que da lugar a la situación.</t>
  </si>
  <si>
    <t>La prestación de incapacidad temporal derivada de contingencias comunes:</t>
  </si>
  <si>
    <t>No exige periodo de carencia.</t>
  </si>
  <si>
    <t>Exige un periodo de carencia de 180 días, dentro de los 5 años anteriores a la baja.</t>
  </si>
  <si>
    <t>Se cobra desde el día siguiente a la baja.</t>
  </si>
  <si>
    <t>Tiene una cuantía del 75% de la base reguladora.</t>
  </si>
  <si>
    <t>El periodo previo de cotización exigido para cobrar la prestación por paternidad es:</t>
  </si>
  <si>
    <t>El mismo que para los mayores de 26 años, exigido en la prestación de maternidad.</t>
  </si>
  <si>
    <t>El mismo que para los trabajadores de 21 a 26 años, exigidos en la prestación por maternidad.</t>
  </si>
  <si>
    <t>No se exige periodo de cotización previo.</t>
  </si>
  <si>
    <t>De 90 días en los últimos 7 años.</t>
  </si>
  <si>
    <t>Señala la prestación que podrá solicitar Luis, de 27 años, que tras ser despedido y haber fallecido su madre, carece de rentas superiores al 75% del SMI. Tiene 360 días cotizados y lleva inscrito un mes y medio como demandante de empleo.</t>
  </si>
  <si>
    <t>Prestación por desempleo y pensión de orfandad.</t>
  </si>
  <si>
    <t>Subsidio por desempleo y pensión de orfandad.</t>
  </si>
  <si>
    <t>Prestación por desempleo.</t>
  </si>
  <si>
    <t>Subsidio por desempleo.</t>
  </si>
  <si>
    <t>La cuantía de la prestación por desempleo es:</t>
  </si>
  <si>
    <t>El 80% del IPREM</t>
  </si>
  <si>
    <t>El 70% de la BR en los primeros 180 días y el 50% de la BR a partir del día 181.</t>
  </si>
  <si>
    <t>El 60% de la BR del 4º al 20º día, y del 75% a partir del 21 día.</t>
  </si>
  <si>
    <t>El 60% de la BR  en los 180 primeros días y del 70% de la BR a partir del día 181.</t>
  </si>
  <si>
    <t>Si has cotizado de 360 a 539 días, la prestación por desempleo tendrá una duración máxima de:</t>
  </si>
  <si>
    <t>120 días.</t>
  </si>
  <si>
    <t>100 días.</t>
  </si>
  <si>
    <t>180 días.</t>
  </si>
  <si>
    <t>6 meses.</t>
  </si>
  <si>
    <t>La duración de la suspensión del contrato de trabajo por parto es de:</t>
  </si>
  <si>
    <t>16 semanas en todo caso.</t>
  </si>
  <si>
    <t>20 semanas.</t>
  </si>
  <si>
    <t>16 semanas, y dos semanas más por cada hijo en caso de parto múltiple.</t>
  </si>
  <si>
    <t>Para tener derecho al subsidio, en caso de enfermedad común, es necesario haber cotizado en los cinco años anteriores a la baja médica:</t>
  </si>
  <si>
    <t>180 días</t>
  </si>
  <si>
    <t xml:space="preserve">No se requiere periodo alguno </t>
  </si>
  <si>
    <t>360 días</t>
  </si>
  <si>
    <t>A un trabajador accidentado que precisa ayuda para las funciones esenciales de la vida se le reconocerá:</t>
  </si>
  <si>
    <t>La incapacidad temporal</t>
  </si>
  <si>
    <t>La incapacidad permanente parcial</t>
  </si>
  <si>
    <t>La gran invalidez</t>
  </si>
  <si>
    <t>La incapacidad temporal es:</t>
  </si>
  <si>
    <t>La situación en la que se encuentra un trabajador que sufre una disminución o anulación de su capacidad para el trabajo de manera permanente.</t>
  </si>
  <si>
    <t>La situación en la que se encuentra una trabajadora después del parto.</t>
  </si>
  <si>
    <t>La situación en la que se encuentra un trabajador que está imposibilitado temporalmente y que requiere asistencia sanitaria.</t>
  </si>
  <si>
    <t xml:space="preserve"> La cuantía del subsidio por incapacidad temporal derivada de accidente común, durante los tres primeros días de la baja, es de:</t>
  </si>
  <si>
    <t>No se percibe subsidio</t>
  </si>
  <si>
    <t>60% de la base reguladora</t>
  </si>
  <si>
    <t>70% de la base reguladora</t>
  </si>
  <si>
    <t>La cuantía del subsidio por incapacidad temporal derivada de accidente de trabajo asciende al :</t>
  </si>
  <si>
    <t>75% de la base reguladora, a partir del cuarto día</t>
  </si>
  <si>
    <t>75% de la base reguladora desde el día siguiente de la baja</t>
  </si>
  <si>
    <t>¿Qué periodo mínimo de cotización se exige para tener derecho a la prestación por desempleo de nivel contributivo?</t>
  </si>
  <si>
    <t>Seis meses</t>
  </si>
  <si>
    <t>18 meses</t>
  </si>
  <si>
    <t>La cuantía de la prestación por desempleo asciende al:</t>
  </si>
  <si>
    <t>75% de la base reguladora durante los 180 primeros días</t>
  </si>
  <si>
    <t>70% de la base reguladora durante los 180 primeros días</t>
  </si>
  <si>
    <t>60% de la base reguladora a partir de los 181 primeros días.</t>
  </si>
  <si>
    <t>A partir del 181 día, la cuantía de la prestación por desempleo asciende a:</t>
  </si>
  <si>
    <t>50% de la base reguladora</t>
  </si>
  <si>
    <t>120% de la base reguladora</t>
  </si>
  <si>
    <t>Todas las anteriores son ciertas.</t>
  </si>
  <si>
    <t>TEMA  7</t>
  </si>
  <si>
    <t>PEC-1 FORMACION Y ORIENTACIÓN LABORAL</t>
  </si>
  <si>
    <t>1 .-La ley ordinaria:</t>
  </si>
  <si>
    <t>Necesita mayoría absoluta para ser aprobada.​</t>
  </si>
  <si>
    <t>Regula cualquier materia.</t>
  </si>
  <si>
    <t>Tiene un rango superior a los reglamentos.</t>
  </si>
  <si>
    <t>Ninguna de las anteriores es correcta.</t>
  </si>
  <si>
    <t>2 .-Según el principio de irrenunciabilidad:</t>
  </si>
  <si>
    <t>Un trabajador puede renunciar a sus vacaciones</t>
  </si>
  <si>
    <t>Un trabajador no puede renunciar a sus vacaciones</t>
  </si>
  <si>
    <t>Un trabajador es libre, y puede renunciar a su vida social</t>
  </si>
  <si>
    <t>Todas las anteriores son ciertas</t>
  </si>
  <si>
    <t>3 .-Manolo Beltrán es un deportista profesional, federado a la Asociación Nacional de Ciclismo, y tiene firmado un contrato con una importante compañía:</t>
  </si>
  <si>
    <t>Es una relación laboral.</t>
  </si>
  <si>
    <t>Es una relación laboral excluida, es decir, no es relación laboral.</t>
  </si>
  <si>
    <t>Es una relación laboral especial.</t>
  </si>
  <si>
    <t>Ninguna de las anteriores es cierta.</t>
  </si>
  <si>
    <t>4 .-Cuando un empresario sanciona a un trabajador:</t>
  </si>
  <si>
    <t>Debe comunicarle por escrito los hechos que motivan la sanción</t>
  </si>
  <si>
    <t>Debe ajustar la sanción a las previstas para tales hechos</t>
  </si>
  <si>
    <t>Debe respetar los derechos a sueldo y descanso del trabajador</t>
  </si>
  <si>
    <t>Todas las anteriores son correctas</t>
  </si>
  <si>
    <t>5 .-Entre los derechos de los trabajadores derivados de la Constitución y el ET se encuentran:</t>
  </si>
  <si>
    <t>La ocupación efectiva.</t>
  </si>
  <si>
    <t>Reunión.</t>
  </si>
  <si>
    <t>6 .-El período de prueba de seis meses para técnicos titulados es:</t>
  </si>
  <si>
    <t>El periodo máximo de prueba</t>
  </si>
  <si>
    <t>El período mínimo de prueba.</t>
  </si>
  <si>
    <t>Un periodo de prueba corto para una persona titulada</t>
  </si>
  <si>
    <t>7 .-Para poder contratar:</t>
  </si>
  <si>
    <t>Es necesario ser mayor de edad y no estar inhabilitado.</t>
  </si>
  <si>
    <t>Todas las personas al nacer tienen capacidad jurídica plena.</t>
  </si>
  <si>
    <t>Todos estamos capacitados para contratar, aunque no tengamos capacidad jurídica por no saber de leyes.</t>
  </si>
  <si>
    <t>Es necesario ser mayor de edad y estar en plena posesión de capacidad jurídica, y en caso contrario es necesaria la firma del tutor o representante legal.</t>
  </si>
  <si>
    <t>8 .-El pacto de permanencia suscrito entre un trabajador y su empleador:</t>
  </si>
  <si>
    <t>Debe celebrarse por escrito y su duración máxima es de dos años, ampliables a tres por Convenio colectivo.</t>
  </si>
  <si>
    <t>Genera a favor del empresario el derecho a una indemnización en caso de rescisión anticipada del contrato por parte del trabajador.</t>
  </si>
  <si>
    <t>Se suscribirá siempre que el trabajador reciba un curso de formación por parte de la empresa.</t>
  </si>
  <si>
    <t>Todas las anteriores son correctas.</t>
  </si>
  <si>
    <t>9 .-En la relación laboral por medio de ETT:</t>
  </si>
  <si>
    <t>El trabajador depende disciplinariamente de la empresa usuaria.</t>
  </si>
  <si>
    <t>La ETT, no la empresa en la que efectivamente trabaja, es la que abona el salario al trabajador.</t>
  </si>
  <si>
    <t>La ETT despliega su poder de organización y dirección respecto al trabajador cedido a la usuaria.</t>
  </si>
  <si>
    <t>Todas las anteriores respuestas son ciertas.</t>
  </si>
  <si>
    <t>10 .-Entre los elementos esenciales de la relación laboral sobre los que deberá ser informado el trabajador, se encuentran:</t>
  </si>
  <si>
    <t>La categoría o grupo profesional asociado al puesto que va a desempeñar el trabajador.</t>
  </si>
  <si>
    <t>La duración, atribución y distribución de las vacaciones entre los trabajadores.</t>
  </si>
  <si>
    <t>Los plazos de preaviso a los que tanto trabajador como empresario están sujetos para disolver la relación laboral.</t>
  </si>
  <si>
    <t>11 .-En relación con la jornada de trabajo:</t>
  </si>
  <si>
    <t>Es el número de horas en que diaria, semanal o anualmente el trabajador presta los servicios para los que ha sido contratado.</t>
  </si>
  <si>
    <t>Si existen interrupciones, la jornada se denomina partida; en caso contrario, se conoce como jornada continuada.</t>
  </si>
  <si>
    <t>El horario es la distribución del tiempo de trabajo y descanso durante la jornadadiaria, indicando las horas de principio y fin de uno y otro.</t>
  </si>
  <si>
    <t>12 .-Las vacaciones, según el ET</t>
  </si>
  <si>
    <t>Serán de al menos 30 días laborables al año.</t>
  </si>
  <si>
    <t>Serán de al menos 30 días naturales al año</t>
  </si>
  <si>
    <t>13 .-Los menores de 18 años han de disfrutar:</t>
  </si>
  <si>
    <t>Como mínimo, de dos días de descanso ininterrumpido, que siempre serán acumulables.</t>
  </si>
  <si>
    <t>Como mínimo, de dos días de descanso ininterrumpido, que en principio no serán acumulables.</t>
  </si>
  <si>
    <t>Un día y medio ininterrumpido como mínimo.</t>
  </si>
  <si>
    <t>Un día y medio como mínimo, que, como regla general, comprenderá la tarde del sábado o, en su caso, la mañana del lunes y el día completo del domingo.</t>
  </si>
  <si>
    <t>14 .-Son causas de suspensión del contrato de trabajo:</t>
  </si>
  <si>
    <t>Maternidad; permiso por paternidad; lactancia natural de un menor de nueve meses.</t>
  </si>
  <si>
    <t>Maternidad; nacimiento de hijo prematuro; cumplimiento de un deber inexcusable.</t>
  </si>
  <si>
    <t>Maternidad; riesgo durante el embarazo; decisión de la trabajadora que se vea obligada a abandonar su puesto de trabajo por ser víctima de violencia de género</t>
  </si>
  <si>
    <t>Orfandad; maternidad; permiso por paternidad.</t>
  </si>
  <si>
    <t>15 .- La realización de horas extraordinarias está prohibida para:</t>
  </si>
  <si>
    <t>Los trabajadores en el turno de trabajo de noche.</t>
  </si>
  <si>
    <t>Los trabajadores con reducción de jornada laboral.</t>
  </si>
  <si>
    <t>Los trabajadores con jornada laboral continuada.</t>
  </si>
  <si>
    <t>Los trabajadores con jornada laboral partida.</t>
  </si>
  <si>
    <t>16 .-De la siguiente relación indica cuál no es una percepción no salarial:</t>
  </si>
  <si>
    <t>Dietas de viaje.</t>
  </si>
  <si>
    <t>Plus de toxicidad</t>
  </si>
  <si>
    <t>Quebranto de moneda.</t>
  </si>
  <si>
    <t>Complemento por las condiciones personales del trabajador.</t>
  </si>
  <si>
    <t>Complemento del puesto de trabajo.</t>
  </si>
  <si>
    <t>Complemento por los resultados de la empresa.</t>
  </si>
  <si>
    <t>18 .-Son complementos salariales Personales:</t>
  </si>
  <si>
    <t>Asistencia y puntualidad, y Comisiones.</t>
  </si>
  <si>
    <t>Antigüedad e Incentivos.</t>
  </si>
  <si>
    <t>Títulos y Antigüedad.</t>
  </si>
  <si>
    <t>20 .-Son horas extraordinarias:</t>
  </si>
  <si>
    <t>Aquellas que el trabajador realiza superando la duración máxima de la jornada ordinaria de trabajo fijada de acuerdo con el art. 35 del ET.</t>
  </si>
  <si>
    <t>No Estructurales, las pactadas en Convenio, y Estructuraleslas realizadas voluntariamente por el trabajador.</t>
  </si>
  <si>
    <t>De fuerza mayor, las de realización voluntaria a consecuencia de un suceso extraordinario.</t>
  </si>
  <si>
    <t>21 .-Son complementos salariales del puesto de trabajo:</t>
  </si>
  <si>
    <t>Nocturnidad y Alevosía.</t>
  </si>
  <si>
    <t>Taciturnidad y Responsabilidad y dedicación.</t>
  </si>
  <si>
    <t>Nocturnidad y Peligrosidad.</t>
  </si>
  <si>
    <t>22 .-Las percepciones en especie (vivienda, recibos de luz, etc.) no podrán ser superiores al:</t>
  </si>
  <si>
    <t>15% del total de las percepciones salariales del trabajador.</t>
  </si>
  <si>
    <t>30% del total de las percepciones salariales del trabajador.</t>
  </si>
  <si>
    <t>33% del total de las percepciones salariales del trabajador.</t>
  </si>
  <si>
    <t>20% del total de las percepciones salariales del trabajador.</t>
  </si>
  <si>
    <t>23 .-En relación con las horas extraordinarias</t>
  </si>
  <si>
    <t>Las No Estructurales, pactadas en Convenio, cotizan al 4,70%.</t>
  </si>
  <si>
    <t>Las Estructurales, realizadas voluntariamente por el trabajador, también cotizan al 4,70%.</t>
  </si>
  <si>
    <t>Las De fuerza mayor, de realización voluntaria a consecuencia de un suceso extraordinario, cotizan al 2%.</t>
  </si>
  <si>
    <t>24 .-Se hace referencia a la movilidad funcional, cuando:</t>
  </si>
  <si>
    <t>El trabajador debe prestar sus servicios en un centro distinto del que figura en su contrato de trabajo.</t>
  </si>
  <si>
    <t>El empresario ordena al trabajador realizar actividades diferentes a las que viene realizando habitualmente y para las que ha sido contratado.</t>
  </si>
  <si>
    <t>Cuando el empresario realiza cambios sustanciales en el contrato de trabajo, sobre la movilidad de los turnos.</t>
  </si>
  <si>
    <t>El empresario propone cambios en la cuantía que se les va a retribuir a los trabajadores en concepto de movilidad, dietas y desplazamientos.</t>
  </si>
  <si>
    <t>25 .-Se llama finiquito:</t>
  </si>
  <si>
    <t>La liquidación de haberes al finalizar un contrato.</t>
  </si>
  <si>
    <t>La indemnización que debe recibir el trabajador por despido improcedente.</t>
  </si>
  <si>
    <t>El fin del contrato de trabajo.</t>
  </si>
  <si>
    <t>El despido por causas objetivas.</t>
  </si>
  <si>
    <t>26 .-El despido por causas objetivas supone:</t>
  </si>
  <si>
    <t>Ineptitud del trabajador, sobrevenida o posterior a su colocación efectiva en la empresa.</t>
  </si>
  <si>
    <t>Inadaptación a las modificaciones técnicas de su puesto.</t>
  </si>
  <si>
    <t>Necesidad objetivamente acreditada de amortizar puestos de trabajo por causas económicas, técnicas, organizativas o de producción.</t>
  </si>
  <si>
    <t>Diez días.</t>
  </si>
  <si>
    <t>Veinte días.</t>
  </si>
  <si>
    <t>Treinta días.</t>
  </si>
  <si>
    <t>28 .-¿Puede el empresario encomendar a los trabajadores la realización de funciones inferiores o superiores a las que por contrato le corresponden?</t>
  </si>
  <si>
    <t>Si, siempre que lo estime conveniente.</t>
  </si>
  <si>
    <t>Si, cuando existan razones técnicas y organizativas que lo justifiquen y por tiempo imprescindible.</t>
  </si>
  <si>
    <t>Si, cuando existan razones técnicas y organizativas que lo justifiquen y por tiempo indefinido.</t>
  </si>
  <si>
    <t>No, ya que está prohibido por el Estatuto de los Trabajadores.</t>
  </si>
  <si>
    <t>29 .-Un despido colectivo por causas económicas, técnicas, organizativas o de producción:</t>
  </si>
  <si>
    <t>Supone que se ha de despedir a un número determinado de trabajadores, según el total de la plantilla.</t>
  </si>
  <si>
    <t>Supone la existencia de una crisis económica, la introducción de nuevas tecnologías, la necesidad de reorganizar los recursos productivos o de reorganizar al personal ante una disminución de la producción.</t>
  </si>
  <si>
    <t>Está justificado, si se despide al 10% de los trabajadores, en empresas que tienen, entre 100 y 299 trabajadores.</t>
  </si>
  <si>
    <t>Todas las anteriores son verdaderas.</t>
  </si>
  <si>
    <t>30 .-Señala la respuesta correcta:</t>
  </si>
  <si>
    <t>El convenio colectivo puede negociarse con los sindicatos y asociaciones empresariales que cuenten con un mínimo del 10% de los representantes, en el ámbito geográfico y funcional al que se refiera el convenio.</t>
  </si>
  <si>
    <t>Una vez firmado el convenio debe registrarse en el plazo de 15 días desde la firma.</t>
  </si>
  <si>
    <t>Un juez no puede afiliarse a un sindicato.</t>
  </si>
  <si>
    <t>31 .-Se puede decir sobre el convenio colectivo:</t>
  </si>
  <si>
    <t>La capacidad de los negociar y firmar Convenios Colectivos es la máxima expresión de la participación de los trabajadores en el ámbito laboral.</t>
  </si>
  <si>
    <t>Los convenios colectivos se negocian a través de representantes legitimados para tal función.</t>
  </si>
  <si>
    <t>Es una fuente de derecho con eficacia erga omnes, que obliga a todos los trabajadores incluidos en su ámbito de aplicación.</t>
  </si>
  <si>
    <t>Todas las respuestas son correctas.</t>
  </si>
  <si>
    <t>32 .-El derecho de participación de los trabajadores en la empresa.</t>
  </si>
  <si>
    <t>Se reconoce en los artículos 4.1.g) de la Constitución y 129.2 del Estatuto de los Trabajadores.</t>
  </si>
  <si>
    <t>Los trabajadores tienen derecho a informar, ser informados, colaborar en la gestión de la empresa y otorgar al empresario el consentimiento para que use el lus variandi, en determinados casos.</t>
  </si>
  <si>
    <t>Para poder ejercer su derecho de participación, los trabajadores de una misma empresa o centro de trabajo tienen derecho a reunirse en asamblea, en el centro de trabajo, si las condiciones de este lo permiten y durante de las horas de trabajo (art. 21 CE y arts. 4.1 f) y 77 a 81 del ET).</t>
  </si>
  <si>
    <t>33 .-El ejercicio de la huelga representa:</t>
  </si>
  <si>
    <t>La suspensión del contrato de trabajo.</t>
  </si>
  <si>
    <t>La extinción del contrato de trabajo por despido.</t>
  </si>
  <si>
    <t>La extinción del contrato por abandono del puesto de trabajo.</t>
  </si>
  <si>
    <t>La interrupción del contrato de trabajo.</t>
  </si>
  <si>
    <t>34 .-En una empresa o centro de trabajo, los trabajadores tienen derecho a reunirse en asamblea, como regla general:</t>
  </si>
  <si>
    <t>En el centro de trabajo y dentro de las horas de trabajo.</t>
  </si>
  <si>
    <t>En el centro de trabajo y fuera de las horas de trabajo.</t>
  </si>
  <si>
    <t>Fuera del centro de trabajo y fuera de las horas de trabajo.</t>
  </si>
  <si>
    <t>Fuera del centro de trabajo y dentro de las horas de trabajo.</t>
  </si>
  <si>
    <t>35 .-Entre las Garantías de los representantes de los trabajadores en la empresa se encuentran:</t>
  </si>
  <si>
    <t>Libertad de expresión en las materias concernientes a su representación, pudiendo publicar y distribuir materiales de interés laboral o social, sin perturbar el normal desarrollo del trabajo.</t>
  </si>
  <si>
    <t>Si son sancionados por faltas graves o muy graves, deberá abrirse un expediente contradictorio; esto significa que serán oídos, el interesado y sus representantes legales.</t>
  </si>
  <si>
    <t>No ser despedido ni sancionado durante su mandato, ni en el año posterior a la finalización de este, siempre que el motivo del despido o sanción se base en una acción realizada fuera del horario de trabajo.</t>
  </si>
  <si>
    <t>36 .-Cuando la plantilla de una empresa está constituida por 35 trabajadores, deberán estar representados por:</t>
  </si>
  <si>
    <t>El Comité de Empresa.</t>
  </si>
  <si>
    <t>El Comité de Empresa conjunto.</t>
  </si>
  <si>
    <t>Un delegado de personal.</t>
  </si>
  <si>
    <t>Tres delegados de personal.</t>
  </si>
  <si>
    <t>37 .-Son tipos de prestaciones:</t>
  </si>
  <si>
    <t>Riesgo durante el embarazo o la lactancia natural, maternidad y paternidad.</t>
  </si>
  <si>
    <t>Lesiones permanentes no invalidantes.</t>
  </si>
  <si>
    <t>Asistencia sanitaria</t>
  </si>
  <si>
    <t>Todas las respuestas anteriores son correctas.0</t>
  </si>
  <si>
    <t>38 .-Existen dos modalidades de prestación de la SS:</t>
  </si>
  <si>
    <t>Contributiva y retributiva.</t>
  </si>
  <si>
    <t>Retributiva y no retributiva.</t>
  </si>
  <si>
    <t>Contributiva y no contributiva.</t>
  </si>
  <si>
    <t>39 .-El empresario debe:</t>
  </si>
  <si>
    <t>Cotizar mensualmente a la S.S. exclusivamente por las mismas contingencias que el trabajador.</t>
  </si>
  <si>
    <t>Cotizar anualmente a la S.S. exclusivamente por las mismas contingencias que el trabajador.</t>
  </si>
  <si>
    <t>Cotizar mensualmente a la S.S. por más contingencias que por las que cotiza el trabajador.</t>
  </si>
  <si>
    <t>Cotizar mensualmente a la S.S. por menos contingencias que por las que cotiza el trabajador.</t>
  </si>
  <si>
    <t>40 .- Son tipos de contingencias, que cubre la Seguridad Social a través de su Acción Preventiva:</t>
  </si>
  <si>
    <t>Comunes: enfermedad común (EC) y accidente no laboral (ANL).</t>
  </si>
  <si>
    <t>Profesionales: accidente de trabajo (AT) y enfermedad profesional (EP).</t>
  </si>
  <si>
    <t>Contingencias de maternidad o paternidad.</t>
  </si>
  <si>
    <t>Todas las respuestas anteriores son correctas</t>
  </si>
  <si>
    <t>19.En concepto de Desempleo, un trabajador contratado por duración determinada y a tiempo parcial cotiza, sobre la Base de Cotización correspondiente, un:</t>
  </si>
  <si>
    <t>17.El complemento salarial que recibe el trabajador porque para su desempeño profesional precisa poseer conocimiento de idiomas, debe ser calificado como:</t>
  </si>
  <si>
    <t>27.La decisión del empresario de efectuar un traslado deberá ser notificada al trabajador, así como a sus representantes legales, con una antelación mínima de:</t>
  </si>
  <si>
    <t>TEMA 8</t>
  </si>
  <si>
    <t>1 .- Según la Organización Mundial de la Salud, la salud es:</t>
  </si>
  <si>
    <t>La ausencia de afecciones o enfermedades.</t>
  </si>
  <si>
    <t>El estado de bienestar físico, psíquico y social.</t>
  </si>
  <si>
    <t>La ausencia de enfermedades o incapacidades.</t>
  </si>
  <si>
    <t>No tener problemas sociales.</t>
  </si>
  <si>
    <t>2 .- Se considera condición de trabajo:</t>
  </si>
  <si>
    <t>Cualquier característica de trabajo que pueda tener influencia significativa en la generación de riesgos para la seguridad y salud de trabajador.</t>
  </si>
  <si>
    <t>La posibilidad de que un trabajador sufra un determinado daño derivado del trabajo.</t>
  </si>
  <si>
    <t>El conjunto de actividades o medidas adoptadas o previstas en todas las fases de la actividad de la empresa con el fin de evitar o disminuir los riesgos derivados del trabajo.</t>
  </si>
  <si>
    <t>3 .-El riesgo laboral se puede definir como:</t>
  </si>
  <si>
    <t>El conjunto de enfermedades, patologías o lesiones sufridas en el trabajo.</t>
  </si>
  <si>
    <t>La posibilidad de sufrir un daño derivado del trabajo.</t>
  </si>
  <si>
    <t>Las medidas preventivas para evitar los daños a la salud.</t>
  </si>
  <si>
    <t>Las características de los puestos de trabajo.</t>
  </si>
  <si>
    <t>4 .- Son daños derivados del trabajo.</t>
  </si>
  <si>
    <t>Sólo los accidentes de trabajo y las enfermedades profesionales.</t>
  </si>
  <si>
    <t>Las enfermedades comunes.</t>
  </si>
  <si>
    <t>Los accidentes de trabajo, las enfermedades profesionales, el estrés, la fatiga, la insatisfacción y el envejecimiento prematuro.</t>
  </si>
  <si>
    <t>Sólo los accidentes in itínere.</t>
  </si>
  <si>
    <t>5 .- Señala cuales son los requisitos necesarios para poder hablar de accidente de trabajo desde el punto de vista legal.</t>
  </si>
  <si>
    <t>Que esté incluido en el Real Decreto que establece el cuadro de enfermedades profesionales.</t>
  </si>
  <si>
    <t>Que sea en el trabajo por cuenta propia, que haya lesión corporal y que no exista relación causa-efecto entre accidente de trabajo.</t>
  </si>
  <si>
    <t>Que sea trabajo por cuenta ajena o por cuenta propia, que haya lesión corporal y que exista relación causa-efecto entre trabajo y lesión.</t>
  </si>
  <si>
    <t>Que se produzca en el centro de trabajo.</t>
  </si>
  <si>
    <t>6 .- ¿Cuál de los siguientes requisitos es necesario para que exista enfermedad profesional desde el punto de vista legal?</t>
  </si>
  <si>
    <t>Debe venir incluida en el cuadro del Real Decreto 1299/2006.</t>
  </si>
  <si>
    <t>Debe producirse en el lugar de trabajo.</t>
  </si>
  <si>
    <t>Debe producirse como consecuencia del trabajo aunque no esté incluida en el cuadro de enfermedades profesionales.</t>
  </si>
  <si>
    <t>7 .- La enfermedad que se sufre con motivo del trabajo cuando se prueba que es por causa de la ejecución del mismo,  pero que no se encuentra en la lista del RD 1299/2006 enfermedades profesionales es considerada:</t>
  </si>
  <si>
    <t>Un daño derivado del trabajo.</t>
  </si>
  <si>
    <t>Un accidente de trabajo.</t>
  </si>
  <si>
    <t>Una enfermedad común</t>
  </si>
  <si>
    <t>Una enfermedad profesional.</t>
  </si>
  <si>
    <t>8 .-La leismaniosis contagiada a un veterinario se considera una enfermedad profesional:</t>
  </si>
  <si>
    <t>Del grupo 1.</t>
  </si>
  <si>
    <t>Del grupo 2.</t>
  </si>
  <si>
    <t>Del grupo 3.</t>
  </si>
  <si>
    <t>Del grupo 4.</t>
  </si>
  <si>
    <t>9 .- El mobbing:</t>
  </si>
  <si>
    <t>Es una patología que sufren los trabajadores que atienden directamente al público.</t>
  </si>
  <si>
    <t>Es una patología que sufren los trabajadores sometidos a un estrés continuo.</t>
  </si>
  <si>
    <t>Es una situación en la que una o varias personas ejercen una violencia psicológica extrema, de forma sistemática, durante un tiempo prolongado sobre otra persona en el lugar de trabajo.</t>
  </si>
  <si>
    <t>Consiste en el envejecimiento prematuro del trabajador por exposición a una situación de acoso prolongado. </t>
  </si>
  <si>
    <t>10 .- El estrés se define como:</t>
  </si>
  <si>
    <t>La respuesta fisiológica, psicológica y de comportamiento de un individuo que intenta adaptarse y ajustarse a presiones internas y externas.</t>
  </si>
  <si>
    <t>Disminución de la capacidad física y mental que aparece después de realizar un determinado trabajo en un tiempo relativamente breve y sin posibilidad de recuperación.</t>
  </si>
  <si>
    <t>Fenómeno inespecífico de desgaste debido a la acumulación de fatiga crónica que provoca una aceleración del envejecimiento fisiológico normal.</t>
  </si>
  <si>
    <t>11 .- Señala cual de las siguientes obligaciones no son propias del trabajador.</t>
  </si>
  <si>
    <t>Informar de al empresario de las situaciones de riesgo.</t>
  </si>
  <si>
    <t>Usar adecuadamente los medios para desarrollar su actividad.</t>
  </si>
  <si>
    <t>Cooperar con el empresario para que pueda garantizar la prevención y protección adecuadas.</t>
  </si>
  <si>
    <t>La vigilancia de la salud.</t>
  </si>
  <si>
    <t>12 .- Los trabajadores deben velar por el cumplimiento de las medidas de seguridad…</t>
  </si>
  <si>
    <t>Por su propia seguridad exclusivamente.</t>
  </si>
  <si>
    <t>Por la seguridad de sus compañeros y la suya propia.</t>
  </si>
  <si>
    <t>Por su propia seguridad y por la de aquellas personas a las que pueda afectar su actividad.</t>
  </si>
  <si>
    <t>A y B son correctas.</t>
  </si>
  <si>
    <t>13 .- La norma principal que establece las obligaciones y derechos en materia de prevención es:</t>
  </si>
  <si>
    <t>El Estatuto de los Trabajadores.</t>
  </si>
  <si>
    <t>La Ley General de la Seguridad Social.</t>
  </si>
  <si>
    <t>La Ley de Prevención de Riesgos Laborales.</t>
  </si>
  <si>
    <t>El Reglamento de los Servicios de Prevención.</t>
  </si>
  <si>
    <t>14 .- En materia de prevención de riesgos laborales, son deberes general es del empresario:</t>
  </si>
  <si>
    <t>Garantizarla seguridad y la salud de sus trabajadores.</t>
  </si>
  <si>
    <t>Integrarla actividad preventiva en todas las fases de la actividad de la empresa.</t>
  </si>
  <si>
    <t>Asumir el coste de las medidas de seguridad y salud.</t>
  </si>
  <si>
    <t>15 .- La responsabilidad civil del empresario supone:</t>
  </si>
  <si>
    <t>Una multa.</t>
  </si>
  <si>
    <t>Un recargo en las prestaciones.</t>
  </si>
  <si>
    <t>El abono de una indemnización.</t>
  </si>
  <si>
    <t>16 .- El Instituto Nacional de Seguridad e Higiene en el trabajo (INSHT)</t>
  </si>
  <si>
    <t>Es el órgano técnico de la Administración Pública, que vigila y controla que se cumpla la normativa laboral y de prevención de riesgos laborales.</t>
  </si>
  <si>
    <t>Es el órgano asesor de las administraciones públicas en la formulación de políticas de prevención.</t>
  </si>
  <si>
    <t>Es el órgano científico-técnico especializado de la administración general del Estado que realiza un estudio de las condiciones de seguridad y salud en el trabajo.</t>
  </si>
  <si>
    <t>17 .- El daño que sufrió un trabajador víctima de un accidente cuando iba a trabajar se puede considerar como:</t>
  </si>
  <si>
    <t>Una patología rara</t>
  </si>
  <si>
    <t>Un accidente de trabajo in itinere</t>
  </si>
  <si>
    <t>Ninguna de las anteriores es correcta</t>
  </si>
  <si>
    <t>18 .- La formación del trabajador en materia de prevención debe ser:</t>
  </si>
  <si>
    <t>Facilitada por el empresario</t>
  </si>
  <si>
    <t>Por cuenta del trabajador</t>
  </si>
  <si>
    <t>Aprendida en los programas culturales y educativos de televisión</t>
  </si>
  <si>
    <t>19 .- El Burnout o síndrome de estar quemado:</t>
  </si>
  <si>
    <t>Es un tipo de estrés laboral que se da específicamente en lasprofesiones que mantienen un ritmo rutinario y mecanizado detrabajo.</t>
  </si>
  <si>
    <t>Los síntomas principales que lo integran son la baja realización personal en el trabajo, el agotamiento emocional y la despersonalización.</t>
  </si>
  <si>
    <t>Pueden sufrir este síndrome, profesores, profesionales de la salud, y dela industria automotriz.</t>
  </si>
  <si>
    <t>20 .- Son funciones de la Inspección de Trabajo y Seguridad Social:</t>
  </si>
  <si>
    <t>Realizar visitas a las empresas para comprobar que cumplen con la normativa vigente.</t>
  </si>
  <si>
    <t>Levanta acta de la infracción cometida y propone las sanciones correspondientes ante las autoridades laborales competentes.</t>
  </si>
  <si>
    <t>Informa a la autoridad laboral sobre los accidentes mortales, graves o muy graves</t>
  </si>
  <si>
    <t>TEMA 9</t>
  </si>
  <si>
    <t>1 .- El riesgo laboral se define como:</t>
  </si>
  <si>
    <t>El daño que sufre un trabajador como consecuencia de las condiciones en las que realiza su trabajo.</t>
  </si>
  <si>
    <t>La posibilidad de que el trabajador sufra un determinado daño como consecuencia de las condiciones en que realiza su trabajo.</t>
  </si>
  <si>
    <t>Existe un riesgo laboral cuando resulta probable racionalmente que se materialice un daño en un futuro inmediato.</t>
  </si>
  <si>
    <t>2 .- Las vibraciones de alta frecuencia:</t>
  </si>
  <si>
    <t>Son las de más de 10Hz</t>
  </si>
  <si>
    <t>Las provocan los autobuses en movimiento</t>
  </si>
  <si>
    <t>Producen problemas circulatorios y óseos.</t>
  </si>
  <si>
    <t>Se trasmiten a través del aire</t>
  </si>
  <si>
    <t>3 .- Respecto  a la iluminación, señala la afirmación correcta:</t>
  </si>
  <si>
    <t>La iluminación debe ser uniforme y de adecuada intensidad</t>
  </si>
  <si>
    <t>El lumen mide la cantidad de luz que emite una fuente luminosa</t>
  </si>
  <si>
    <t>Tiene que ser como mínimo de 500 lux para realizar tareas de exigencias visuales altas.</t>
  </si>
  <si>
    <t>4 .- Las condiciones térmicas ideales para un trabajo sedentario son:</t>
  </si>
  <si>
    <t>La velocidad de la corriente del aire en ambientes calurosos no deberá exceder de 0,85m/s</t>
  </si>
  <si>
    <t>Una temperatura entre 17 y 27 ºC y de un 30 a 70% de humedad.</t>
  </si>
  <si>
    <t>La humedad relativa deber ser como mínimo del 40% si existe electricidad estática.</t>
  </si>
  <si>
    <t>5 .- La altura adecuada en los espacios de trabajo es</t>
  </si>
  <si>
    <t>2m de altura del techo al suelo.</t>
  </si>
  <si>
    <t>3 m de altura del techo al suelo.</t>
  </si>
  <si>
    <t>2,5 m de altura del techo al suelo.</t>
  </si>
  <si>
    <t>2,7 m de altura del techo al suelo.</t>
  </si>
  <si>
    <t>6 .- Son factores químicos de riesgo en el trabajo:</t>
  </si>
  <si>
    <t>El trabajo nocturno y a turnos.</t>
  </si>
  <si>
    <t>El ruido.</t>
  </si>
  <si>
    <t>Los gases y vapores.</t>
  </si>
  <si>
    <t>Las bacterias y los virus.</t>
  </si>
  <si>
    <t>7 .- ¿Qué medida tomarías en primer lugar para proteger a los trabajadores del ruido?</t>
  </si>
  <si>
    <t>Obligarles a utilizar equipos de protección individual.</t>
  </si>
  <si>
    <t>Realizar reconocimientos médicos a los trabajadores.</t>
  </si>
  <si>
    <t>Colocar paneles absorbentes.</t>
  </si>
  <si>
    <t>Encerramiento del proceso.</t>
  </si>
  <si>
    <t>8 .- Cuando el nivel de ruido del lugar de trabajo es de 86 dbA , el empresario deberá:</t>
  </si>
  <si>
    <t>Proporcionar protectores auditivos a todos los trabajadores.</t>
  </si>
  <si>
    <t>Obligar a los trabajadores a usar protectores auditivos.</t>
  </si>
  <si>
    <t>Dar protectores auditivos a quien lo solicite.</t>
  </si>
  <si>
    <t>Realizar una evaluación de riesgos  cada tres años.</t>
  </si>
  <si>
    <t>9 .- Cuando un trabajo tenga un requerimiento visual alto, el nivel de iluminación será de:</t>
  </si>
  <si>
    <t>250 lux</t>
  </si>
  <si>
    <t>100 lux</t>
  </si>
  <si>
    <t>500 lux</t>
  </si>
  <si>
    <t>50  lux</t>
  </si>
  <si>
    <t>10 .- Una mala iluminación puede provocar:</t>
  </si>
  <si>
    <t>Escozor de ojos</t>
  </si>
  <si>
    <t>Cefaleas</t>
  </si>
  <si>
    <t>Dificultades de atención. </t>
  </si>
  <si>
    <t>11 .- La hepatitis B se produce como consecuencia de la exposición a:</t>
  </si>
  <si>
    <t>Contaminantes físicos.</t>
  </si>
  <si>
    <t>Contaminantes biológicos.</t>
  </si>
  <si>
    <t>Contaminantes químicos</t>
  </si>
  <si>
    <t>Riesgos psicosociales.</t>
  </si>
  <si>
    <t>12 .- Es una radiación ionizante la producida por:</t>
  </si>
  <si>
    <t>Rayos láser.</t>
  </si>
  <si>
    <t>Rayos ultravioleta.</t>
  </si>
  <si>
    <t>Rayos X.</t>
  </si>
  <si>
    <t>Rayos infrarrojos.</t>
  </si>
  <si>
    <t>13 .- La vía digestiva de penetración de los agentes químicos supone que estos penetren a través de:</t>
  </si>
  <si>
    <t>La piel.</t>
  </si>
  <si>
    <t>La boca.</t>
  </si>
  <si>
    <t>La nariz.</t>
  </si>
  <si>
    <t>Una herida.</t>
  </si>
  <si>
    <t>14 .- Los efectos sobre el cuerpo humano de un paso de la electricidad de 70 miliamperios es:</t>
  </si>
  <si>
    <t>Se produce la tetanización, te quedas agarrotado sin poder moverte.</t>
  </si>
  <si>
    <t>Se produce la parada cardio-respiratoria.</t>
  </si>
  <si>
    <t>Se producen quemaduras graves, bloqueando el riñón y produciendo la muerte.</t>
  </si>
  <si>
    <t>Se produce fibrilación ventricular si pasa por el corazón, de manera que éste se vuelve anárquico y no bombea la sangre de forma regular.</t>
  </si>
  <si>
    <t>15 .- Las vibraciones pueden ser producidas por:</t>
  </si>
  <si>
    <t>La trasmisión en mano-brazo a través de herramientas como pulidoras, martillo neumático…</t>
  </si>
  <si>
    <t>La trasmisión al cuerpo entero al conducir vehículos agrícolas o obras públicas.</t>
  </si>
  <si>
    <t>Ambas son ciertas.</t>
  </si>
  <si>
    <t>16 .- El Real Decreto 486/1997 sobre condiciones mínimas de seguridad y salud en los lugares de trabajo, considera que son lugares de trabajo:</t>
  </si>
  <si>
    <t>Los locales, los pasillos y las escaleras, </t>
  </si>
  <si>
    <t>Las vías de circulación, los servicios higiénicos, los vestuarios y los comedores,</t>
  </si>
  <si>
    <t>Las zonas de descanso y los locales de primeros auxilios</t>
  </si>
  <si>
    <t>17 .- Los principales factores de riesgo psicosociales son:</t>
  </si>
  <si>
    <t>La organización del tiempo de trabajo, las características de la tarea y la estructura de la organización.</t>
  </si>
  <si>
    <t>La inestabilidad en el empleo, la fatiga y el mobbing.</t>
  </si>
  <si>
    <t>El fin del contrato de trabajo y la monotonía.</t>
  </si>
  <si>
    <t>La sobrecarga física y la fatiga mental.</t>
  </si>
  <si>
    <t>18 .- En relación a las actuaciones preventivas frente al ruido:</t>
  </si>
  <si>
    <t>Los niveles máximos de ruido en los lugares de trabajo no deben superarlos 80 dBA, como nivel de exposición diario equivalente, </t>
  </si>
  <si>
    <t>los160 dBA, como niveles de pico en determinados momentos.</t>
  </si>
  <si>
    <t>Por encima de esos niveles, deben tomar se medidas preventivas. El ruido debe evitarse en su destino, es decir, debe procurarse que no llegue al oído del trabajador</t>
  </si>
  <si>
    <t>19 .- En relación con la postura de trabajo en la posición de sentado: </t>
  </si>
  <si>
    <t>La silla debe tener el asiento y el respaldo regulables en altura y en ángulo de inclinación. Los mandos de regulación deben ser móviles y fáciles de manipular.</t>
  </si>
  <si>
    <t>La base de apoyo será estable y consistirá en cuatro patas con ruedas que permitan el giro y los desplazamientos.</t>
  </si>
  <si>
    <t>El plano de trabajo o la mesa debe permitir mantener el tronco erguido frente al plano de trabajo y lo más cerca posible del mismo, de manera que los codos y las rodillas formen un ángulo de 90°. La altura de la mesa debe ser superior al de apoyo de los codos, en posición erguida y con los hombros tensos.</t>
  </si>
  <si>
    <t>Todas las anteriores son correctas. </t>
  </si>
  <si>
    <t>20 .- En relación con los riesgos Derivados de la estructura de la organización:</t>
  </si>
  <si>
    <t>Son generados por estilos de mando autoritarios, ambigüedad en la definición de funciones o falta de apoyo en la resolución de problemas.</t>
  </si>
  <si>
    <t>Provoca alteración de los ciclos de sueño, modificación de los hábitos alimentarios, y en general, una grave repercusión en la vida social y familiar.</t>
  </si>
  <si>
    <t>Se previene fomentando la participación de los trabajadores en la empresa.</t>
  </si>
  <si>
    <t>Las repuestas 1) y 3) son correctas.</t>
  </si>
  <si>
    <t>TEMA 10</t>
  </si>
  <si>
    <t>1 .- ¿En qué consiste la prevención de riesgos laborales?</t>
  </si>
  <si>
    <t>TEMA 11</t>
  </si>
  <si>
    <t xml:space="preserve">1 .- La gestión de riesgos incluye: </t>
  </si>
  <si>
    <t>Identificación y evaluación de riesgos.</t>
  </si>
  <si>
    <t>Una política de prevención.</t>
  </si>
  <si>
    <t>La planificación y la organización de la prevención.</t>
  </si>
  <si>
    <t>2 .- El proceso de análisis de riesgos comprende:</t>
  </si>
  <si>
    <t>Identificación, descripción y control de riesgos.</t>
  </si>
  <si>
    <t>Estimación, gestión, y control de riesgos.</t>
  </si>
  <si>
    <t>Identificación del peligro, estimación y valoración del riesgo.</t>
  </si>
  <si>
    <t>Identificación del peligro, valoración y control del riesgo.</t>
  </si>
  <si>
    <t>3 .- En cuanto a la valoración del riesgo:</t>
  </si>
  <si>
    <t>Consiste en emitir un juicio sobre la tolerabilidad o no al riesgo, basándose en los estudios anteriores.</t>
  </si>
  <si>
    <t>Consiste en valorar en qué medida se producirá el daño</t>
  </si>
  <si>
    <t>Se compone de las siguientes fases: identificación del riesgo, estimación del daño y juicio de tolerancia al riesgo.</t>
  </si>
  <si>
    <t>4 .- Los instrumentos para la gestión y aplicación del plan de prevención de riesgos laborales son:</t>
  </si>
  <si>
    <t>La vigilancia de la salud del trabajador.</t>
  </si>
  <si>
    <t>La evaluación de riesgos y la planificación de la actividad preventiva.</t>
  </si>
  <si>
    <t>La gravedad de los riesgos y los trabajadores expuestos.</t>
  </si>
  <si>
    <t>Las medidas organizativas y de protección aplicables.</t>
  </si>
  <si>
    <t>5 .- La evaluación de riesgos es un proceso destinado a:</t>
  </si>
  <si>
    <t>Planificar las medidas de prevención y protección a adoptar.</t>
  </si>
  <si>
    <t>Estimar la magnitud de los riesgos que no puedan evitarse.</t>
  </si>
  <si>
    <t>Integrar la prevención en la empresa.</t>
  </si>
  <si>
    <t>Planificar las medidas de emergencia.</t>
  </si>
  <si>
    <t>6 .- Para calificar el riesgo, desde el punto de vista de su gravedad se valorará conjuntamente…</t>
  </si>
  <si>
    <t>Su frecuencia y su nivel.</t>
  </si>
  <si>
    <t>Alcance y afectados.</t>
  </si>
  <si>
    <t>Afectados y consecuencias.</t>
  </si>
  <si>
    <t>Probabilidad y severidad.</t>
  </si>
  <si>
    <t>7 .- Señala la respuesta correcta:</t>
  </si>
  <si>
    <t>Si la probabilidad de que se produzca el daño es alta y sus consecuencias son dañinas, el riesgo se considerará importante.</t>
  </si>
  <si>
    <t>Si la probabilidad de que se produzca el daño es media y sus consecuencias son dañinas, el riesgo se considerará moderado.</t>
  </si>
  <si>
    <t>Si la probabilidad de que se produzca el daño es baja y sus consecuencias son ligeramente dañinas, el riesgo se considera trivial.</t>
  </si>
  <si>
    <t>Todas son correcta</t>
  </si>
  <si>
    <t>8 .- Señala la respuesta correcta:</t>
  </si>
  <si>
    <t>Si la probabilidad de que se produzca el daño es alta y sus consecuencias son dañinas, el riesgo se considera importante.</t>
  </si>
  <si>
    <t>El Plan de Prevención debe incluir las fechas de sus futuras revisiones y actualizaciones.</t>
  </si>
  <si>
    <t>9 .- El riesgo que tras la evaluación de riesgos resulte moderado requerirá:</t>
  </si>
  <si>
    <t>Mejoras que exijan poco coste económico.</t>
  </si>
  <si>
    <t>Ser reducido en un plazo determinado, indicando las inversiones necesarias.</t>
  </si>
  <si>
    <t>El cese del trabajo hasta la eliminación del riesgo.</t>
  </si>
  <si>
    <t>Paralizar el trabajo hasta reducir el riesgo.</t>
  </si>
  <si>
    <t>10 .- Señala la respuesta correcta:</t>
  </si>
  <si>
    <t>La evaluación de riesgos incluye la identificación del riesgo y su estimación.</t>
  </si>
  <si>
    <t>El análisis de riesgos consistente en la identificación y valoración del riesgo.</t>
  </si>
  <si>
    <t>El análisis de riesgos consiste en identificar el peligro y describir y estimar el riesgo.</t>
  </si>
  <si>
    <t>La evaluación de riesgos implica identificar, describir y eliminar el riesgo.</t>
  </si>
  <si>
    <t>11 .- La planificación de la acción preventiva incluye, entre otros contenidos:</t>
  </si>
  <si>
    <t>Las medidas de prevención y protección a adoptar.</t>
  </si>
  <si>
    <t>La valoración de los riesgos.</t>
  </si>
  <si>
    <t>La estimación de los riesgos.</t>
  </si>
  <si>
    <t>12 .- Se puede organizar la prevención:</t>
  </si>
  <si>
    <t>Contratando un servicio de prevención ajeno.</t>
  </si>
  <si>
    <t>Nombrando delegados de personal.</t>
  </si>
  <si>
    <t>Estableciendo un comité de seguridad y salud.</t>
  </si>
  <si>
    <t>Mediante un recurso preventivo.</t>
  </si>
  <si>
    <t>13 .- Son representantes de los trabajadores especializados en materia de prevención:</t>
  </si>
  <si>
    <t>Los delegados de personal.</t>
  </si>
  <si>
    <t>Los delegados de prevención.</t>
  </si>
  <si>
    <t>El comité de empresa.</t>
  </si>
  <si>
    <t>14 .- Los delegados de prevención:</t>
  </si>
  <si>
    <t>Fomentan la observancia de la normativa de prevención.</t>
  </si>
  <si>
    <t>Se integran en el comité de seguridad y salud, en las empresas con 50 o más trabajadores.</t>
  </si>
  <si>
    <t>Pueden ordenar la paralización de la actividad de la empresa, en caso de riesgo grave e inminente.</t>
  </si>
  <si>
    <t>15 .- Los trabajadores encargados de la actividad preventiva tienen:</t>
  </si>
  <si>
    <t>Derecho a acceder a toda la información y la documentación de la empresa necesarias para desempeñar la labor preventiva.</t>
  </si>
  <si>
    <t>Derecho a recibir información.</t>
  </si>
  <si>
    <t>Facultad para acompañar a los técnicos en las evaluaciones de prevención que realicen.</t>
  </si>
  <si>
    <t>16 .- Es una modalidad de organización de la prevención:</t>
  </si>
  <si>
    <t>El comité de seguridad y salud.</t>
  </si>
  <si>
    <t>El servicio de prevención propio.</t>
  </si>
  <si>
    <t>17 .- Es obligatorio para una empresa constituir un servicio de prevención propio cuando:</t>
  </si>
  <si>
    <t>La empresa tenga menos de 500 trabajadores.</t>
  </si>
  <si>
    <t>Cuando la empresa cuente  con entre 250 y 500 trabajadores y realice alguna de las actividades del Anexo I del RD 39/1997.</t>
  </si>
  <si>
    <t>Cuando la empresa cuente con entre 250 y 500 trabajadores, no realice ninguna de las actividades del Anexo I del RD 39/1997.</t>
  </si>
  <si>
    <t>18 .- Señala el número de delegados de prevención que le corresponde tener a las empresas que tienen una plantilla con 503 trabajadores…</t>
  </si>
  <si>
    <t>19 .- El Comité de Seguridad y Salud en el trabajo:</t>
  </si>
  <si>
    <t>Es un órgano científico-técnico superior de toda la Administración Pública.</t>
  </si>
  <si>
    <t>Es el órgano colegiado de la Administración en materia de sanciones.</t>
  </si>
  <si>
    <t>Es un órgano unipersonal.</t>
  </si>
  <si>
    <t>Es un órgano paritario y colegiado en materia de prevención.</t>
  </si>
  <si>
    <t>20 .- Los trabajadores encargados de la actividad preventiva tienen:</t>
  </si>
  <si>
    <t>Derecho a recibir formación.</t>
  </si>
  <si>
    <t>El deber del sigilo profesional.</t>
  </si>
  <si>
    <t>a</t>
  </si>
  <si>
    <t>b</t>
  </si>
  <si>
    <t>c</t>
  </si>
  <si>
    <t>d</t>
  </si>
  <si>
    <t>e</t>
  </si>
  <si>
    <t>TEMA 12</t>
  </si>
  <si>
    <t>1 .- El Plan de prevención es un documento:</t>
  </si>
  <si>
    <t>Que se debe realizar cuando se produce un accidente de trabajo.</t>
  </si>
  <si>
    <t>De realización obligatoria para las empresas.</t>
  </si>
  <si>
    <t>Que pueden realizar las empresas de manera voluntaria.</t>
  </si>
  <si>
    <t>Que forma parte de la evaluación de riesgos laborales.</t>
  </si>
  <si>
    <t>2 .- El Plan de Prevención de Riesgos Laborales incluirá obligatoriamente los siguientes elementos:</t>
  </si>
  <si>
    <t>Los datos identificativos de la empresa: su actividad productiva, el número y características de los centros de trabajo, el número de trabajadores y los datos de su perfil, con relevancia en la prevención de riesgos laborales.</t>
  </si>
  <si>
    <t>La organización de la producción en cuanto a la identificación de los distintos procesos técnicos y las prácticas y los procedimientos organizativos existentes en la empresa, en relación con la prevención de riesgos laborales.</t>
  </si>
  <si>
    <t>La organización de la prevención en la empresa, indicando la modalidad preventiva elegida y los órganos de representación existentes.</t>
  </si>
  <si>
    <t>Todas las anteriores afirmaciones son correctas</t>
  </si>
  <si>
    <t>3 .- El plan de prevención debe incluir:</t>
  </si>
  <si>
    <t>El número de trabajadores que hay en cada centro de trabajo y la modalidad contractual que les une a la empresa.</t>
  </si>
  <si>
    <t>El número y características de los centros de trabajo, el número de trabajadores y el organigrama de la empresa.</t>
  </si>
  <si>
    <t>El número de delegados de personal.</t>
  </si>
  <si>
    <t>4 .- El plan de autoprotección es:</t>
  </si>
  <si>
    <t>El documento establecido en cada empresa con el objeto de prevenir y controlar los riesgos sobre las personas y los bienes.</t>
  </si>
  <si>
    <t>Lo mismo que el plan de evacuación.</t>
  </si>
  <si>
    <t>El manual de uso de los equipos de protección individual.</t>
  </si>
  <si>
    <t>El manual de extinción de incendios.</t>
  </si>
  <si>
    <t>5 .- Son criterios para la implantación del Plan de Autoprotección y las actividades de mantenimiento de su eficacia son:</t>
  </si>
  <si>
    <t>Realizar una formación teórica y práctica del personal asignado al Plan, mediante un programa de actividades formativas adecuadas y sistemas para comprobar que se han adquirido los conocimientos.</t>
  </si>
  <si>
    <t>Definir, proveer y gestionar los medios y recursos económicos necesarios y prever un programa de mantenimiento.</t>
  </si>
  <si>
    <t>Realizar simulacros de emergencia al menos una vez al año.</t>
  </si>
  <si>
    <t>6 .-El plan de Actuación en Emergencias forma parte de:</t>
  </si>
  <si>
    <t>El Plan de prevención.</t>
  </si>
  <si>
    <t>El Plan de primeros auxilios.</t>
  </si>
  <si>
    <t>El Plan de autoprotección.</t>
  </si>
  <si>
    <t>De ninguno de ellos.</t>
  </si>
  <si>
    <t>7 .- Alejandro, un joven de 17 años, está trabajando en una empresa que fábrica y manipula material pirotécnico.</t>
  </si>
  <si>
    <t>Si no es trabajador temporal, puede realizar trabajos considerados peligrosos.</t>
  </si>
  <si>
    <t>Es posible, siempre y cuando utilice las medidas de prevención y protección adecuadas.</t>
  </si>
  <si>
    <t>Un menor no puede realizar trabajos peligrosos.</t>
  </si>
  <si>
    <t>8 .- Las EET son responsables de:</t>
  </si>
  <si>
    <t>Las medidas de protección adecuadas.</t>
  </si>
  <si>
    <t>La vigilancia de la salud de los trabajadores.</t>
  </si>
  <si>
    <t>Realizar la evaluación de riesgos del puesto de trabajo.</t>
  </si>
  <si>
    <t>Las condiciones de ejecución del trabajo en todo lo relacionado con la protección de la seguridad y la salud de su trabajador en la empresa usuaria.</t>
  </si>
  <si>
    <t>9 .- A través de los exámenes médicos se pretende detectar posibles lesiones con la antelación suficiente, para evitar el desarrollo de una enfermedad en fase irreversible:</t>
  </si>
  <si>
    <t>Se recogerá información sobre la salud de cada trabajador y la posibilidad de que se halle en una situación de especial sensibilidad.</t>
  </si>
  <si>
    <t>Se diseñan las pruebas médicas que examinarán la salud de los trabajadores y su periodicidad, teniendo en cuenta el tipo de riesgo. Los resultados se entregarán al trabajador con los consejos y la garantía de confidencialidad oportunos.</t>
  </si>
  <si>
    <t>Se realizarán estudios epidemiológicos y un análisis de las enfermedades profesionales desarrolladas durante y después de la relación laboral con la empresa.</t>
  </si>
  <si>
    <t>10 .- Indica con qué periodicidad se tiene que revisar el Plan de Autoprotección:</t>
  </si>
  <si>
    <t>No superior a tres años.</t>
  </si>
  <si>
    <t>No superior a cinco años.</t>
  </si>
  <si>
    <t>No superior a dos años.</t>
  </si>
  <si>
    <t>No superior a diez años.</t>
  </si>
  <si>
    <t>11 .- ¿Quién realiza las funciones de dirigir los equipos de intervención e informar al Director del Plan de Emergencias dentro de la empresa?</t>
  </si>
  <si>
    <t>Director del Plan de Actuación en Emergencias.</t>
  </si>
  <si>
    <t>Jefe de Bomberos.</t>
  </si>
  <si>
    <t>Jefe de intervención.</t>
  </si>
  <si>
    <t>Director de la empresa, en todos los casos.</t>
  </si>
  <si>
    <t>12 .- La declaración del tipo de emergencia, puede formalizarse como:</t>
  </si>
  <si>
    <t>Conato de emergencia: situación que no puede ser neutralizada de inmediato como un conato y obliga al personal presente a solicitar la intervención de los ESI. Puede requerirse una evacuación parcial de los trabajadores</t>
  </si>
  <si>
    <t>Emergencia parcial: afecta a una zona concreta de la empresa y es perfectamente controlable por los EPI.</t>
  </si>
  <si>
    <t>Emergencia general: situación que supera la capacidad de los medios humanos y material es existentes en la empresa y obliga a solicitar ayuda al exterior. Conlleva una evacuación total.</t>
  </si>
  <si>
    <t>13 .- ¿Qué tipo de emergencias controlan los Equipos de Segunda Intervención?</t>
  </si>
  <si>
    <t>El conato de emergencia.</t>
  </si>
  <si>
    <t>La emergencia parcial.</t>
  </si>
  <si>
    <t>La emergencia general.</t>
  </si>
  <si>
    <t>14 .- El equipo que intenta eliminar inmediatamente la emergencia, es:</t>
  </si>
  <si>
    <t>Equipo de primera intervención.</t>
  </si>
  <si>
    <t>Equipo de segunda intervención.</t>
  </si>
  <si>
    <t>Equipo de alarma y evacuación.</t>
  </si>
  <si>
    <t>Equipo de emergencia.</t>
  </si>
  <si>
    <t>15 .- Es obligatorio pasar reconocimientos médicos en los siguientes casos:</t>
  </si>
  <si>
    <t>Cuando es imprescindible para evaluar las condiciones de trabajo sobre la salud de los trabajadores.</t>
  </si>
  <si>
    <t>Para verificar se el estado de salud del trabajador puede constituir un peligro para sí mismo, para los demás trabajadores o para terceras personas.</t>
  </si>
  <si>
    <t>Cuando lo exija una disposición legal para la protección de riesgos específicos y actividades de especial peligrosidad.</t>
  </si>
  <si>
    <t>16 .-Son principios que deben estar presentes en una evacuación:</t>
  </si>
  <si>
    <t>Rapidez en el desalojo desde que se da la señal de evacuación, pero sin correr para no producir pánico.</t>
  </si>
  <si>
    <t>Ordenen la evacuación de las personas.</t>
  </si>
  <si>
    <t>Control por parte de los responsables de la evacuación para comprobar que se ha realizado según lo planificado y que no queda nadie por evacuar.</t>
  </si>
  <si>
    <t>17 .- Para que se produzca un incendio son necesarios los siguientes elementos:</t>
  </si>
  <si>
    <t>Un combustible, un comburente y una reacción en cadena.</t>
  </si>
  <si>
    <t>Un combustible y una energía de activación.</t>
  </si>
  <si>
    <t>Un combustible, un comburente y una energía de activación.</t>
  </si>
  <si>
    <t>Un combustible, un comburente, una energía de activación y una reacción en cadena.</t>
  </si>
  <si>
    <t>18 .- El oxigeno es:</t>
  </si>
  <si>
    <t>Un combustible.</t>
  </si>
  <si>
    <t>Un comburente.</t>
  </si>
  <si>
    <t>Una energía de activación.</t>
  </si>
  <si>
    <t>Un gas combustible.</t>
  </si>
  <si>
    <t>19 .- Los fuegos de clase C  pertenecen a:</t>
  </si>
  <si>
    <t>Gases inflamables.</t>
  </si>
  <si>
    <t>Líquidos inflamables o sólidos licuables.</t>
  </si>
  <si>
    <t>Materias solidas</t>
  </si>
  <si>
    <t>Metales o productos químicos reactivos.</t>
  </si>
  <si>
    <t>20 .- El número de teléfono establecido como número de asistencia al ciudadano ante cualquier tipo de emergencia es:</t>
  </si>
  <si>
    <t>TEMA 13</t>
  </si>
  <si>
    <t>1 .- Los primeros auxilios:</t>
  </si>
  <si>
    <t>Son un conjunto de técnicas para atender a un accidentado y gestionar la urgencia en los primeros momentos del siniestro, mientras llega la asistencia sanitaria profesional.</t>
  </si>
  <si>
    <t>Se deben practicar siguiendo los principios básicos del método PAS</t>
  </si>
  <si>
    <t>Aplicando la reanimación respiratoriacuando la persona herida está inconsciente y no respira (parada respiratoria), pero tiene pulso.</t>
  </si>
  <si>
    <t>Todas las afirmaciones anteriores son correctas</t>
  </si>
  <si>
    <t>2 .- En todo centro de trabajo, además, debe haber, como mínimo</t>
  </si>
  <si>
    <t>,un botiquín portátil que contenga desinfectantes y antisépticos autorizados, gasas estériles, algodón hidrófilo, vendas, esparadrapo, apósitos adhesivos, tijeras, pinzas y guantes desechables.</t>
  </si>
  <si>
    <t>El contenido del botiquín deberá estar ordenado y etiquetado. Hay que revisarlo periódicamente y reponer el material tan pronto como caduque o sea utilizado.</t>
  </si>
  <si>
    <t>Es aconsejable incluir una lista de los teléfonos de urgencias de la zona.</t>
  </si>
  <si>
    <t>3 .-Es responsabilidad de la empresa:</t>
  </si>
  <si>
    <t>Organizar la actuación ante una emergencia.</t>
  </si>
  <si>
    <t>Encargar la gestión de las emergencias a cualquier trabajador.</t>
  </si>
  <si>
    <t>No comunicar su sistema de emergencia a quien no pertenezca a la empresa.</t>
  </si>
  <si>
    <t>No tiene ninguna responsabilidad si se produce una emergencia.</t>
  </si>
  <si>
    <t>4 .- ¿Qué se debe hacer ante una urgencia médica?</t>
  </si>
  <si>
    <t>Dejar sola a la víctima para que no se ponga nerviosa.</t>
  </si>
  <si>
    <t>Hacer solo lo imprescindible.</t>
  </si>
  <si>
    <t>Mover de inmediato al herido.</t>
  </si>
  <si>
    <t>El estrés y la tensión son lo mejor para actuar eficazmente.</t>
  </si>
  <si>
    <t>5 .- El botiquín de primeros auxilios es obligatorio:</t>
  </si>
  <si>
    <t>En empresas de más de 50 trabajadores</t>
  </si>
  <si>
    <t>En empresas de más de 25 trabajadores que realicen trabajos peligrosos.</t>
  </si>
  <si>
    <t>En todas las empresas deberá haber un botiquín portátil.</t>
  </si>
  <si>
    <t>6 .- Cuando un accidentado está inconsciente, no respira y carece de pulso, se le aplica.</t>
  </si>
  <si>
    <t>No se puede hacer ya nada y hay que dejarlo morir.</t>
  </si>
  <si>
    <t>Método boca a boca.</t>
  </si>
  <si>
    <t>Reanimación cardiorespiratoria.</t>
  </si>
  <si>
    <t>La posición lateral de seguridad.</t>
  </si>
  <si>
    <t>7 .- La reanimación cardiopulmonar básica (RCP):</t>
  </si>
  <si>
    <t>Es el conjunto de maniobras encaminadas a suplir las funciones cardiaca y respiratoria de una persona que está en parada cardiorrespiratoria. </t>
  </si>
  <si>
    <t>Consta, fundamentalmente, de dos maniobras: las compresiones torácicas externas y la respiración boca a boca.</t>
  </si>
  <si>
    <t>Se debe continuar la reanimación hasta que, o bien llegue ayuda cualificada y se haga cargo, o bien la víctima empiece a respirar normalmente, o bien el socorrista esté agotado.</t>
  </si>
  <si>
    <t>Todas las anteriores afirmaciones son válidas.</t>
  </si>
  <si>
    <t>8 .- La reanimación respiratoria se practica a:</t>
  </si>
  <si>
    <t>La persona que respira y está consciente.</t>
  </si>
  <si>
    <t>Una persona que no respira, inconsciente y con pulso.</t>
  </si>
  <si>
    <t>No existe esta técnica.</t>
  </si>
  <si>
    <t>Exclusivamente con muñecos.</t>
  </si>
  <si>
    <t>9 .- La maniobra frente-mentón:</t>
  </si>
  <si>
    <t>Es una técnica para que el herido recupere el ritmo cardiaco.</t>
  </si>
  <si>
    <t>Es una técnica para abrir la vía respiratoria que está obstruida por la lengua o por objetos extraños.</t>
  </si>
  <si>
    <t>Moveremos la barbilla hacia la garganta para separar la lengua.</t>
  </si>
  <si>
    <t>10 .- ¿Qué hacer ante un herido con la ropa ardiendo?</t>
  </si>
  <si>
    <t>No tocarlo para no quemarse.</t>
  </si>
  <si>
    <t>Evitar que el quemado corra, cubrirlo con una manta y hacerlo rodar por el suelo.</t>
  </si>
  <si>
    <t>Evitar que el quemado corra y mojarlo inmediatamente con agua.</t>
  </si>
  <si>
    <t>Evitar que el quemado corra, mojarlo inmediatamente con agua y quitarle la ropa.</t>
  </si>
  <si>
    <t>11 .- El socorrista debe intervenir activamente ante:</t>
  </si>
  <si>
    <t>Una hemorragia externa.</t>
  </si>
  <si>
    <t>Una hemorragia interna.</t>
  </si>
  <si>
    <t>Una fractura de vértebras.</t>
  </si>
  <si>
    <t>Una fractura de cráneo.</t>
  </si>
  <si>
    <t>12 .- El objetivo de los primeros auxilios es:</t>
  </si>
  <si>
    <t>Curar las heridas y hemorragias lo antes posible.</t>
  </si>
  <si>
    <t>Mantener la vida del accidentado, no agravar su estado y trasladarlo a un centro sanitario en condiciones adecuadas.</t>
  </si>
  <si>
    <t>Trasladar lo antes posible al accidentado a un centro sanitario.</t>
  </si>
  <si>
    <t>13 .- Se denomina fractura a…</t>
  </si>
  <si>
    <t>Rotura de hueso.</t>
  </si>
  <si>
    <t>Desplazamiento de huesos.</t>
  </si>
  <si>
    <t>Rotura de ligamentos.</t>
  </si>
  <si>
    <t>Rotura de un vena.</t>
  </si>
  <si>
    <t>14 .- Cuando se habla de primeros auxilios, PAS significa:</t>
  </si>
  <si>
    <t>Prevenir, avisar, socorrer.</t>
  </si>
  <si>
    <t>Proteger, avisar, socorrer.</t>
  </si>
  <si>
    <t>Prevenir, actuar, socorrer.</t>
  </si>
  <si>
    <t>Proteger, avisar, salir.</t>
  </si>
  <si>
    <t>15 .- En primeros auxilios, PLS significa:</t>
  </si>
  <si>
    <t>Posición limite de socorro.</t>
  </si>
  <si>
    <t>Posición lateral de seguridad.</t>
  </si>
  <si>
    <t>Protección lateral de seguridad.</t>
  </si>
  <si>
    <t>Postura ligera de seguridad.</t>
  </si>
  <si>
    <t>16 .- Una quemadura de tercer grado es aquella en que:</t>
  </si>
  <si>
    <t>La parte interior de la piel se quema y se forman ampollas.</t>
  </si>
  <si>
    <t>Se enrojece la parte externa de la piel.</t>
  </si>
  <si>
    <t>Aparece necrosis en los tejidos, aparece una escara y se ennegrece.</t>
  </si>
  <si>
    <t>17 .- En caso de quemaduras:</t>
  </si>
  <si>
    <t>Lo primero que hay que hacer es alejar al quemado de la fuente de calor y colocarlo en posición decúbito supino, envuelto en una manta.</t>
  </si>
  <si>
    <t>Seguidamente se determinará su gravedad considerando la extensión de la superficie corporal quemada, su grado de profundidad y la localización de la lesión.</t>
  </si>
  <si>
    <t>Hay que lavar la zona quemada con vinagre en abundancia (o agua tibia, si no se dispone de vinagre), durante un tiempo aproximado de 10 minutos y cubrir con gasas estériles o un pañuelo limpio empapados en suero fisiológico, si se dispone de él.</t>
  </si>
  <si>
    <t>Todas las anteriores respuestas son correctas.</t>
  </si>
  <si>
    <t>18 .- En relación con las hemorragias:</t>
  </si>
  <si>
    <t>Una hemorragia de oídopuede ser un síntoma de traumatismo craneal, por lo que se debe mover al lesionado, facilitando en todo momento la salida de la sangre y controlando sus signos vitales. </t>
  </si>
  <si>
    <t>En caso de hemorragia de oído hay que evacuar al herido urgentemente a un centro sanitario con servicio de Neurología.</t>
  </si>
  <si>
    <t>El recurso prácticamente más utilizado en la actualidad para frenar las hemorragias es el torniquete</t>
  </si>
  <si>
    <t>19 .- En caso de fractura en la espalda:</t>
  </si>
  <si>
    <t>Se debe mover al herido.</t>
  </si>
  <si>
    <t>No se debe mover al herido.</t>
  </si>
  <si>
    <t>Se debe dar de beber agua al herido.</t>
  </si>
  <si>
    <t>Se le pondrá en PLS.</t>
  </si>
  <si>
    <t>20 .- En el triage, un color amarillo indica:</t>
  </si>
  <si>
    <t>Que son los primeros en atenderse, pues peligra su vida.</t>
  </si>
  <si>
    <t>Que requiere cuidados pero que no peligra su vida.</t>
  </si>
  <si>
    <t>Que puede caminar o deambular al tener una herida leve.</t>
  </si>
  <si>
    <t>PEC-2 FORMACION Y ORIENTACIÓN LABORAL</t>
  </si>
  <si>
    <t xml:space="preserve"> 1 .- Puede decirse que es una condición de trabajo:</t>
  </si>
  <si>
    <t>Cualquier característica del trabajo que pueda tener influencia significativa en la generación de riesgos para la seguridad y salud del trabajador</t>
  </si>
  <si>
    <t>Esla posibilidad de que un trabajador sufra un determinado daño derivado del trabajo.</t>
  </si>
  <si>
    <t>El conjunto de actividades o medidas adoptadas o previstas en todas las fases de actividad de la empresa con el fin de evitar o disminuirlos riesgos derivados del trabajo.</t>
  </si>
  <si>
    <t xml:space="preserve"> Ninguna de las anteriores es correcta.</t>
  </si>
  <si>
    <t xml:space="preserve"> 2 .- Se consideran Accidente de Trabajo: </t>
  </si>
  <si>
    <t>Las enfermedades no incluidas en la lista del Real Decreto 1299/2006yque contrajo el trabajador con motivo de su trabajo, siempre y cuando pruebe que fue por causa de la ejecución del mismo.</t>
  </si>
  <si>
    <t xml:space="preserve">El que sufra el trabajador al desplazarse con motivo del desempeño de un cargo sindical. </t>
  </si>
  <si>
    <t xml:space="preserve">Los ocurridos con ocasión de Actos de salvamento: son los que realiza el trabajador para salvar a personas que no se encuentran en   el centro de trabajo. </t>
  </si>
  <si>
    <t xml:space="preserve"> 3 .- Una enfermedad profesional desde el punto de vista legal o de la *Seguridad Social es: </t>
  </si>
  <si>
    <t xml:space="preserve">Un daño que sufre el trabajador de forma lenta mientras trabaja. </t>
  </si>
  <si>
    <t xml:space="preserve">Un daño que sufre el trabajador lentamente mientras trabaja en su profesión. </t>
  </si>
  <si>
    <t xml:space="preserve">Un daño que sufre el trabajador, y que ha sido reconocido por la Seguridad Social por el RD 1299/2006, siempre que presente unos síntomas determinados </t>
  </si>
  <si>
    <t xml:space="preserve">4 .- El empresario cuenta, entre los deberes con respecto a los trabajadores, en materia de Prevención de Riesgos, con el Deber de informar y formar a los trabajadores sobre: </t>
  </si>
  <si>
    <t xml:space="preserve">Los riesgos existentes en su puesto de trabajo. </t>
  </si>
  <si>
    <t xml:space="preserve">Las medidas de prevención y protección aplicadas en la empresa a dichos riesgos: cómo actuar en situaciones de emergencia, cómo utilizar los equipos de protección individual, etc. </t>
  </si>
  <si>
    <t xml:space="preserve">La formación será exclusivamente teórica, y los trabajadores irán adquiriendo autónomamente una autoformación práctica. </t>
  </si>
  <si>
    <t xml:space="preserve">Todas las anteriores son correctas. </t>
  </si>
  <si>
    <t xml:space="preserve">5 .- La Ley General de Seguridad Social amplía el concepto de accidente de trabajo, al incluir los siguientes casos: </t>
  </si>
  <si>
    <t xml:space="preserve">Enfermedades intercurrentes: son aquellas complicaciones derivadas del proceso patológico del AT o que tienen su origen en el nuevo medio en el que se sitúa al paciente para su curación. </t>
  </si>
  <si>
    <t xml:space="preserve">Enfermedades o defectos padecidos por el trabajador con anterioridad y que se agravan como consecuencia de una lesión producida por un accidente de trabajo. </t>
  </si>
  <si>
    <t>Se presume, salvo prueba en contrario (presunción iuris tantum), que todas las lesiones sufridas en el tiempo y en el lugar de trabajo son AT.</t>
  </si>
  <si>
    <t xml:space="preserve">6 .- Los empresarios tienen ciertos deberes con respecto al centro de trabajo en materia de Prevención: </t>
  </si>
  <si>
    <t xml:space="preserve">Utilizar correctamente las máquinas y herramientas de trabajo y los equipos de seguridad y protección. </t>
  </si>
  <si>
    <t>Adoptar medidas para situaciones de emergencia</t>
  </si>
  <si>
    <t xml:space="preserve">Velar por la seguridad y salud propia, la de los trabajadores y de terceros que pudieran verse afectados. </t>
  </si>
  <si>
    <t xml:space="preserve">7 .- La formación del trabajador en materia de prevención debe ser: </t>
  </si>
  <si>
    <t xml:space="preserve">Facilitada por el empresario </t>
  </si>
  <si>
    <t xml:space="preserve">Por cuenta del trabajador </t>
  </si>
  <si>
    <t xml:space="preserve">Aprendida en los programas culturales y educativos de televisión </t>
  </si>
  <si>
    <t xml:space="preserve">Ninguna de las anteriores es correcta </t>
  </si>
  <si>
    <t xml:space="preserve">8 .- El daño que sufrió un trabajador víctima de un accidente cuando iba a trabajar se puede considerar como: </t>
  </si>
  <si>
    <t xml:space="preserve">Una patología rara </t>
  </si>
  <si>
    <t xml:space="preserve">Un accidente de trabajo in itínere </t>
  </si>
  <si>
    <t xml:space="preserve">9 .- El confort térmico es diferente para cada persona y está determinado por: </t>
  </si>
  <si>
    <t xml:space="preserve">Los intercambios de cada individuo y el medio ambiente a través de la piel. </t>
  </si>
  <si>
    <t xml:space="preserve">Las condiciones ambientales (temperatura, velocidad y humedad relativa). </t>
  </si>
  <si>
    <t xml:space="preserve">La actividad física de cada trabajo y el tipo de vestimenta utilizado. </t>
  </si>
  <si>
    <t xml:space="preserve">10 .- Las condiciones térmicas ideales para un trabajo sedentario son: </t>
  </si>
  <si>
    <t xml:space="preserve">El aire debe renovarse en la cantidad de 20 m3 cada hora. </t>
  </si>
  <si>
    <t xml:space="preserve">La velocidad debe ser menor de 0,85 m/s. </t>
  </si>
  <si>
    <t xml:space="preserve">La humedad debe ser mayor de un 70% si existe electricidad estática. </t>
  </si>
  <si>
    <t xml:space="preserve">Una temperatura entre 17 y 27 ºC y de un 30 a 70% de humedad. </t>
  </si>
  <si>
    <t xml:space="preserve">11 .- La electricidad es </t>
  </si>
  <si>
    <t>Una forma de energía muy utilizada en la actualidad en todas las actividades humanas, ya sean laborales o domésticas.</t>
  </si>
  <si>
    <t xml:space="preserve">El paso de una corriente eléctrica puede provocar lesiones de gravedad muy variable en el organismo, que abarcan desde simples quemaduras superficiales hasta la muerte instantánea. </t>
  </si>
  <si>
    <t xml:space="preserve">El efecto lesivo de la corriente eléctrica viene definido por la intensidad de la corriente, la duración de la descarga eléctrica y la resistencia del tejido a su paso. </t>
  </si>
  <si>
    <t xml:space="preserve">12 .- Las vibraciones pueden ser de varios tipos: </t>
  </si>
  <si>
    <t xml:space="preserve">De baja frecuencia (de 2 a 10 Hz): provocadas por la conducción de grandes vehículos como tractores, retroexcavadoras, bulldozer, palas, camiones o autobuses. </t>
  </si>
  <si>
    <t xml:space="preserve">De muy baja frecuencia (inferiores a 2 Hz): originadas por algunos medios de transporte como el avión, el barco o el tren. </t>
  </si>
  <si>
    <t xml:space="preserve">13 .- En relación con los requisitos de iluminación para una buena iluminación: </t>
  </si>
  <si>
    <t xml:space="preserve">Es frecuente utilizar como unidad de medida el lux (lx), que es la iluminación producida por 1 lumen en 1 m2 de superficie y se mide con un luxómetro. </t>
  </si>
  <si>
    <t xml:space="preserve">Para trabajar en sectores como talleres de joyería o electrónica se presentan exigencias visuales muy altas, un mínimo de 500 luxes </t>
  </si>
  <si>
    <t xml:space="preserve">Los niveles mínimos deben triplicarse cuando en la zona existan riesgos apreciables de caídas, choques u otros accidentes y cuando se efectúen tareas que puedan suponer un peligro para el trabajador o terceros por un error en la apreciación visual. </t>
  </si>
  <si>
    <t xml:space="preserve">Todas las respuestas anteriores son correctas. </t>
  </si>
  <si>
    <t xml:space="preserve">14 .- La ergonomía: </t>
  </si>
  <si>
    <t xml:space="preserve">Geométrica: adapta las máquinas, equipos y herramientas a la persona. </t>
  </si>
  <si>
    <t xml:space="preserve">Perceptiva: estudia la relación del trabajador con las condiciones de tamaño de su puesto. </t>
  </si>
  <si>
    <t xml:space="preserve">Ambiental: estudia el nivel adecuado de iluminación. </t>
  </si>
  <si>
    <t xml:space="preserve">15 .- Son referencias de la seguridad en el Trabajo: </t>
  </si>
  <si>
    <t>Su principal finalidad es evitar que se produzcan accidentes de trabajo</t>
  </si>
  <si>
    <t xml:space="preserve">En caso que se produzcan los accidentes de trabajo su función es atenuar las consecuencias </t>
  </si>
  <si>
    <t xml:space="preserve">Una de sus misiones es corregir todos los factores de riesgo de un accidente de trabajo </t>
  </si>
  <si>
    <t>Todas las respuestas son correctas</t>
  </si>
  <si>
    <t xml:space="preserve">16 .- Los EPI: </t>
  </si>
  <si>
    <t xml:space="preserve">Deben utilizarse como primera medida de prevención de riesgos. </t>
  </si>
  <si>
    <t xml:space="preserve">Eliminan los riesgos. </t>
  </si>
  <si>
    <t xml:space="preserve">Una vez definido el EPI más adecuado para combatir el riesgo, el departamento de compras podrá optar por el modelo más económico. </t>
  </si>
  <si>
    <t xml:space="preserve">Ninguna de las anteriores es correcta. </t>
  </si>
  <si>
    <t xml:space="preserve">17 .- Las señales de seguridad: </t>
  </si>
  <si>
    <t xml:space="preserve">Si son redondas, pueden indicar obligación o prohibición. </t>
  </si>
  <si>
    <t xml:space="preserve">Las redondas pueden tener el 35% de su superficie roja o el 50% azul. </t>
  </si>
  <si>
    <t xml:space="preserve">Las triangulares incluyen pictogramas negros. </t>
  </si>
  <si>
    <t xml:space="preserve">18 .- En relación con la señalización: </t>
  </si>
  <si>
    <t>Es una técnica de seguridad que proporciona una indicación o una obligación relativa a la seguridad o la salud en el trabajo. Elimina el riesgo por sí misma y su puesta en práctica dispensa de la adopción de las medidas de prevención y protección que correspondan.</t>
  </si>
  <si>
    <t xml:space="preserve">Entre las señales gestuales, el brazo derecho extendido hacia arriba, la palma de la mano hacia delante significa “Izar” </t>
  </si>
  <si>
    <t xml:space="preserve">Entre las señales gestuales, las dos manos juntas a la altura del pecho significan “Fin de las operaciones”. </t>
  </si>
  <si>
    <t xml:space="preserve">19 .- Se entiende por prevención el conjunto de actividades o medidas adoptadas o previstas, en todas las fases de actividad de la empresa   con el fin de evitar o reducir los riesgos derivados del trabajo. Según la ley de PRL:      </t>
  </si>
  <si>
    <t xml:space="preserve">Primero hay que actuar sobre el trabajador, pues es el auténtico objeto de la Prevención. Si no se logra eliminar el riesgo, se adoptarán medidas en la vía de transmisión del peligro, y si esto tampoco es efectivo, hay que eliminar o reducir el riesgo en su punto de origen. </t>
  </si>
  <si>
    <t xml:space="preserve">Primero hay que eliminar o reducir el riesgo en su punto de origen. Si no es posible, se adoptarán medidas en la vía de transmisión del peligro. Y si tampoco es posible, se actuará sobre el trabajador. </t>
  </si>
  <si>
    <t xml:space="preserve">Primero hay que adoptar medidas en la vía de transmisión del peligro. Si esto no surte efecto, se intentará eliminar o reducir el riesgo en su punto de origen. En caso de que nada de lo anterior sea efectivo, se actuará sobre el trabajador. </t>
  </si>
  <si>
    <t xml:space="preserve">20 .- En relación con la Prevención en la empresa: </t>
  </si>
  <si>
    <t xml:space="preserve">Para que sea eficaz, la prevención debe estar planificada y bien organizada. Por ello, se debe integrar en el proyecto de empresa, como un área más de decisiones a tomar. </t>
  </si>
  <si>
    <t xml:space="preserve">Primero hay que eliminar o reducir el riesgo en su punto de origen. Si no es posible, se adoptarán medidas en la vía de transmisión del peligro. Y si tampoco es posible, se actuará sobre el trabajador </t>
  </si>
  <si>
    <t xml:space="preserve">La finalidad de la prevención es evitar que se materialicen los riesgos; para lo que, en primer lugar, hay que detectar todos los riesgos que existen en la empresa, su gravedad y la probabilidad de que se produzcan. </t>
  </si>
  <si>
    <t xml:space="preserve">21 .- La evaluación de riesgos laborales: </t>
  </si>
  <si>
    <t xml:space="preserve">Debe ser realizada por personal especializado ajeno a la empresa para así tener resultados más objetivos, con la participación sólo de trabajadores y representantes. </t>
  </si>
  <si>
    <t xml:space="preserve">Debe ser realizada por personal especializado, y es conveniente que participen las personas presentes en el lugar de trabajo: los mandos y los trabajadores o sus representantes, que informarán de elementos peligrosos que, por su naturaleza, son difíciles de descubrir. </t>
  </si>
  <si>
    <t xml:space="preserve">Debe ser realizada por personal especializado, que indagará sólo a los trabajadores que tienen más información sobre los elementos peligrosos, y las infracciones en materia de seguridad que tiene la empresa. </t>
  </si>
  <si>
    <t>Todas las respuestas anteriores son incorrectas.</t>
  </si>
  <si>
    <t xml:space="preserve">22 .- Los delegados de prevención: </t>
  </si>
  <si>
    <t xml:space="preserve">Fomentan la observancia de la normativa de prevención. </t>
  </si>
  <si>
    <t xml:space="preserve">Se integran en el comité de seguridad y salud, en las empresas con 50 o más trabajadores. </t>
  </si>
  <si>
    <t xml:space="preserve">Pueden ordenar la paralización de la actividad de la empresa, en caso de riesgo grave e inminente. </t>
  </si>
  <si>
    <t xml:space="preserve">23 .- En cuanto a la valoración del riesgo: </t>
  </si>
  <si>
    <t xml:space="preserve">Consiste en valorar en qué medida se producirá el daño </t>
  </si>
  <si>
    <t xml:space="preserve">Se compone de las siguientes fases: identificación del riesgo, estimación del daño y juicio de tolerancia al riesgo. </t>
  </si>
  <si>
    <t xml:space="preserve">24 .- La empresa puede organizar la actividad preventiva de distintas formas, designando a uno o varios trabajadores para que se ocupen de la actividad preventiva. En este caso: </t>
  </si>
  <si>
    <t xml:space="preserve">El empresario debe dotar a los trabajadores de los medios materiales necesarios. </t>
  </si>
  <si>
    <t xml:space="preserve">La empresa debe dejar a los trabajadores el tiempo necesario para que realicen la actividad preventiva. </t>
  </si>
  <si>
    <t xml:space="preserve">Los trabajadores encargados de la actividad preventiva deben ser prevencionistas de nivel básico, intermedio o superior. </t>
  </si>
  <si>
    <t xml:space="preserve">25 .- En relación con la evaluación de riesgos: </t>
  </si>
  <si>
    <t xml:space="preserve">Debe ser realizada por personal especializado, y no es conveniente que participen las personas presentes en el lugar de trabajo. </t>
  </si>
  <si>
    <t xml:space="preserve">Los trabajadores nunca deben indicar algunos elementos peligrosos que, por su naturaleza, se pudieran considerar difíciles de descubrir. </t>
  </si>
  <si>
    <t xml:space="preserve">Consiste en un análisis sistemático de todos los aspectos de la actividad laboral, teniendo en cuenta la naturaleza de la actividad de la empresa y las características y el número de trabajadores expuestos. </t>
  </si>
  <si>
    <t xml:space="preserve">26 .- Una vez estimado el riesgo, el INSHT propone valorarlo y actuar conforme a la siguiente clasificación: </t>
  </si>
  <si>
    <t>Trivial (T): Se requieren comprobaciones periódicas</t>
  </si>
  <si>
    <t xml:space="preserve">Moderado (M): No debe comenzarse el trabajo hasta que se haya reducido el riesgo. </t>
  </si>
  <si>
    <t xml:space="preserve">Intolerable (IN): No debe comenzar, ni continuar el trabajo hasta que se reduzca el riesgo. </t>
  </si>
  <si>
    <t xml:space="preserve">27 .- El Plan de Prevención de Riesgos Laborales incluirá obligatoriamente incluirá los siguientes elementos: </t>
  </si>
  <si>
    <t xml:space="preserve">La política, los objetivos y las metas que en materia preventiva pretende alcanzar la empresa y los recursos humanos, técnicos, materiales y económicos, con los que cuenta la empresa en materia preventiva. </t>
  </si>
  <si>
    <t>La revisión y actualización periódica del propio Plan, cuyas fechas deberán estar previstas y recogidas por escrito.</t>
  </si>
  <si>
    <t xml:space="preserve">La vigilancia de la salud de los trabajadores. </t>
  </si>
  <si>
    <t xml:space="preserve">Todas las anteriores afirmaciones son correctas </t>
  </si>
  <si>
    <t xml:space="preserve">28 .- ¿Qué tipo de emergencias controlan los Equipos de Segunda Intervención? </t>
  </si>
  <si>
    <t xml:space="preserve">El conato de emergencia </t>
  </si>
  <si>
    <t xml:space="preserve">La emergencia parcial. </t>
  </si>
  <si>
    <t xml:space="preserve">La emergencia total. </t>
  </si>
  <si>
    <t xml:space="preserve">29 .- Indica con qué periodicidad se tiene que revisar el Plan de Autoprotección: </t>
  </si>
  <si>
    <t xml:space="preserve">No superior a cinco años. </t>
  </si>
  <si>
    <t xml:space="preserve">No superior a dos años. </t>
  </si>
  <si>
    <t xml:space="preserve">30 .- Los reconocimientos médicos a los trabajadores serán obligatorios cuando: </t>
  </si>
  <si>
    <t xml:space="preserve">Cuando sea imprescindible para evaluar los efectos de las condiciones de trabajo sobre la salud de los trabajadores. </t>
  </si>
  <si>
    <t xml:space="preserve">Para verificar si el estado de salud del trabajador puede constituir un peligro para sí mismo, para los demás trabajadores o para terceras personas. </t>
  </si>
  <si>
    <t xml:space="preserve">Cuando lo exija una disposición legal para la protección de riesgos específicos y actividades de especial peligrosidad. </t>
  </si>
  <si>
    <t xml:space="preserve">31 .- El Plan de Actuación en Emergencias es un documento incluido en el Plan de Autoprotección, en el que se prevén: </t>
  </si>
  <si>
    <t xml:space="preserve">La organización de la respuesta ante situaciones concretas de emergencia (incendio, inundación, amenaza de bomba, explosión...) </t>
  </si>
  <si>
    <t xml:space="preserve">Las medidas de protección e intervención a adoptar. </t>
  </si>
  <si>
    <t xml:space="preserve">Los procedimientos y secuencia de actuación en cada emergencia </t>
  </si>
  <si>
    <t xml:space="preserve">32 .- Las clases de fuego, según Norma UNE 23.010, son: </t>
  </si>
  <si>
    <t xml:space="preserve">A: De materias sólidas, generalmente de naturaleza orgánica (madera, papel, paja, etc.) donde la combustión forma brasas. </t>
  </si>
  <si>
    <t xml:space="preserve">B: De líquidos inflamables o de sólidos licuables (gasolina, acetona, aceite, pinturas…). </t>
  </si>
  <si>
    <t xml:space="preserve">C: De gases inflamables (butano, propano, gas ciudad, acetileno...). </t>
  </si>
  <si>
    <t xml:space="preserve">33 .- Representan criterios para el desalojo de una zona o edificio en situación de Emergencia: </t>
  </si>
  <si>
    <t xml:space="preserve">Al evacuar un edificio, hay que salir ordenadamente, siguiendo el procedimiento previamente establecido, volviendo hacia atrás periódicamente para recoger a las personas que pudieran haber quedado rezagadas o no hubiesen advertido las señales de alarma. </t>
  </si>
  <si>
    <t xml:space="preserve">Debemos seguir las instrucciones de los responsables de la evacuación. </t>
  </si>
  <si>
    <t xml:space="preserve">Además, durante el desalojo, hay que seguir indicaciones tales como no descolgar el teléfono y, si se está hablando, colgar inmediatamente, utilizar el ascensor, y retirar los vehículos de la zona de aparcamiento por si dificultasen la actuación del Servicio de Bomberos. </t>
  </si>
  <si>
    <t xml:space="preserve">34 .- La Declaración del tipo de emergencia, puede formalizarse como: </t>
  </si>
  <si>
    <t xml:space="preserve">Conato de emergencia: situación que no puede ser neutralizada de inmediato como un conato y obliga al personal presente a solicitar la intervención de los ESI. Puede requerirse una evacuación parcial de los trabajadores. </t>
  </si>
  <si>
    <t xml:space="preserve">Emergencia parcial: afecta a una zona concreta de la empresa y es perfectamente controlable porlos EPI. </t>
  </si>
  <si>
    <t xml:space="preserve">Emergencia general: situación que supera la capacidad de los medios humanos y materiales existentes en la empresa y obliga a solicitar ayuda al exterior. Conlleva una evacuación total. </t>
  </si>
  <si>
    <t xml:space="preserve">35 .- Es responsabilidad de la empresa: </t>
  </si>
  <si>
    <t xml:space="preserve">Organizar la actuación ante una emergencia. </t>
  </si>
  <si>
    <t xml:space="preserve">Encargar la gestión de las emergencias a cualquier trabajador. </t>
  </si>
  <si>
    <t xml:space="preserve">No comunicar su sistema de emergencia a quien no pertenezca a la empresa. </t>
  </si>
  <si>
    <t xml:space="preserve">No tiene ninguna responsabilidad si se produce una emergencia. </t>
  </si>
  <si>
    <t xml:space="preserve">36 .- En el triage se utilizan unas cartulinas con un código internacional de colores, que agrupa a las víctimas en categorías por orden de prioridad: </t>
  </si>
  <si>
    <t xml:space="preserve">Verde: heridos con posibilidad de sobrevivir, que requieren una actuación médica inmediata y necesitan evacuación prioritaria con control médico. </t>
  </si>
  <si>
    <t xml:space="preserve">Amarillo: precisan atención médica con maniobras sencillas de estabilización de las lesiones y tienen que ser evacuadas sin control especial. </t>
  </si>
  <si>
    <t xml:space="preserve">Rojo: pacientes ilesos o leves, que no tienen comprometida ninguna función vital, y se valen por sí mismos. Tras el tratamiento médico, pueden regresar a su domicilio sin necesitar de ingreso hospitalario. </t>
  </si>
  <si>
    <t xml:space="preserve">Todas las afirmaciones anteriores son correctas </t>
  </si>
  <si>
    <t xml:space="preserve">37 .- La reanimación respiratoria se practica a: </t>
  </si>
  <si>
    <t xml:space="preserve">La persona que respira y está consciente. </t>
  </si>
  <si>
    <t xml:space="preserve">Una persona que no respira, inconsciente y con pulso. </t>
  </si>
  <si>
    <t xml:space="preserve">No existe esta técnica. </t>
  </si>
  <si>
    <t xml:space="preserve">38 .- Son elementos básicos del protocolo de actuación ante una emergencia: </t>
  </si>
  <si>
    <t xml:space="preserve">Dar de beber al accidentado si se encuentra inconsciente </t>
  </si>
  <si>
    <t xml:space="preserve">Examinar rápidamente el lugar del accidente y atender a los heridos por orden según su gravedad. </t>
  </si>
  <si>
    <t>Hacer todo lo posible, realizando todas las curas que podría hacer un médico.</t>
  </si>
  <si>
    <t xml:space="preserve">Todas las anteriores son correctas </t>
  </si>
  <si>
    <t xml:space="preserve">39 .- La hemorragia es una salida de sangre fuera del sistema circulatorio, y sabemos que: </t>
  </si>
  <si>
    <t xml:space="preserve">Solo se puede intervenir activamente en hemorragias internas. En las hemorragias externas, lo único que se debe hacer es mantener la temperatura del accidentado, tranquilizarlo, mantenerlo en reposo con las piernas elevadas y evitar actuaciones perjudiciales hasta que llegue la asistencia especializada. </t>
  </si>
  <si>
    <t xml:space="preserve">Para detener la hemorragia interna, se emplea la compresión directa, la compresión arterial o el torniquete, en este orden, utilizando el método siguiente si el anterior no ha tenido éxito. </t>
  </si>
  <si>
    <t xml:space="preserve">Las hemorragias externas hay que ponerlas al descubierto. A continuación, se cubrirá la herida con un apósito, gasa, pañuelo, etc., comprimiendo de forma mantenida durante 5-10 minutos la zona lesionada. Si la hemorragia no se corta o se produce a causa de una fractura abierta, se usarán otros métodos, como presionar la arteria principal que nutre la zona lesionada. </t>
  </si>
  <si>
    <t>Todas las afirmaciones anteriores son correctas.</t>
  </si>
  <si>
    <t xml:space="preserve">40 .- La reanimación cardiopulmonar básica(RCP): </t>
  </si>
  <si>
    <t>Es el conjunto de maniobras encaminadas a suplir las funciones cardiaca y respiratoria de una persona que está en parada cardiorrespiratoria.</t>
  </si>
  <si>
    <t xml:space="preserve">Son dos, fundamentalmente: las compresiones torácicas externas y la maniobra de tracción mandibular. </t>
  </si>
  <si>
    <t xml:space="preserve">Se aplica a una persona consciente que respira normalmente; antes de su aplicación, es importante estar seguro de la presencia de pulso. </t>
  </si>
  <si>
    <t>TEMA 14</t>
  </si>
  <si>
    <t>1 .-En un grupo de trabajo:</t>
  </si>
  <si>
    <t>Siempre están presenten personas con ideas similares.</t>
  </si>
  <si>
    <t>No hay una estructura jerárquica rígida.</t>
  </si>
  <si>
    <t>Cada persona realiza el mismo tipo de tareas de una manera autónoma y personal, respondiendo individualmente de su ejecución.</t>
  </si>
  <si>
    <t>Los conflictos son asumidos y solucionados por el equipo de forma constructiva.</t>
  </si>
  <si>
    <t>2 .-De las siguientes características propias de los grupos, señala la que es necesaria para un equipo de trabajo.</t>
  </si>
  <si>
    <t>Son una suma de personas.</t>
  </si>
  <si>
    <t>Comparten información y tienen objetivos individuales.</t>
  </si>
  <si>
    <t>Sus miembros tienen habilidades independientes pero complementarias.</t>
  </si>
  <si>
    <t>La sinergia es positiva.</t>
  </si>
  <si>
    <t>3 .-Señala cuál de las siguientes afirmaciones es una ventaja del trabajo en equipo:</t>
  </si>
  <si>
    <t>El trabajo es más lento.</t>
  </si>
  <si>
    <t>El equipo puede reducir el trabajo individual.</t>
  </si>
  <si>
    <t>Los trabajadores no comparten información.</t>
  </si>
  <si>
    <t>Se consiguen mejores resultados. </t>
  </si>
  <si>
    <t>4 .-¿Cuál es la fase previa a la madurez en un equipo de trabajo?</t>
  </si>
  <si>
    <t>Conflicto.</t>
  </si>
  <si>
    <t>Normalización.</t>
  </si>
  <si>
    <t>Formación.</t>
  </si>
  <si>
    <t>Desintegración.</t>
  </si>
  <si>
    <t>5 .-Un Rol de equipo coordinador:</t>
  </si>
  <si>
    <t>Organiza, motiva y controla las actividades del equipo, logrando y aclarando las metas comunes en base a un trabajo compartido, solidario e interdependiente.</t>
  </si>
  <si>
    <t>Es redactor, dinámico, trabaja bien bajo presión. Tiene iniciativa y coraje para superar obstáculos.</t>
  </si>
  <si>
    <t>Aporta cualidades y conocimientos específicos.</t>
  </si>
  <si>
    <t>Desarrolla contactos en el exterior útiles para el equipo.</t>
  </si>
  <si>
    <t>6 .-En la técnica 6 sombreros para pensar cada color refleja un estilo de pensamiento diferente. Señala la opción incorrecta:</t>
  </si>
  <si>
    <t>El sombrero negro representa el sombrero más pesimista, trabaja con las desventajas y lo errores.</t>
  </si>
  <si>
    <t>El sombrero amarillo simboliza el optimismo, trabaja con las ventajas.</t>
  </si>
  <si>
    <t>El sombrero azul representa los hechos de forma objetiva, trabaja con datos concretos.</t>
  </si>
  <si>
    <t>El sombrero verde se relaciona con la creatividad, las ideas innovadoras y distintas.</t>
  </si>
  <si>
    <t>7 .-Cuando se dice que el trabajo final se obtiene como fruto de las aportaciones individuales estamos ante:</t>
  </si>
  <si>
    <t>Un equipo de trabajo.</t>
  </si>
  <si>
    <t>Un grupo de trabajo.</t>
  </si>
  <si>
    <t>Trabajo en equipo.</t>
  </si>
  <si>
    <t>Todas las respuestas son correctas, pues son términos sinónimos entre sí.</t>
  </si>
  <si>
    <t>8 .-Una comunicación eficaz en los equipos de trabajo contribuye a:</t>
  </si>
  <si>
    <t>A alcanzar los fines empresariales.</t>
  </si>
  <si>
    <t>Coordinar tareas y actividades.</t>
  </si>
  <si>
    <t>Fomentar la cooperación entre sus componentes.</t>
  </si>
  <si>
    <t>9 .-De las siguientes características, ¿Cuáles se pueden atribuir a los equipos de trabajo?</t>
  </si>
  <si>
    <t>Todos tienen las mismas habilidades.</t>
  </si>
  <si>
    <t>Objetivo común.</t>
  </si>
  <si>
    <t>Muchos integrantes.</t>
  </si>
  <si>
    <t>10 .-La etapa donde se producen conflictos entre los componentes del equipo es la:</t>
  </si>
  <si>
    <t>Tercera etapa.</t>
  </si>
  <si>
    <t>Cuarta etapa.</t>
  </si>
  <si>
    <t>Segunda etapa.</t>
  </si>
  <si>
    <t>Quinta etapa.</t>
  </si>
  <si>
    <t>11 .-¿Cómo se denomina el tipo de escucha que sitúa el mensaje recibido en un contexto determinado?</t>
  </si>
  <si>
    <t>Escuchar con empatía.</t>
  </si>
  <si>
    <t>Escuchar activamente.</t>
  </si>
  <si>
    <t>Escuchar con apertura mental.</t>
  </si>
  <si>
    <t>Escuchar con conocimiento.</t>
  </si>
  <si>
    <t>12 .-Los patrones que Belbin asocia a los posibles comportamientos en el seno del grupo se concentran en tres categorías:</t>
  </si>
  <si>
    <t>Los roles de reacción representan la orientación de las personas hacia el desempeño de tareas.</t>
  </si>
  <si>
    <t>Los roles mentales representan la orientación de las personas hacia el mundo de las ideas.</t>
  </si>
  <si>
    <t>Los roles impulsores representan la orientación de las personas hacia las relaciones con otros.</t>
  </si>
  <si>
    <t>Todas las anteriores son falsas.</t>
  </si>
  <si>
    <t>13 .-Una persona que realiza funciones de organización, motivación y control de las actividades de un equipo, ¿qué rol desempeña?</t>
  </si>
  <si>
    <t>Coordinador.</t>
  </si>
  <si>
    <t>Especialista.</t>
  </si>
  <si>
    <t>Finalizador.</t>
  </si>
  <si>
    <t>Cerebro.</t>
  </si>
  <si>
    <t>14 .-Para una comunicación eficaz en los equipos de trabajo se requiere:</t>
  </si>
  <si>
    <t>Conocer los principios básicos de la comunicación oral, gestual, escrita así como las estrategias para mejorar la comunicación: La escucha activa, la asertividad y el feedback.</t>
  </si>
  <si>
    <t>Ser un gran orador.</t>
  </si>
  <si>
    <t>Solamente ser asertivo.</t>
  </si>
  <si>
    <t>15 .-En relación con el feedback: </t>
  </si>
  <si>
    <t>El feedback implícito es toda información clara y concisa sobre el efecto del mensaje emitido.</t>
  </si>
  <si>
    <t>Entre sus efectos positivos se encuentra el fomento de comportamientos positivos y la corrección de los negativos.</t>
  </si>
  <si>
    <t>Consiste en repetir una y otra vez lo que se quiere, sin enojarse, sin irritarse.</t>
  </si>
  <si>
    <t>Se utiliza al recibir críticas injustas.</t>
  </si>
  <si>
    <t>16 .-La asertividad:</t>
  </si>
  <si>
    <t>Representa una combinación de pasividad y agresividad</t>
  </si>
  <si>
    <t>Implica tolerancia y defensa pacífica frente a los ataques personales</t>
  </si>
  <si>
    <t>Supone otorgar un valor superior a las necesidades de los demás frente a las propias</t>
  </si>
  <si>
    <t>Todas las anteriores con ciertas</t>
  </si>
  <si>
    <t>17 .-Escuchamos activamente cuando:</t>
  </si>
  <si>
    <t>Evitamos opinar sobre todo sin tener información suficiente.</t>
  </si>
  <si>
    <t>Pedimos que nos aclaren lo que no hemos comprendido.</t>
  </si>
  <si>
    <t>Evitamos comparaciones entre los que nos cuentan y nuestra experiencia.</t>
  </si>
  <si>
    <t>18 .-Ana ha sido nombrada jefa del equipo que va a diseñar la campaña de publicidad del nuevo modelo de iPhone. ¿Qué dinámica de grupo es la más conveniente utilizar para recopilar ideas creativas?</t>
  </si>
  <si>
    <t>Role- playing.</t>
  </si>
  <si>
    <t>Grupo nominal.</t>
  </si>
  <si>
    <t>Tormenta de ideas.</t>
  </si>
  <si>
    <t>Seis sombreros para pensar.</t>
  </si>
  <si>
    <t>19 .-Un Role-playing:</t>
  </si>
  <si>
    <t>Es una técnica de trabajo en equipo que agrupa a sus miembros de seis en seis.</t>
  </si>
  <si>
    <t>Es una lluvia de ideas sobre un tema.</t>
  </si>
  <si>
    <t>Es una técnica que pide a los miembros del equipo que simulen una situación imaginaria como si fuera real.</t>
  </si>
  <si>
    <t>No es una técnica de trabajo en equipo.</t>
  </si>
  <si>
    <t>20 .-La Inteligencia Emocional consiste en la capacidad para:</t>
  </si>
  <si>
    <t>Contribuir a la tarea y relacionarnos con otras personas en el trabajo.</t>
  </si>
  <si>
    <t>Relacionarse con uno mismo y los demás, comprendiendo los sentimientos tanto propios como ajenos.</t>
  </si>
  <si>
    <t>Recoger, como emisor, las reacciones de los receptores y modificar el mensaje para responder a los sentimientos de aquellos.</t>
  </si>
  <si>
    <t>Expresar de forma directa, abierta y honesta las propias emociones sin herir los sentimientos de los demás.</t>
  </si>
  <si>
    <t>TEMA 15</t>
  </si>
  <si>
    <t>1 .-El conflicto es:</t>
  </si>
  <si>
    <t>Una situación de confrontación entre posiciones opuestas.</t>
  </si>
  <si>
    <t>Una solución sobre un tema.</t>
  </si>
  <si>
    <t>Una mediación</t>
  </si>
  <si>
    <t>2 .-De las siguientes características señala cuál no es del conflicto:</t>
  </si>
  <si>
    <t>Es inherente a los grupos.</t>
  </si>
  <si>
    <t>Siempre se puede considerar como un obstáculo que impide alcanzar los objetivos.</t>
  </si>
  <si>
    <t>Si se maneja adecuadamente puede obtenerse consecuencias positivas de él.</t>
  </si>
  <si>
    <t>Es inevitable.</t>
  </si>
  <si>
    <t>3 .-Las causas de un conflicto dentro de la empresa pueden ser por:</t>
  </si>
  <si>
    <t>Recursos limitados e insuficientes para desempeñar el trabajo.</t>
  </si>
  <si>
    <t>Objetivos y posiciones diferentes entre departamentos de la organización.</t>
  </si>
  <si>
    <t>Falta de coordinación entre personas o grupos que dependen entre si.</t>
  </si>
  <si>
    <t>4 .-Las consecuencias del conflicto:</t>
  </si>
  <si>
    <t>Son siempre negativas.</t>
  </si>
  <si>
    <t>Pueden ser positivas.</t>
  </si>
  <si>
    <t>Son destructivas.</t>
  </si>
  <si>
    <t>Pueden ser positivas y negativas.</t>
  </si>
  <si>
    <t>5 .-¿En qué fase del conflicto se formulan objetivos, proponen alternativas y soluciones que pueden parar el conflicto?</t>
  </si>
  <si>
    <t>Fase inicial.</t>
  </si>
  <si>
    <t>Fase de toma de conciencia del conflicto.</t>
  </si>
  <si>
    <t>Fase de manejo del conflicto.</t>
  </si>
  <si>
    <t>Fase final.</t>
  </si>
  <si>
    <t>6 .-El conflicto enfoque-enfoque es aquel que se refiere a:</t>
  </si>
  <si>
    <t>Elegir entre dos o más alternativas positivas.</t>
  </si>
  <si>
    <t>Elegir entre dos o más alternativas negativas.</t>
  </si>
  <si>
    <t>Choque entre distintos roles de nuestra vida.</t>
  </si>
  <si>
    <t>Decidir si se hace algo que es positivo y a la vez negativo.</t>
  </si>
  <si>
    <t>7 .-En una situación donde no se está de acuerdo al aplicar una norma que afecta a la relación laboral de varios  trabajadores, se está ante un conflicto:</t>
  </si>
  <si>
    <t>Manifiesto.</t>
  </si>
  <si>
    <t>Interpersonal.</t>
  </si>
  <si>
    <t>Negativo.</t>
  </si>
  <si>
    <t>8 .-¿Cómo se llama el procedimiento de resolución de conflictos donde un tercero neutral, que hace de testigo, ni resuelve ni propone una solución, sino que invita a las partes a hacerlo?</t>
  </si>
  <si>
    <t>Mediación.</t>
  </si>
  <si>
    <t>Arbitraje.</t>
  </si>
  <si>
    <t>Conciliación.</t>
  </si>
  <si>
    <t>Negociación.</t>
  </si>
  <si>
    <t>9 .-¿Qué método en la resolución de conflictos, las partes en conflicto acuerdan someter sus controversias a la decisión de un tercero neutral, que tiene autoridad para exigir el cumplimiento del acuerdo alcanzado?</t>
  </si>
  <si>
    <t>Mediación</t>
  </si>
  <si>
    <t>Justicia.</t>
  </si>
  <si>
    <t>10 .-Para que exista una negociación debe haber:</t>
  </si>
  <si>
    <t>Un equilibrio de fuerzas entre las partes.</t>
  </si>
  <si>
    <t>Un conflicto.</t>
  </si>
  <si>
    <t>Posibilidad de un acuerdo.</t>
  </si>
  <si>
    <t>11 .-La etapa de la negociación en la que se tantea a la otra parte se conoce como:</t>
  </si>
  <si>
    <t>Planificación.</t>
  </si>
  <si>
    <t>Discusión.</t>
  </si>
  <si>
    <t>Toma de contacto.</t>
  </si>
  <si>
    <t>Acercamiento de posturas y cierre.</t>
  </si>
  <si>
    <t>12 .-El límite de ruptura en la negociación es:</t>
  </si>
  <si>
    <t>Zona donde se pueden alcanzar los acuerdos.</t>
  </si>
  <si>
    <t>Objetivo real.</t>
  </si>
  <si>
    <t>Objetivo máximo a alcanzar.</t>
  </si>
  <si>
    <t>Objetivo mínimo a conseguir.</t>
  </si>
  <si>
    <t>13 .-Cuando se utilizan argumentos que refuerzan nuestra posición y apoyan nuestras tesis y que debilitan la fuerza de las contrarias para acercar lo más posible el acuerdo final a nuestra posición, estamos dentro del proceso negociador en la fase:</t>
  </si>
  <si>
    <t>14 .-La estrategia negociadora donde todos ceden a las partes iguales en sus expectativas para llegar a un punto intermedio se denomina:</t>
  </si>
  <si>
    <t>Compromiso.</t>
  </si>
  <si>
    <t>Evasión.</t>
  </si>
  <si>
    <t>Colaboración.</t>
  </si>
  <si>
    <t>Imposición.</t>
  </si>
  <si>
    <t>15 .-Cuando se le dice al oponente que es imposible negociar sobre un tema o punto concreto, utilizando frases como: “me es imposible…”, “muy difícil”… y finalmente se acaba cediendo, haciéndole creer que ha conseguido lo que parecía imposible, estamos ante una táctica:</t>
  </si>
  <si>
    <t>Asalto directo.</t>
  </si>
  <si>
    <t>Guerra psicológica.</t>
  </si>
  <si>
    <t>La puesta en remojo.</t>
  </si>
  <si>
    <t>La pista falsa.</t>
  </si>
  <si>
    <t>PEC-3 FORMACION Y ORIENTACIÓN LABORAL</t>
  </si>
  <si>
    <t>1 .-Son componentes de la Inteligencia Emocional:</t>
  </si>
  <si>
    <t>Autoempatía, autocontrol emocional y habilidades sociales</t>
  </si>
  <si>
    <t>Autocontrol emocional, autoconocimiento emocional y automotivación</t>
  </si>
  <si>
    <t>Simpatía, habilidades sociales e inteligencia</t>
  </si>
  <si>
    <t>Autocontrol emocional, empatía e inteligencia</t>
  </si>
  <si>
    <t>2 .-Son características de los equipos de trabajo eficaces:</t>
  </si>
  <si>
    <t>Comunicación abierta, clara definición de tareas, y amplio número de miembros</t>
  </si>
  <si>
    <t>Misión específica y expresa, objetivos individuales y reducido número de miembros</t>
  </si>
  <si>
    <t>Respeto y confianza mutua entre los componentes, comunidad de objetivos, y misión general</t>
  </si>
  <si>
    <t>Comunidad de objetivos, misión específica y expresa, y reducido número de miembros</t>
  </si>
  <si>
    <t>3 .-La asertividad:</t>
  </si>
  <si>
    <t>4.-Son técnicas de asertividad:</t>
  </si>
  <si>
    <t>El disco rayado, la aserción negativa y el role-playing</t>
  </si>
  <si>
    <t>El banco de niebla, la aserción positiva y la interrogación negativa</t>
  </si>
  <si>
    <t>El Philips 6/6, el banco de niebla y la aserción reflexiva</t>
  </si>
  <si>
    <t>Todas las anteriores respuestas con válidas</t>
  </si>
  <si>
    <t>5 .-La Inteligencia Emocional consiste en la capacidad para:</t>
  </si>
  <si>
    <t>Contribuir a la tarea y relacionarnos con otras personas en el trabajo</t>
  </si>
  <si>
    <t>Relacionarse con uno mismo y los demás, comprendiendo los sentimientos tanto propios como ajenos</t>
  </si>
  <si>
    <t>Recoger, como emisor, las reacciones de los receptores y modificar el mensaje para responder a los sentimientos de aquellos</t>
  </si>
  <si>
    <t>Expresar de forma directa, abierta y honesta las propias emociones sin herir los sentimientos de los demás</t>
  </si>
  <si>
    <t>6 .-Escuchamos activamente cuando:</t>
  </si>
  <si>
    <t>Evitamos opinar sobre todo sin tener información suficiente</t>
  </si>
  <si>
    <t>Pedimos que nos aclaren lo que no hemos comprendido</t>
  </si>
  <si>
    <t>Evitamos comparaciones entre los que nos cuentan y nuestra experiencia</t>
  </si>
  <si>
    <t>7 .-En el marco de los roles de equipo existen distintas categorías:</t>
  </si>
  <si>
    <t>Los roles sociales implican la orientación de las personas hacia el desempeño de tareas</t>
  </si>
  <si>
    <t>Los roles implementadores implican la orientación de las personas hacia el mundo de las ideas</t>
  </si>
  <si>
    <t>El rol monitor evaluador corresponde a un tipo de rol social</t>
  </si>
  <si>
    <t>El rol implementador corresponde a un rol de acción</t>
  </si>
  <si>
    <t>8 .-Entre las características que distinguen a un equipo de un mero grupo de trabajo, encontramos:</t>
  </si>
  <si>
    <t>Sinergia</t>
  </si>
  <si>
    <t>Estructura jerárquica flexible</t>
  </si>
  <si>
    <t>Resolución constructiva de los conflictos</t>
  </si>
  <si>
    <t>9 .-Los patrones que Belbin asocia a los posibles comportamientos en el seno del grupo se concentran en tres categorías:</t>
  </si>
  <si>
    <t>Los roles de reacción representan la orientación de las personas hacia el desempeño de tareas</t>
  </si>
  <si>
    <t>Los roles mentales representan la orientación de las personas hacia el mundo de las ideas</t>
  </si>
  <si>
    <t>Los roles impulsores representan la orientación de las personas hacia las relaciones con otros</t>
  </si>
  <si>
    <t>Todas las anteriores son falsas</t>
  </si>
  <si>
    <t>10 .-El estilo asertivo de comunicación se caracteriza por:</t>
  </si>
  <si>
    <t>La infravaloración de las opiniones y necesidades propias</t>
  </si>
  <si>
    <t>La transgresión de los derechos de otras personas, incluso el desprecio de su opinión</t>
  </si>
  <si>
    <t>La capacidad de expresar la propia opinión respetando a los demás</t>
  </si>
  <si>
    <t>11 .-Entre los roles positivos en el ámbito del equipo encontramos:</t>
  </si>
  <si>
    <t>El rol impulsor, propio de quien actúa con prepotencia</t>
  </si>
  <si>
    <t>El rol implementador, que desarrolla contactos útiles para el equipo con el exterior</t>
  </si>
  <si>
    <t>El rol monitor evaluador, que promueve la toma de decisiones</t>
  </si>
  <si>
    <t>El rol cohesionador, que escucha e impide los enfrentamientos</t>
  </si>
  <si>
    <t>12 .-En la metodología de trabajo en equipo ideada por Meredith Belbin:</t>
  </si>
  <si>
    <t>Se define rol como la manera individual, personal de comportarse, de contribuir a la tarea y de relacionarse con otras personas en el trabajo</t>
  </si>
  <si>
    <t>Conocer el propio rol ayuda a comprender y proyectar nuestra imagen personal lo mejor posible</t>
  </si>
  <si>
    <t>El rol funcional es la habilidad, experiencia y conocimientos del sujeto preciosos para el desarrollo de una función concreta en el equipo</t>
  </si>
  <si>
    <t>13 .-Son fases del desarrollo de los equipos, según Tuckman:</t>
  </si>
  <si>
    <t>Enfrentamientos, regularización y madurez</t>
  </si>
  <si>
    <t>Tormenta, normalización y rendimiento</t>
  </si>
  <si>
    <t>Formación, normativización y madurez</t>
  </si>
  <si>
    <t>Regulación, rendimiento y madurez</t>
  </si>
  <si>
    <t>14 .-Representan técnicas propias de una actitud asertiva:</t>
  </si>
  <si>
    <t>La Técnica del desarme, recurrente para conocer ideas o sentimientos de los demás</t>
  </si>
  <si>
    <t>La Aserción negativa, que consiste en dar y recibir halagos</t>
  </si>
  <si>
    <t>La Interrogación negativa, para que nos expliquen una crítica recibida</t>
  </si>
  <si>
    <t>El Banco de niebla, mediante la cual expresamos, repetidamente, un argumento</t>
  </si>
  <si>
    <t>15 .-En relación con el feedback:</t>
  </si>
  <si>
    <t>El feedback implícito es toda información clara y concisa sobre el efecto del mensaje emitido</t>
  </si>
  <si>
    <t>Entre sus efectos positivos se encuentra el fomento de comportamientos positivos y la corrección de los negativos</t>
  </si>
  <si>
    <t>Consiste en repetir una y otra vez lo que se quiere, sin enojarse, sin irritarse</t>
  </si>
  <si>
    <t>Se utiliza al recibir críticas injustas</t>
  </si>
  <si>
    <t>16 .-En la “Técnica del Grupo nominal”:</t>
  </si>
  <si>
    <t>Se logra un alto grado de consenso</t>
  </si>
  <si>
    <t>Se desarrolla la creatividad y descubren conceptos nuevos</t>
  </si>
  <si>
    <t>Se finaliza con la aportación de cada miembro sobre la resolución del problema</t>
  </si>
  <si>
    <t>17 .-Durante las fases de desarrollo de los equipos, según Tuckman:</t>
  </si>
  <si>
    <t>En la fase de normalización aparecen las diferencias de carácter y personalidad</t>
  </si>
  <si>
    <t>En la fase de tormenta los miembros del equipo dedican toda su atención a la tarea</t>
  </si>
  <si>
    <t>En la fase de formación se organizan reuniones para que los integrantes se conozcan y se fomenta el buen clima</t>
  </si>
  <si>
    <t>18 .-Saber escuchar, en el ámbito del equipo de trabajo, implica:</t>
  </si>
  <si>
    <t>Opinar sobre todo sin tener información suficiente (‘síndrome del experto’)</t>
  </si>
  <si>
    <t>Aconsejar, diagnosticar siempre.</t>
  </si>
  <si>
    <t>Evitar comparaciones entre lo que nos cuentan y nuestra propia experiencia</t>
  </si>
  <si>
    <t>19 .-En relación con las Técnicas de asertividad:</t>
  </si>
  <si>
    <t>“¿Qué te molesta de mí para que no te caiga bien?” representaría un ejemplo de Aserción negativa</t>
  </si>
  <si>
    <t>“Es cierto que visto de una forma extraña, pero…” es una forma de poner en práctica el Disco rayado</t>
  </si>
  <si>
    <t>“Te felicito por tu gran trabajo” constituiría una manifestación de Aserción positiva</t>
  </si>
  <si>
    <t>20 .-El desarrollo de roles personales en el marco de los equipos de trabajo implica que:</t>
  </si>
  <si>
    <t>El Monitor evaluador puede carecer de iniciativa y habilidad para inspirar a otros</t>
  </si>
  <si>
    <t>Al responsable del rol Finalizador se le debe permitir un comportamiento obsesivo</t>
  </si>
  <si>
    <t>El rol Implementador promueve la toma de decisiones y sabe delegar</t>
  </si>
  <si>
    <t>21 .-El brainstorming:</t>
  </si>
  <si>
    <t>Se utiliza para la resolución o análisis de problemas desde distintos puntos de vista</t>
  </si>
  <si>
    <t>Implica una última fase en la que personas distintas de las que han aportado las ideas las valoran y seleccionan las más adecuadas</t>
  </si>
  <si>
    <t>Simula una situación real con el fin de ponerse en lugar de otra persona y trabajar la empatía</t>
  </si>
  <si>
    <t>22 .-La herramienta Philips 6/6 se utiliza fundamentalmente para:</t>
  </si>
  <si>
    <t>Equilibrar el grado de participación entre los miembros del grupo</t>
  </si>
  <si>
    <t>Facilitar la resolución de problemas desde distintos puntos de vista</t>
  </si>
  <si>
    <t>Obtener muchas opiniones en poco tiempo</t>
  </si>
  <si>
    <t>Superar el conformismo y la monotonía</t>
  </si>
  <si>
    <t>23 .-El feedback en el ámbito laboral:</t>
  </si>
  <si>
    <t>De forma explícita se manifiesta a través de señales no verbales</t>
  </si>
  <si>
    <t>Es la capacidad de expresar de manera directa, abierta y honesta los pensamientos</t>
  </si>
  <si>
    <t>Permite modificar el mensaje, si fuera necesario, es decir, en el caso en que se hubiese interpretado incorrectamente el mensaje</t>
  </si>
  <si>
    <t>24 .-En relación con las diferencias entre grupos y equipos de trabajo:</t>
  </si>
  <si>
    <t>Mientras en los equipos la comunicación es pobre, en los grupos funciona la sinergia</t>
  </si>
  <si>
    <t>En relación a los conflictos, en los grupos se asumen y resuelven constructivamente, mientras que los equipos los remiten a la dirección</t>
  </si>
  <si>
    <t>Los grupos mantienen una estructura jerárquica muy rígida, y en los equipos el jefe o líder se apoya en colaboradores específicos</t>
  </si>
  <si>
    <t>Respecto a las relaciones entre los miembros, en los grupos prima la coordinación, mientras en los equipos opera la autonomía</t>
  </si>
  <si>
    <t>25 .-Para que un equipo de trabajo resulte eficaz:</t>
  </si>
  <si>
    <t>Se ha de buscar el lucimiento personal de los integrantes</t>
  </si>
  <si>
    <t>Debe existir una comunicación abierta entre los miembros</t>
  </si>
  <si>
    <t>Los integrantes intercambian los roles entre sí, no deben tener un rol concreto</t>
  </si>
  <si>
    <t>26 .-En relación con los patrones de comportamiento que Belbin identifica dentro de los roles de equipo:</t>
  </si>
  <si>
    <t>El patrón Cerebro y el Monitor evaluador son roles mentales y el Finalizador es rol social</t>
  </si>
  <si>
    <t>Los patrones Coordinador e Investigador de recursos son roles sociales y el Cohesionador rol de acción</t>
  </si>
  <si>
    <t>Los patrones Impulsor y Finalizador son de acción y el Investigador de recursos es rol mental</t>
  </si>
  <si>
    <t>Todas las anteriores son incorrectas</t>
  </si>
  <si>
    <t>27 .-Son consecuencias positivas de un conflicto:</t>
  </si>
  <si>
    <t>Aumenta el interés personal a costa del interés general del grupo y de la organización.</t>
  </si>
  <si>
    <t>Polariza a las personas o a los grupos, reduciendo la cooperación y aumentando la desconfianza mutua.</t>
  </si>
  <si>
    <t>Provoca liberación de emociones, estrés y ansiedad.</t>
  </si>
  <si>
    <t>Gastos jurídicos.</t>
  </si>
  <si>
    <t>28 .-Representan tipos de negociación:</t>
  </si>
  <si>
    <t>Negociación representativa y competitiva</t>
  </si>
  <si>
    <t>Negociación de colaboración y de subordinación</t>
  </si>
  <si>
    <t>Negociación democrática y de colaboración</t>
  </si>
  <si>
    <t>Negociación de superioridad y de suma cero</t>
  </si>
  <si>
    <t>29 .-Constituyen fases en el desarrollo y resolución de un conflicto:</t>
  </si>
  <si>
    <t>Fase de toma de conciencia del conflicto</t>
  </si>
  <si>
    <t>Fase inicial</t>
  </si>
  <si>
    <t>Fase de manejo del conflicto</t>
  </si>
  <si>
    <t>30 .-La etapa de la negociación donde se tantea a la otra parte se conoce como:</t>
  </si>
  <si>
    <t>La toma de contacto.</t>
  </si>
  <si>
    <t>31 .-¿Cómo se llama el procedimiento de resolución de conflictos donde un tercero neutral, que hace de testigo, ni resuelve ni propone una solución, sino que invita a la partes a hacerlo?</t>
  </si>
  <si>
    <t>32 .-Para que exista una negociación debe de haber:</t>
  </si>
  <si>
    <t>Posibilidad de acuerdo.</t>
  </si>
  <si>
    <t>33 .-Representan tipos de conflictos según su origen:</t>
  </si>
  <si>
    <t>Interpersonal, colectivo e individual</t>
  </si>
  <si>
    <t>Intragrupal, colectivo y de roles</t>
  </si>
  <si>
    <t>Intragrupal, intergrupal y de competencia</t>
  </si>
  <si>
    <t>Intragrupal, interorganizativo y positivo</t>
  </si>
  <si>
    <t>34 .-Son tácticas propias para argumentar:</t>
  </si>
  <si>
    <t>Concertación, y asalto directo</t>
  </si>
  <si>
    <t>El compromiso, y asalto directo</t>
  </si>
  <si>
    <t>El bueno y el malo, y el anclaje</t>
  </si>
  <si>
    <t>El compromiso, y nada sin nada</t>
  </si>
  <si>
    <t>35 .-La huelga y el cierre patronal son medios de resolución de conflictos asociados a:</t>
  </si>
  <si>
    <t>Confrontación</t>
  </si>
  <si>
    <t>Manifestación</t>
  </si>
  <si>
    <t>Negociación</t>
  </si>
  <si>
    <t>36 .-En relación al conflicto interpersonal:</t>
  </si>
  <si>
    <t>Sucede en el fuero interno de la persona porque las necesidades del individuo chocan con las de la organización</t>
  </si>
  <si>
    <t>Ocurre dentro de la misma organización por la colisión entre los objetivos que persiguen los distintos grupos y departamentos.</t>
  </si>
  <si>
    <t>Aparece al chocar los distintos papeles que realizamos en nuestra vida</t>
  </si>
  <si>
    <t>Sucede entre dos o más personas cuando perciben en el comportamiento de los demás un obstáculo que se interpone para el logro de sus propios objetivos.</t>
  </si>
  <si>
    <t>37 .-Son tácticas para aplicar en situaciones difíciles:</t>
  </si>
  <si>
    <t>El disco rayado, y el anclaje</t>
  </si>
  <si>
    <t>El bueno y el malo, y la guerra psicológica</t>
  </si>
  <si>
    <t>El señuelo falaz, y la esfinge</t>
  </si>
  <si>
    <t>El anclaje, y el bulldog</t>
  </si>
  <si>
    <t>38 .-Durante la fase de toma de conciencia, el conflicto normalmente se vuelve agresivo y se producen situaciones como:</t>
  </si>
  <si>
    <t>Negación del conflicto</t>
  </si>
  <si>
    <t>Deterioro de la comunicación</t>
  </si>
  <si>
    <t>Establecimiento de posibles puntos de acuerdo</t>
  </si>
  <si>
    <t>39 .-El arbitraje es una forma de resolución de conflictos en la que:</t>
  </si>
  <si>
    <t>Pretende conseguir un acuerdo entre las partes, mediante un tercero que invita a la partes a hacerlo; este tercero sólo actúa como testigo.</t>
  </si>
  <si>
    <t>Interviene un tercero imparcialque no tiene relación con las partes y que es ajeno al conflicto, que no resuelve el conflicto.</t>
  </si>
  <si>
    <t>Las partes en conflicto acuerdan someter sus controversias a la decisión de un tercero neutral, que representa a alguna institución.</t>
  </si>
  <si>
    <t>Proceso por el cual dos o más partes con diferencias de intereses se disponen a dialogar, para resolver el conflicto de manera recíproca.</t>
  </si>
  <si>
    <t>40 .-En relación con las variables que definen el marco de la negociación:</t>
  </si>
  <si>
    <t>La zona de objetivos define los márgenes dentro de los que se espera cerrar el acuerdo. Se sitúa entre el objetivo mínimo y máximo.</t>
  </si>
  <si>
    <t>El límite de ruptura es el objetivo máximo a conseguir en la negociación. No conviene que se sitúe cerca del objetivo real, para poder realizar concesiones</t>
  </si>
  <si>
    <t>El límite de salida es el objetivo mínimo que se tiene que conseguir, porque de no alcanzarlo sería muy perjudicial para los intereses propios. Si se sobrepasa es mejor romper la negociación.</t>
  </si>
  <si>
    <t>En evitar sanciones de la inspección de trabajo</t>
  </si>
  <si>
    <t>En evitar o disminuir los riesgos derivados del trabajo</t>
  </si>
  <si>
    <t>En obligar sólo a los trabajadores a que usen los equipos de protección.</t>
  </si>
  <si>
    <t>2 .- La diferencia entre las medidas de protección colectiva y las medidas de prevención es que:</t>
  </si>
  <si>
    <t>En primer lugar se aplican las de protección colectiva y después, una vez protegido, se aplican de las de prevención.</t>
  </si>
  <si>
    <t>Las de prevención se aplican sobre el foco, y después se aplican las de protección colectiva sobre el trabajador.</t>
  </si>
  <si>
    <t>Las de prevención se aplican sobre el foco, y después se aplican las de protección colectiva sobre el medio de transmisión.</t>
  </si>
  <si>
    <t>3 .- No es una técnica de protección colectiva:</t>
  </si>
  <si>
    <t>Las redes de seguridad.</t>
  </si>
  <si>
    <t>La higiene industrial.</t>
  </si>
  <si>
    <t>Los dispositivos de seguridad</t>
  </si>
  <si>
    <t>La ventilación general.</t>
  </si>
  <si>
    <t>4 .- Según los principios de prevención:</t>
  </si>
  <si>
    <t>Hay que eliminar todos los riesgos que sea posible, sin importar el coste.</t>
  </si>
  <si>
    <t>Una técnica de prevención consiste en sustituir una maquina que emite vibraciones por otra que no lo hace.</t>
  </si>
  <si>
    <t>Una técnica de prevención es la seguridad.</t>
  </si>
  <si>
    <t>5 .- La técnica preventiva que trata de evitar la fatiga de los trabajadores es:</t>
  </si>
  <si>
    <t>La seguridad.</t>
  </si>
  <si>
    <t>La ergonomía.</t>
  </si>
  <si>
    <t>La medicina del trabajo.</t>
  </si>
  <si>
    <t>La psicosociología.</t>
  </si>
  <si>
    <t>6 .- La seguridad en el trabajo es una técnica preventiva que sirve para evitar</t>
  </si>
  <si>
    <t>Enfermedades profesionales</t>
  </si>
  <si>
    <t>Accidentes de trabajo</t>
  </si>
  <si>
    <t>Fatiga mental y física</t>
  </si>
  <si>
    <t>Daños psicológicos</t>
  </si>
  <si>
    <t>7 .- La higiene industrial es una técnica preventiva que sirve para evitar:</t>
  </si>
  <si>
    <t>8 .- La psicosociología es una técnica preventiva que sirve para evitar:</t>
  </si>
  <si>
    <t>9 .-Los riesgos de un equipo de trabajo pueden evitarse:</t>
  </si>
  <si>
    <t>Mediante equipos de protección individual</t>
  </si>
  <si>
    <t>Con una señalización </t>
  </si>
  <si>
    <t>Con una elección adecuada, una utilización segura, un mantenimiento adecuado y una formación e información de los trabajadores sobre los riesgos</t>
  </si>
  <si>
    <t>10 .- La protección es:</t>
  </si>
  <si>
    <t>El conjunto de medidas adoptadas o previstas en todas las fases de la actividad de la empresa dirigidas a evitar la aparición de riesgos laborales.</t>
  </si>
  <si>
    <t>El conjunto de medidas tendentes a eliminar, minimizar o disminuir los daños que sobre los trabajadores podrían ocasionar los diferentes riesgos previstos.</t>
  </si>
  <si>
    <t>Conjunto de técnicas para adaptar el trabajo al trabajador</t>
  </si>
  <si>
    <t>11 .- Los equipos de protección individual:</t>
  </si>
  <si>
    <t>Protegen a varios trabajadores simultáneamente</t>
  </si>
  <si>
    <t>Son equipos destinados a ser llevados o sujetados por el trabajador para que le protejan de uno o varios riesgos</t>
  </si>
  <si>
    <t>Eliminan el riesgo</t>
  </si>
  <si>
    <t>12 .- ¿Cuándo han de utilizarse las medidas de protección individual?</t>
  </si>
  <si>
    <t>El empleado siempre ha de ir equipado con medidas de protección individual</t>
  </si>
  <si>
    <t>Cuando los riesgos no se puedan eliminar o reducir con las medidas colectivas</t>
  </si>
  <si>
    <t>Cuando ha de protegerse a varias personas de forma simultanea</t>
  </si>
  <si>
    <t>13 .- La señalización pretende estimular la actuación del individuo frente a la circunstancia que se quiere señalizar. Esta comprende colores, formas y símbolos. Así, el color rojo significa:</t>
  </si>
  <si>
    <t>Prohibición</t>
  </si>
  <si>
    <t>Zona de peligro</t>
  </si>
  <si>
    <t>Obligación</t>
  </si>
  <si>
    <t>14 .- En señalización, el color azul significa:</t>
  </si>
  <si>
    <t>Señal de salvamento</t>
  </si>
  <si>
    <t>15 .- Para evitar inconvenientes derivados de los problemas que algunas personas tienen para distinguir los colores, estos se complementan con figuras geométricas. Así, la forma triangular significa:</t>
  </si>
  <si>
    <t>Advertencia de peligro</t>
  </si>
  <si>
    <t>Información</t>
  </si>
  <si>
    <t>16 .- Los colores de seguridad:</t>
  </si>
  <si>
    <t>Son el rojo, el blanco, el verde y el azul.</t>
  </si>
  <si>
    <t>Deben ocupar, como mínimo el 50% de la superficie de la señal, en todos los casos.</t>
  </si>
  <si>
    <t>Se combinan con colores de contraste, como el negro y el blanco.</t>
  </si>
  <si>
    <t>17 .- En relación con la Prevención en la empresa:</t>
  </si>
  <si>
    <t>Para que sea eficaz, la prevención debe estar planificada y bien organizada. Por ello, se debe integrar en el proyecto de empresa, como un área más de decisiones a tomar.</t>
  </si>
  <si>
    <t>Primero hay que eliminar o reducir el riesgo en su punto de origen. Si no es posible, se adoptarán medidas en la vía de transmisión del peligro. Y si tampoco es posible, se actuará sobre el trabajador </t>
  </si>
  <si>
    <t>La finalidad de la prevención es evitar que se materialicen los riesgos; para lo que, en primer lugar, hay que detectar todos los riesgos que existen en la empresa, su gravedad y la probabilidad de que se produzcan.</t>
  </si>
  <si>
    <t>18 .- Las siguientes afirmaciones hacen referencia a las medidas de protección: </t>
  </si>
  <si>
    <t>Son medidas que actúan sobre el trabajador y pueden ser individuales o colectivas.</t>
  </si>
  <si>
    <t>Son medidas que intentan eliminar los riesgos y las consecuencias de riesgos de accidente de trabajo.</t>
  </si>
  <si>
    <t>Son medidas que intentan eliminar el riesgo de accidentes de trabajo que pueda sufrir el trabajador.</t>
  </si>
  <si>
    <t>Son medidas que intentan reducir y eliminar los riesgos, actuando sobre el trabajador.</t>
  </si>
  <si>
    <t>19 .- Deben utilizarse como primera medida de prevención de riesgos.</t>
  </si>
  <si>
    <t>Eliminan los riesgos.</t>
  </si>
  <si>
    <t>Una vez definido el EPI más adecuado para combatir el riesgo, el departamento de compras podrá optar por el modelo más económico.</t>
  </si>
  <si>
    <t>20 .- Los empresarios mantienen una serie de obligaciones respecto a los equipos de protección individual:</t>
  </si>
  <si>
    <t>Proporcionar, a precio de coste, los EPI adecuados a los trabajadores.</t>
  </si>
  <si>
    <t>Informar a los trabajadores, previamente al uso de los equipos, de los riesgos frente a los que protegen y de las ocasiones en que deben utilizarse.</t>
  </si>
  <si>
    <t>Colocar el equipo, después de su utilización, en el lugar indicado.</t>
  </si>
  <si>
    <t>1 .-</t>
  </si>
  <si>
    <t>La Formación Profesional del Sistema Educativo:</t>
  </si>
  <si>
    <t xml:space="preserve">Capacita a los alumnos para el desempeño cualificado de una profesión, el acceso al empleo y la participación activa en la vida social, cultural y económica. </t>
  </si>
  <si>
    <t>Su finalidad no es sólo preparar para la actividad en un campo profesional, sino también facilitar a los estudiantes su adaptación a las modificaciones laborales que puedan producirse a lo largo de su vida.</t>
  </si>
  <si>
    <t>Contribuye al desarrollo personal de los alumnos, al ejercicio de una ciudadanía democrática y al aprendizaje a lo largo de toda la vida.</t>
  </si>
  <si>
    <t>2 .-</t>
  </si>
  <si>
    <t>La formación profesional en el sistema educativo comprende:</t>
  </si>
  <si>
    <t>Los Ciclos de Formación Profesional Básica.</t>
  </si>
  <si>
    <t>Los Ciclos Formativos de Grado Medio.</t>
  </si>
  <si>
    <t>Los Ciclos Formativos de Grado Superior.</t>
  </si>
  <si>
    <t>3 .-</t>
  </si>
  <si>
    <t>En relación a la nomenclatura propia de la Formación Profesional:</t>
  </si>
  <si>
    <t>Un Módulo es un conjunto de estudios relativos a un desempeño profesional que proporcionan un Título de Formación Profesional.</t>
  </si>
  <si>
    <t>Un Ciclo Formativo es una de las materias o asignaturas que se cursan en los Módulos de FP.</t>
  </si>
  <si>
    <t>Un Módulo es cada una de las ‘asignaturas’ de un Ciclo Formativo.</t>
  </si>
  <si>
    <t>4 .-</t>
  </si>
  <si>
    <t>El módulo profesional de proyecto:</t>
  </si>
  <si>
    <t>Es exclusivo y común a todos los CF de Grado Superior.</t>
  </si>
  <si>
    <t>Es común a todos los Ciclos Formativos.</t>
  </si>
  <si>
    <t>Se evalúa mientras se está cursando la FCT (formación en centros de trabajo)</t>
  </si>
  <si>
    <t>Se realiza durante el primer curso del Ciclo Formativo.</t>
  </si>
  <si>
    <t>5 .-</t>
  </si>
  <si>
    <t>Son módulos comunes a todos los Ciclos Formativos:</t>
  </si>
  <si>
    <t>Formación en Centros de Trabajo, Leonardo y Erasmus.</t>
  </si>
  <si>
    <t>Formación y Orientación Laboral, y Empresa e Iniciativa Emprendedora.</t>
  </si>
  <si>
    <t>Primeros Auxilios y el Módulo Profesional de Proyecto.</t>
  </si>
  <si>
    <t>Formación y Orientación Laboral, y Relaciones en el Equipo de Trabajo.</t>
  </si>
  <si>
    <t>6 .-</t>
  </si>
  <si>
    <t>El catálogo nacional de cualificaciones profesionales:</t>
  </si>
  <si>
    <t xml:space="preserve">Es el instrumento del Sistema Nacional de las Cualificaciones y Formación Profesional constituido por las cualificaciones identificadas en el sistema productivo en función de las competencias apropiadas para el ejercicio profesional y por la formación asociada a las mismas. </t>
  </si>
  <si>
    <t xml:space="preserve">Es el conjunto de instrumentos y acciones necesarios para promover y desarrollar la integración de las ofertas de la formación profesional, de forma que se favorezca el desarrollo profesional y social de las personas y se cubran las necesidades del sistema productivo. </t>
  </si>
  <si>
    <t>El organismo técnico encargado proporcionar información sobre las profesiones que demanda el mercado de trabajo</t>
  </si>
  <si>
    <t>7 .-</t>
  </si>
  <si>
    <t>En relación con el Catálogo Nacional de las Cualificaciones Profesionales:</t>
  </si>
  <si>
    <t>Los conceptos claves son cualificación profesional, competencia profesional y unidad de competencia</t>
  </si>
  <si>
    <t>Está integrado por 36 familias profesionales.</t>
  </si>
  <si>
    <t>Cada uno de los módulos que integran los Ciclos Formativos están asociados a una unidad de competencia.</t>
  </si>
  <si>
    <t>8 .-</t>
  </si>
  <si>
    <t>El conjunto de competencias profesionales que se requieren para ejercer un empleo y que pueden ser adquiridas mediante el estudio y a través de la experiencia laboral es:</t>
  </si>
  <si>
    <t>Cualificación profesional.</t>
  </si>
  <si>
    <t>Unidad de competencia.</t>
  </si>
  <si>
    <t>Competencia profesional.</t>
  </si>
  <si>
    <t>Módulo formativo.</t>
  </si>
  <si>
    <t>9 .-</t>
  </si>
  <si>
    <t>El conjunto de conocimientos y capacidades que permiten el ejercicio de una actividad profesional se denomina:</t>
  </si>
  <si>
    <t>10 .-</t>
  </si>
  <si>
    <t>El nivel de cualificación 3 atendiendo al grado de conocimientos, iniciativa, autonomía, responsabilidad y complejidad de la actividad a desarrollar se corresponde con las enseñanzas de:</t>
  </si>
  <si>
    <t>Título de Técnico.</t>
  </si>
  <si>
    <t>Título de Técnico Superior.</t>
  </si>
  <si>
    <t>Grado Universitario.</t>
  </si>
  <si>
    <t>Posgrado Universitario.</t>
  </si>
  <si>
    <t>11 .-</t>
  </si>
  <si>
    <t>En relación con la Formación Profesional para el Empleo:</t>
  </si>
  <si>
    <t>Su objetivo es impulsar y extender entre las empresas y los trabajadores (ocupados y desempleados) una formación que responda a sus necesidades y contribuya al desarrollo de una economía basada en el conocimiento.</t>
  </si>
  <si>
    <t>Integra lo que antes se denominaba Formación Continua y Formación Ocupacional.</t>
  </si>
  <si>
    <t>Está conectada con la FP educativa por medio del Catálogo Nacional de Cualificaciones Profesionales.</t>
  </si>
  <si>
    <t>12 .-</t>
  </si>
  <si>
    <t>Las opciones profesionales básicas de un titulado de FP educativa:</t>
  </si>
  <si>
    <t>Consisten básicamente en seguir formándose o comenzar a trabajar</t>
  </si>
  <si>
    <t>Si la opción elegida es trabajar, las alternativas son hacerlo por cuenta ajena, por cuenta propia, o al servicio de la Administración Pública</t>
  </si>
  <si>
    <t>En caso de querer trabajar al servicio de la Administración, las vías de acceso son la oposición, el concurso, y el concurso-oposición.</t>
  </si>
  <si>
    <t>13 .-</t>
  </si>
  <si>
    <t>Un trabajador autónomo es:</t>
  </si>
  <si>
    <t>Una persona física que realiza una actividad económica o profesional a título lucrativo, de forma habitual, directa, por cuenta propia y fuera del ámbito de dirección y organización de otra persona.</t>
  </si>
  <si>
    <t>Aquel que trabaja de forma habitual, personal, directa y predominante para un cliente, del que depende económicamente por percibir de él, al menos, el 75% de sus ingresos.</t>
  </si>
  <si>
    <t>Un trabajador que goza de la autonomía suficiente para desempeñar sus funciones sin la supervisión de un superior directo.</t>
  </si>
  <si>
    <t>Todas las anteriores son incorrectas.</t>
  </si>
  <si>
    <t>14 .-</t>
  </si>
  <si>
    <t xml:space="preserve">Señala la respuesta correcta: </t>
  </si>
  <si>
    <t>Un Técnico Superior en FP puede acceder a un puesto de trabajo en la Administración del Grupo A.</t>
  </si>
  <si>
    <t>Un Técnico de FP puede acceder a un puesto de trabajo en la Administración del Grupo C2.</t>
  </si>
  <si>
    <t>Un Técnico Superior en FP puede acceder a un puesto de trabajo en la Administración del Grupo B.</t>
  </si>
  <si>
    <t>Un  Técnico de FP puede acceder a un puesto de trabajo en la Administración del Grupo B.</t>
  </si>
  <si>
    <t>15 .-</t>
  </si>
  <si>
    <t>Un alumno que ha finalizado un CF de Grado Superior, puede:</t>
  </si>
  <si>
    <t>Acceder directamente a la Universidad, sin prueba de acceso.</t>
  </si>
  <si>
    <t>Acceder a cualquier carrera universitaria.</t>
  </si>
  <si>
    <t>Acceder a la Universidad, pasando la misma prueba de acceso que un alumno que ha finalizado Bachillerato.</t>
  </si>
  <si>
    <t>16 .-</t>
  </si>
  <si>
    <t>La nota mínima o nota de corte:</t>
  </si>
  <si>
    <t>Es la nota de admisión de la última persona aceptada en una carrera universitaria concreta, es decir la nota más baja de todos los admitidos.</t>
  </si>
  <si>
    <t>Es propia de cada universidad y de cada título universitario.</t>
  </si>
  <si>
    <t>Puede variar de un año a otro.</t>
  </si>
  <si>
    <t>17 .-</t>
  </si>
  <si>
    <t>Los cursos de la FP para el empleo relacionados con el CNCP pueden dar lugar a la obtención de:</t>
  </si>
  <si>
    <t>Títulos de profesionalidad.</t>
  </si>
  <si>
    <t>Títulos.</t>
  </si>
  <si>
    <t>Certificados de profesionalidad.</t>
  </si>
  <si>
    <t>Certificados de trabajo.</t>
  </si>
  <si>
    <t>18 .-</t>
  </si>
  <si>
    <t>En cuanto a la Formación Profesional para el Empleo, la formación en alternancia con el empleo:</t>
  </si>
  <si>
    <t>Abarca las acciones formativas que planifican y gestionan las empresas para sus trabajadores y los permisos individuales de formación, financiados total o parcialmente con fondos públicos.</t>
  </si>
  <si>
    <t>Es aquella que permite a los trabajadores compatibilizar la formación con la práctica profesional en un puesto de trabajo.</t>
  </si>
  <si>
    <t>Comprende los planes de formación elaborados por los Servicios Públicos de Empleo y dirigidos a trabajadores ocupados y desempleados.</t>
  </si>
  <si>
    <t>19 .-</t>
  </si>
  <si>
    <t>En cuanto a la Formación Profesional para el Empleo, la formación de oferta:</t>
  </si>
  <si>
    <t>Aarca las acciones formativas que planifican y gestionan las empresas para sus trabajadores y los permisos individuales de formación, financiados total o parcialmente con fondos públicos.</t>
  </si>
  <si>
    <t>20 .-</t>
  </si>
  <si>
    <t>En cuanto a la Formación Profesional para el Empleo, la formación de demanda:</t>
  </si>
  <si>
    <t>TEMA 16</t>
  </si>
  <si>
    <t>Constituyen fases del proceso de toma de decisiones en el ámbito de la carrera profesional:</t>
  </si>
  <si>
    <t>La evaluación de los resultados de la opción elegida.</t>
  </si>
  <si>
    <t>La identificación de las vías para alcanzar la meta planteada.</t>
  </si>
  <si>
    <t>La recopilación de toda la información posible en relación a las vías posibles para alcanzar el objetivo.</t>
  </si>
  <si>
    <t>Cuando evaluamos nuestras opciones profesionales:</t>
  </si>
  <si>
    <t>Resulta trascendente determinar qué ocupaciones estamos dispuestos a aceptar y rechazar, y las razones para ello.</t>
  </si>
  <si>
    <t>Habremos de asumir que aunque, por razones económicas, tengamos que aceptar trabajos ‘indeseados’, esto no limita la capacidad para buscar nuestro trabajo ideal.</t>
  </si>
  <si>
    <t>Debemos tener claro qué capacidades, aptitudes y actitudes requieren las ocupaciones profesionales que nos interesan.</t>
  </si>
  <si>
    <t>Nuestro autoconocimiento para la planificación de la carrera profesional supone, fundamentalmente:</t>
  </si>
  <si>
    <t>Analizar el entorno socio-laboral en el que nos desenvolvemos.</t>
  </si>
  <si>
    <t>Analizar el potencial profesional, intereses personales, fortalezas y debilidades propias.</t>
  </si>
  <si>
    <t>Analizar nuestro expediente académico y conocer nuestras carencias intelectuales.</t>
  </si>
  <si>
    <t>Forma parte del proceso de planificación de la carrera profesional:</t>
  </si>
  <si>
    <t>El autoconocimiento.</t>
  </si>
  <si>
    <t>El análisis de las ocupaciones profesionales.</t>
  </si>
  <si>
    <t>Diseño de un plan de acción.</t>
  </si>
  <si>
    <t>El objetivo profesional:</t>
  </si>
  <si>
    <t>Es la meta laboral a la que se quiere llegar</t>
  </si>
  <si>
    <t>Es la ocupación ideal de cada persona</t>
  </si>
  <si>
    <t>Debe ser definido antes de elaborar el plan de acción estratégico para alcanzarlo</t>
  </si>
  <si>
    <t>Todas las anteriores son válidas</t>
  </si>
  <si>
    <t>La elección de un objetivo profesional:</t>
  </si>
  <si>
    <t>Es invariable, para toda la vida, por lo que hay que seleccionarlo tras un complejo proceso de toma de decisiones.</t>
  </si>
  <si>
    <t>Debe considerarse una inversión, que aumentará la eficacia de nuestros pasos en el mercado laboral</t>
  </si>
  <si>
    <t>Resulta incompatible con el desempeño de ocupaciones que no estén relacionadas con él</t>
  </si>
  <si>
    <t>En los puestos de trabajo, se exigen conocimientos y habilidades sociales, como saber trabajar en equipo y motivar al personal.</t>
  </si>
  <si>
    <t>La toma de decisiones es un proceso de selección, entre distintas alternativas, a partir de un análisis racional de los datos disponibles.</t>
  </si>
  <si>
    <t>La última etapa en el proceso de toma de decisiones es evaluar las consecuencias de la decisión tomada, para saber si fue una opción acertada y en qué grado.</t>
  </si>
  <si>
    <t>La planificación de la carrera profesional empieza en el instituto.</t>
  </si>
  <si>
    <t>Las empresas rechazan candidatos obsoletos.</t>
  </si>
  <si>
    <t>El conocimiento de idiomas es un valor añadido.</t>
  </si>
  <si>
    <t>Forman parte de las capacidades y aptitudes sociales que debemos analizar para nuestro conocimiento personal y profesional:</t>
  </si>
  <si>
    <t>Empatía y Concentración</t>
  </si>
  <si>
    <t>Coordinación y equilibrio, e Improvisación e intuición</t>
  </si>
  <si>
    <t>Empatía y Trabajo en equipo</t>
  </si>
  <si>
    <t>Responsabilidad y Análisis</t>
  </si>
  <si>
    <t>Forman parte de las capacidades y aptitudes intelectuales que debemos analizar para nuestro conocimiento personal y profesional:</t>
  </si>
  <si>
    <t>Coordinación y equilibrio, y Expresión escrita</t>
  </si>
  <si>
    <t>Empatía y Cálculo numérico</t>
  </si>
  <si>
    <t>Expresión oral y Análisis</t>
  </si>
  <si>
    <t>Forman parte de las actitudes propias que debemos analizar para nuestro conocimiento personal y profesional:</t>
  </si>
  <si>
    <t>Coordinación y equilibrio, y Responsabilidad</t>
  </si>
  <si>
    <t>Sentido crítico y autocrítico, y Capacidad de adaptación</t>
  </si>
  <si>
    <t>Entre las habilidades en el entorno de trabajo que, en la actualidad, se exigen en la mayoría de las profesiones, se encuentran:</t>
  </si>
  <si>
    <t>Las capacidades de liderazgo y de motivación y conducción de equipos</t>
  </si>
  <si>
    <t>Las capacidades de trabajo en equipo y de imposición de autoridad</t>
  </si>
  <si>
    <t>Las capacidades de comunicación y de aceptar decisiones sin cuestionarlas</t>
  </si>
  <si>
    <t>El proceso de planificación de una carrera conlleva el análisis de:</t>
  </si>
  <si>
    <t>El potencial profesional, los intereses personales, las fortalezas y las debilidades propias.</t>
  </si>
  <si>
    <t>Los itinerarios formativo–profesionales que se pueden elegir y un estudio de las capacidades, aptitudes y actitudes que requieren las ocupaciones de nuestro interés.</t>
  </si>
  <si>
    <t>El objetivo profesional y nuestro posible proyecto profesional.</t>
  </si>
  <si>
    <t>En relación a los cambios profesionales, podemos afirmar que:</t>
  </si>
  <si>
    <t>La exposición prolongada a un mismo tipo de actividad, produce tedio y agotamiento.</t>
  </si>
  <si>
    <t>La sensación de estancamiento profesional permite que el trabajador se encuentre seguro, creativo e independiente en su puesto de trabajo.</t>
  </si>
  <si>
    <t>En un futuro, los cambios profesionales serán cada vez menores.</t>
  </si>
  <si>
    <t>Todas las anteriores son inciertas.</t>
  </si>
  <si>
    <t>Los trabajadores, en general, deben experimentar varios procesos de reciclaje durante su vida laboral, como consecuencia de:</t>
  </si>
  <si>
    <t>La creciente necesidad de formación continua como consecuencia del rápido desarrollo de las técnicas de organización y desempeño del trabajo.</t>
  </si>
  <si>
    <t>El vertiginoso avance y desarrollo de las nuevas tecnologías aplicadas a las herramientas e instrumentos de trabajo.</t>
  </si>
  <si>
    <t>El mercado laboral exige que los trabajadores mantengan una presencia física adecuada al puesto de trabajo que desempeñan.</t>
  </si>
  <si>
    <t>La idea de cambio permanente, en nuestros días, y en relación a la carrera profesional:</t>
  </si>
  <si>
    <t>Representa prácticamente una nueva forma de vida, imposible de asumir e integrar en el devenir de la vida.</t>
  </si>
  <si>
    <t>Se está convirtiendo en una idea en decadencia, ya que el cambio profesional constituye un episodio cada vez más excepcional.</t>
  </si>
  <si>
    <t>Supone una adaptación a la nueva realidad de los mercados laborales.</t>
  </si>
  <si>
    <t>Los cambios profesionales:</t>
  </si>
  <si>
    <t>Nunca están motivados por factores psicológicos, siempre por factores socio-económicos</t>
  </si>
  <si>
    <t>A veces están propiciados por los cambios tecnológicos, por la globalización y por las deslocalizaciones productivas</t>
  </si>
  <si>
    <t>Son bastante raros en la actualidad, pues los trabajadores suelen presentar un comportamiento bastante conservador en relación con la carrera profesional</t>
  </si>
  <si>
    <t>Todas las anteriores respuestas son inciertas.</t>
  </si>
  <si>
    <t>Cambiar muchas veces de puesto de trabajo es un signo de inmadurez y de no saber qué se quiere.</t>
  </si>
  <si>
    <t>La carrera profesional es un proceso, mediante el cual, una persona establece su objetivo profesional y un plan de acción para llegar hasta él, después de analizar sus intereses, capacidades y aptitudes, en función de las ocupaciones de su sector laboral.</t>
  </si>
  <si>
    <t>El objetivo profesional se mantiene a lo largo del tiempo.</t>
  </si>
  <si>
    <t>En las últimas décadas, la carrera profesional ha evolucionado porque:</t>
  </si>
  <si>
    <t>Hasta hace unos años, lo habitual es que una persona se jubilara en la empresa en que comenzó a trabajar.</t>
  </si>
  <si>
    <t>Actualmente lo normal es que, a lo largo de la vida laboral, se trabaje en varias empresas.</t>
  </si>
  <si>
    <t>La posibilidad de permanecer en el mercado laboral pasa hoy por el continuo reciclaje formativo</t>
  </si>
  <si>
    <t>TEMA 17</t>
  </si>
  <si>
    <t>PREGUNTA</t>
  </si>
  <si>
    <t>NULA</t>
  </si>
  <si>
    <t>Son fuentes comunes de búsqueda de empleo:</t>
  </si>
  <si>
    <t>Prensa, radio y televisión</t>
  </si>
  <si>
    <t>Internet</t>
  </si>
  <si>
    <t>Agencias de colocación y Empresas de trabajo temporal</t>
  </si>
  <si>
    <t>Las agencias de colocación son:</t>
  </si>
  <si>
    <t>Empresas, con ánimo de lucro, que se dedican a seleccionar personal para otras empresas.</t>
  </si>
  <si>
    <t>Entidades sin ánimo de lucro que realizan acciones de orientación laboral, normalmente en colaboración con los Ayuntamientos o Comunidades Autónomas y de forma gratuita.</t>
  </si>
  <si>
    <t>Entidades sin ánimo de lucro, que cobran a demandantes y oferentes de empleo, solo por los gastos ocasionados al ponerlos en contacto (son simples intermediarios en el mercado laboral).</t>
  </si>
  <si>
    <t>Empresas que contratan a trabajadores para cederlos a otra empresa (denominada usuaria), para la cual trabajarán durante un tiempo determinado.</t>
  </si>
  <si>
    <t>Las empresas buscan candidatos competentes, responsables y motivados exclusivamente por el dinero.</t>
  </si>
  <si>
    <t>Las empresas rechazan a candidatos conflictivos, indisciplinados y arrogantes.</t>
  </si>
  <si>
    <t>En la entrevista de selección hay que dar respuestas cortas y sucintas, un sí o un no, basta en la mayoría de las ocasiones.</t>
  </si>
  <si>
    <t>Son tipos diferentes de curriculum vitae:</t>
  </si>
  <si>
    <t>Cronológico</t>
  </si>
  <si>
    <t>Inverso</t>
  </si>
  <si>
    <t>Funcional o Temático</t>
  </si>
  <si>
    <t>Todas son correctas</t>
  </si>
  <si>
    <t>La carta de presentación cuenta en su estructura, entre otras, con las siguientes partes:</t>
  </si>
  <si>
    <t>Saludo inicial y reclamación</t>
  </si>
  <si>
    <t>Presentación, despedida y firma</t>
  </si>
  <si>
    <t>Formación complementaria y despedida</t>
  </si>
  <si>
    <t>Las consultoras de selección de personal son:</t>
  </si>
  <si>
    <t>Las Empresas de Trabajo Temporal son:</t>
  </si>
  <si>
    <t>Son tipos de entrevistas de trabajo:</t>
  </si>
  <si>
    <t>Estandarizadas</t>
  </si>
  <si>
    <t>Libres</t>
  </si>
  <si>
    <t>Mixtas</t>
  </si>
  <si>
    <t>Son consejos adecuados para acudir a una entrevista de trabajo:</t>
  </si>
  <si>
    <t>Acudir bien aseado y peinado.</t>
  </si>
  <si>
    <t>Vestir con corrección y comodidad (para no añadir un motivo más de nerviosismo a la entrevista).</t>
  </si>
  <si>
    <t>No es aconsejable llevar insignias deportivas, políticas, etc…</t>
  </si>
  <si>
    <t>Todos los anteriores son consejos adecuados</t>
  </si>
  <si>
    <t>En los test psicotécnicos, se recomienda no dedicar demasiado tiempo a una pregunta que nos resulta especialmente difícil.</t>
  </si>
  <si>
    <t>Los test de inteligencia son pruebas, cuya intención es medir la capacidad intelectual de una persona.</t>
  </si>
  <si>
    <t>Las pruebas de inteligencia se interpretan en combinación con los resultados de los demás test.</t>
  </si>
  <si>
    <t>En cuanto al curriculum vitae:</t>
  </si>
  <si>
    <t>Es un documento en el que se recogen, de forma resumida y ordenada, los datos personales, la formación, experiencia y cuantos conocimientos o aptitudes puedan interesar a la persona encargada de la selección de personal</t>
  </si>
  <si>
    <t>Es muy importante que su forma y contenidos sean correctos porque es la primera imagen que recibe la empresa del candidato y un primer elemento de selección</t>
  </si>
  <si>
    <t>Su redacción ha de resultar breve, pero no telegráfica</t>
  </si>
  <si>
    <t>En las dinámicas de grupo:</t>
  </si>
  <si>
    <t>Se ponen al descubierto rasgos de la persona cuando entra en contacto con otras, algo que no permite ninguna otra técnica de selección.</t>
  </si>
  <si>
    <t>Se plantea una situación, generalmente problemática, que puede estar relacionada o no con el puesto de trabajo vacante.</t>
  </si>
  <si>
    <t>La finalidad es observar cómo los candidatos interactúan, debaten, escuchan a los demás y cómo llegan a tomar una decisión en torno al problema.</t>
  </si>
  <si>
    <t>Las facultades preferidas por las empresas cuando contratan personal son, entre otras:</t>
  </si>
  <si>
    <t>Competente, responsable y flexible</t>
  </si>
  <si>
    <t>Servicial, disciplinado y flexible</t>
  </si>
  <si>
    <t>Autónomo, comunicativo y responsable</t>
  </si>
  <si>
    <t>En la elaboración del curriculum vitae se ha de tener en cuenta:</t>
  </si>
  <si>
    <t>Es conveniente redactar un CV para cada puesto de trabajo; sobre la base de un modelo general, puedes introducir pequeños cambios.</t>
  </si>
  <si>
    <t>Debe escribirse en tono impersonal, evita utilizar la primera persona (yo) y la tercera (él) para referirte a ti mismo.</t>
  </si>
  <si>
    <t>El CV debe atraer la atención por su presentación (limpieza, orden, claridad y estructura) y por su contenido.</t>
  </si>
  <si>
    <t>Las pruebas profesionales:</t>
  </si>
  <si>
    <t>Son pruebas de carácter predictivo cuya intención es medir la capacidad intelectual de una persona, a través de la resolución de problemas o situaciones.</t>
  </si>
  <si>
    <t>Se utilizan para la selección de personal que realizará trabajos de oficina, como clasificar, ordenar, revisar, etc.</t>
  </si>
  <si>
    <t>Reproducen situaciones reales de trabajo para comprobar cómo se desenvuelve el candidato y el dominio que posee de los contenidos y las técnicas de su futuro trabajo.</t>
  </si>
  <si>
    <t>Los test psicotécnicos pueden presentarse:</t>
  </si>
  <si>
    <t>En batería: se hace pasar al candidato por varios test. Cada uno de ellos, mide una determinada aptitud; el tiempo se controla de forma individual para cada prueba.</t>
  </si>
  <si>
    <t>En batería: se pasa un solo test al candidato, que contiene preguntas referentes a todo tipo de aptitudes (verbales, numéricas, espaciales, etc.) y el tiempo es único para toda la prueba.</t>
  </si>
  <si>
    <t>En ómnibus: se hace pasar al candidato por varios test. Cada uno de ellos, mide una determinada aptitud; el tiempo se controla de forma individual para cada prueba.</t>
  </si>
  <si>
    <t>Todas las anteriores son inciertas</t>
  </si>
  <si>
    <t>En relación con la carta de presentación:</t>
  </si>
  <si>
    <t>Debe acompañar siempre al curriculum vitae</t>
  </si>
  <si>
    <t>Responde a una oferta de empleo concreta</t>
  </si>
  <si>
    <t>Se envía como presentación de una candidatura espontánea o autocandidatura</t>
  </si>
  <si>
    <t>En relación a Europass:</t>
  </si>
  <si>
    <t>Es una red de cooperación entre la Comisión Europea y los servicios públicos de empleo de los Estados miembros del Espacio Económico Europeo</t>
  </si>
  <si>
    <t>Es un conjunto de cinco documentos que ayuda a comunicar de manera sencilla y comprensible en toda Europa, las capacidades y cualificaciones profesionales, las titulaciones y las certificaciones adquiridas a lo largo de la vida.</t>
  </si>
  <si>
    <t>Es una agencia europea para facilitar la contratación laboral de ciudadanos comunitarios en otros países de la Unión.</t>
  </si>
  <si>
    <t>El Pasaporte de las Lenguas Europeas:</t>
  </si>
  <si>
    <t>Es un documento que presenta los conocimientos lingüísticos del candidato, se hayan adquirido o no en el marco de la enseñanza formal, por lo que no es un «documento acreditativo oficial»</t>
  </si>
  <si>
    <t>Es un documento que acredita el nivel de idiomas de un trabajador de la Unión y que le permite presentarse a oposiciones para ser funcionario en cualquier país europeo.</t>
  </si>
  <si>
    <t>Es un documento que permite la libre circulación de trabajadores en el marco de la Unión Europea, sin que las diferencias de lenguas representen fronteras entre los países miembros.</t>
  </si>
  <si>
    <t>Es un documento que presenta los conocimientos técnicos del candidato, que le permite desempeñar un puesto de trabajo en cualquier país de la Unión.</t>
  </si>
  <si>
    <t>Registra un periodo de formación o de prácticas realizado por el titular en un país europeo, especificando las capacidades y competencias adquiridas.</t>
  </si>
  <si>
    <t>Acredita la capacidad psicomotriz del trabajador para trabajar en cualquier país de la Unión, en los sectores profesionales en los que se exigen especiales habilidades físicas y/o motoras.</t>
  </si>
  <si>
    <t>El certificado de movilidad europea</t>
  </si>
  <si>
    <t>TEMA 18</t>
  </si>
  <si>
    <t>Capacita a los alumnos para el desempeño cualificado de una profesión, el acceso al empleo y la participación activa en la vida social, cultural y económica.</t>
  </si>
  <si>
    <t>La FP para el empleo incluye:</t>
  </si>
  <si>
    <t>La formación de oferta, que abarca las acciones formativas que planifican y gestionan las empresas para sus trabajadores y los permisos individuales de formación.</t>
  </si>
  <si>
    <t>La formación de demanda, que comprende los planes de formación elaborados por los Servicios Públicos de Empleo y dirigidos a trabajadores ocupados y desempleados.</t>
  </si>
  <si>
    <t>Los Programas de Cualificación Profesional Inicial.</t>
  </si>
  <si>
    <t>El Catálogo Nacional de las Cualificaciones Profesionales:</t>
  </si>
  <si>
    <t>Se crea con el fin de evitar que los estudios de formación profesional queden obsoletos y dejen de responder a las necesidades cambiantes del mercado laboral</t>
  </si>
  <si>
    <t>Está constituido por las cualificaciones profesionales que demanda el sistema productivo</t>
  </si>
  <si>
    <t>Integra una serie de Cualificaciones Profesionales que se ordenan por Niveles de cualificación</t>
  </si>
  <si>
    <t>Los niveles de cualificación que dispone el Catálogo Nacional de Cualificaciones Profesionales:</t>
  </si>
  <si>
    <t>El más básico es el de Cualificación Profesional Inicial, y el superior es el Grado Universitario.</t>
  </si>
  <si>
    <t>Los niveles 2 y 3 corresponden a los títulos de FP de Técnico, y Técnico Superior, respectivamente.</t>
  </si>
  <si>
    <t>Son cinco, y el nivel inferior es el de Técnico de Grado Medio.</t>
  </si>
  <si>
    <t>Es propia de cada universidad y de cada título universitario</t>
  </si>
  <si>
    <t>Son módulos comunes a todos los Ciclos Formativos de Grado Superior:</t>
  </si>
  <si>
    <t>Formación y Orientación Laboral, y Módulo profesional de proyecto.</t>
  </si>
  <si>
    <t>Entendemos por ‘unidad de competencia’, en el marco del CNCP:</t>
  </si>
  <si>
    <t>El conjunto de competencias profesionales que se requieren para un empleo.</t>
  </si>
  <si>
    <t>El conjunto de conocimientos y capacidades que permiten el ejercicio de una actividad profesional.</t>
  </si>
  <si>
    <t>La parte mínima de una competencia profesional, susceptible de reconocimiento y acreditación parcial.</t>
  </si>
  <si>
    <t>Señala la respuesta incorrecta:</t>
  </si>
  <si>
    <t>Todos los módulos que integran un Ciclo Formativo están asociados a una unidad de competencia</t>
  </si>
  <si>
    <t>Las cualificaciones profesionales que integran el CNCP se ordenan por niveles de cualificación, atendiendo al grado de conocimientos, iniciativa, autonomía, responsabilidad y complejidad, que requiera la actividad a desarrollar</t>
  </si>
  <si>
    <t>Las cualificaciones profesionales que integran el CNCP se ordenan en 26 familias profesionales, igual que los CF.</t>
  </si>
  <si>
    <t>Las respuestas 2) y 3) son correctas</t>
  </si>
  <si>
    <t>Entendemos por ‘cualificación profesional’, en el marco del CNCP:</t>
  </si>
  <si>
    <t>Entendemos por ‘competencia profesional’, en el marco del CNCP:</t>
  </si>
  <si>
    <t>Un trabajador autónomo económicamente dependiente es:</t>
  </si>
  <si>
    <t>En relación con el empleo en la Administración Pública:</t>
  </si>
  <si>
    <t>En España contamos con la Administración estatal, la autonómica y la local (ayuntamientos), y los organismos autónomos y todos ellos pueden publicar ofertas de empleo en el Boletín Oficial del Estado o en el de la Comunidad Autónoma, en función del ámbito territorial en el que actúen.</t>
  </si>
  <si>
    <t>Se accede a la Función Pública mediante oposición o sorteo público ante notario.</t>
  </si>
  <si>
    <t>Trabajan al servicio de la Administración Pública funcionarios y trabajadores autónomos administrativamente dependientes.</t>
  </si>
  <si>
    <t>En el concepto de ‘competencia profesional’ se encuentra implícito que:</t>
  </si>
  <si>
    <t>A través del aprendizaje se pueden adquirir conocimientos (el saber) y habilidades (el hacer)</t>
  </si>
  <si>
    <t>La competencia profesional es la suma de ambos (el saber hacer)</t>
  </si>
  <si>
    <t>La suma de competencias profesionales para un empleo conforman una cualificación profesional</t>
  </si>
  <si>
    <t>Analizar el entorno socio-laboral en el que nos desenvolvemos</t>
  </si>
  <si>
    <t>Analizar el potencial profesional, intereses personales, fortalezas y debilidades propias</t>
  </si>
  <si>
    <t>Analizar nuestro expediente académico y conocer nuestras carencias intelectuales</t>
  </si>
  <si>
    <t>Para aproximarse al conocimiento de las opciones profesionales de, por ejemplo, un Ciclo Formativo, se deben determinar algunas variables:</t>
  </si>
  <si>
    <t>El ámbito profesional, público y/o privado, que abarca la salida profesional de ese Ciclo</t>
  </si>
  <si>
    <t>Los sectores productivos en los que se puede llegar a trabajar</t>
  </si>
  <si>
    <t>Los requisitos exigidos para el desarrollo de cada ocupación</t>
  </si>
  <si>
    <t>Todas las anteriores son acertadas</t>
  </si>
  <si>
    <t>El potencial profesional, los intereses personales, las fortalezas y las debilidades de los jóvenes en nuestra comunidad autónoma.</t>
  </si>
  <si>
    <t>Los itinerarios formativo–profesionales que se pueden elegir en el Espacio Europeo de Educación Superior</t>
  </si>
  <si>
    <t>El mercado laboral global, en sentido amplio.</t>
  </si>
  <si>
    <t>Representa prácticamente una nueva forma de vida, imposible de asumir e integrar en el devenir de la vida</t>
  </si>
  <si>
    <t>Se está convirtiendo en una idea en decadencia, ya que el cambio profesional constituye un episodio cada vez más excepcional</t>
  </si>
  <si>
    <t>Supone una adaptación a la nueva realidad de los mercados laborales</t>
  </si>
  <si>
    <t>Todas las anteriores respuestas son inciertas</t>
  </si>
  <si>
    <t>Las entidades OPEA son:</t>
  </si>
  <si>
    <t>Los test de Cultura General preguntan sobre áreas de conocimientos básicos, como Historia, Lengua, Geografía, etc.</t>
  </si>
  <si>
    <t>Las pruebas profesionales reproducen situaciones reales de trabajo para comprobar cómo se desenvuelve el candidato.</t>
  </si>
  <si>
    <t>Las entrevistas libres no siguen un guión previo.</t>
  </si>
  <si>
    <t>Constituyen elementos de la estructura de un curriculum vitae:</t>
  </si>
  <si>
    <t>Datos personales y formación complementaria</t>
  </si>
  <si>
    <t>Experiencia profesional y requisitos del puesto</t>
  </si>
  <si>
    <t>Carta de presentación y Experiencia profesional</t>
  </si>
  <si>
    <t>En las dinámicas de grupo, recomiendan dar una conclusión final, como cierre al ejercicio.</t>
  </si>
  <si>
    <t>En una dinámica de grupo, se recomienda participar de forma activa y participativa, cediendo el turno a los demás.</t>
  </si>
  <si>
    <t>En los test psicotécnicos, se trata de contestar correctamente al mayor número de respuestas en el menor tiempo posible.</t>
  </si>
  <si>
    <t>En cuanto a los test de inteligencia:</t>
  </si>
  <si>
    <t>Evalúan los rasgos de personalidad que interesan en el mundo laboral y, consecuentemente, el comportamiento de las personas ante una misma situación.</t>
  </si>
  <si>
    <t>Observan la capacidad de la persona para extraer lógicas comunes a partir de figuras y su posición en el espacio.</t>
  </si>
  <si>
    <t>Son pruebas de carácter predictivo cuya intención es medir la capacidad intelectual de una persona</t>
  </si>
  <si>
    <t>Se entiende por entrevistas de trabajo estandarizadas aquellas:</t>
  </si>
  <si>
    <t>En las que el entrevistador dirige la entrevista de forma libre y sin estar sujeto a un guión previo, por lo que las preguntas suelen ser bastante estándar y de respuesta amplia.</t>
  </si>
  <si>
    <t>Que se realizan en un stand de una Feria de Empleo.</t>
  </si>
  <si>
    <t>Son consejos adecuados para una correcta comunicación no verbal en una entrevista de trabajo:</t>
  </si>
  <si>
    <t>Mirar al entrevistador a la cara, si hay más de uno, mirar a todos.</t>
  </si>
  <si>
    <t>Tu voz ha de ser calmada, pero no lenta, da un tono expresivo a tu voz.</t>
  </si>
  <si>
    <t>Pronunciar con claridad, utilizar un tono de voz firme y seguro</t>
  </si>
  <si>
    <t>Son consejos relativos a la comunicación verbal durante la entrevista:</t>
  </si>
  <si>
    <t>No gesticular excesivamente.</t>
  </si>
  <si>
    <t>Algunos de los consejos para contestar a los test de personalidad:</t>
  </si>
  <si>
    <t>Muéstrate tal y como eres, no intentes dar una imagen perfecta, todos tenemos defectos.</t>
  </si>
  <si>
    <t>Puedes actuar por eliminación, es decir, descarta primero las alternativas falsas de forma justificada hasta llegar a la respuesta correcta.</t>
  </si>
  <si>
    <t>Normalmente, solo hay una respuesta correcta.</t>
  </si>
  <si>
    <t>Es conveniente redactar un CV para cada puesto de trabajo; sobre la base de un modelo general, puedes introducir pequeños cambios</t>
  </si>
  <si>
    <t>Debe escribirse en tono impersonal, evita utilizar la primera persona (yo) y la tercera (él) para referirte a ti mismo</t>
  </si>
  <si>
    <t>El CV debe atraer la atención por su presentación (limpieza, orden, claridad y estructura) y por su contenido</t>
  </si>
  <si>
    <t>En lla que el entrevistador sigue un grupo de preguntas seleccionada y lo apunta en un formulario.</t>
  </si>
  <si>
    <t>PEC-4 FORMACION Y ORIENTACIÓN LABORAL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</si>
</sst>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ont>
    <font>
      <sz val="16"/>
      <color theme="1"/>
      <name val="Tahoma"/>
    </font>
    <font>
      <sz val="8"/>
      <name val="Calibri"/>
      <family val="2"/>
      <scheme val="minor"/>
    </font>
    <font>
      <b/>
      <sz val="11"/>
      <color theme="1"/>
      <name val="Calibri"/>
      <scheme val="minor"/>
    </font>
    <font>
      <sz val="16"/>
      <color theme="1"/>
      <name val="Calibri"/>
      <family val="2"/>
      <scheme val="minor"/>
    </font>
    <font>
      <sz val="12"/>
      <color rgb="FF000000"/>
      <name val="Helvetica"/>
    </font>
    <font>
      <sz val="9"/>
      <color theme="0"/>
      <name val="Calibri"/>
      <family val="2"/>
      <scheme val="minor"/>
    </font>
    <font>
      <sz val="12"/>
      <color theme="0"/>
      <name val="Calibri"/>
      <family val="2"/>
      <scheme val="minor"/>
    </font>
    <font>
      <b/>
      <sz val="12"/>
      <color rgb="FFFF0000"/>
      <name val="Calibri"/>
      <scheme val="minor"/>
    </font>
  </fonts>
  <fills count="10">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
      <patternFill patternType="solid">
        <fgColor theme="2" tint="-9.9978637043366805E-2"/>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hair">
        <color auto="1"/>
      </bottom>
      <diagonal/>
    </border>
    <border>
      <left style="thick">
        <color rgb="FFFF0000"/>
      </left>
      <right style="medium">
        <color auto="1"/>
      </right>
      <top style="thick">
        <color rgb="FFFF0000"/>
      </top>
      <bottom/>
      <diagonal/>
    </border>
    <border>
      <left style="thick">
        <color rgb="FFFF0000"/>
      </left>
      <right style="medium">
        <color auto="1"/>
      </right>
      <top/>
      <bottom/>
      <diagonal/>
    </border>
    <border>
      <left style="thick">
        <color rgb="FFFF0000"/>
      </left>
      <right style="medium">
        <color auto="1"/>
      </right>
      <top/>
      <bottom style="thick">
        <color rgb="FFFF0000"/>
      </bottom>
      <diagonal/>
    </border>
  </borders>
  <cellStyleXfs count="27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2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0" borderId="5" xfId="0" applyBorder="1" applyAlignment="1" applyProtection="1">
      <alignment vertical="center"/>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Border="1" applyAlignment="1" applyProtection="1">
      <alignment vertical="center"/>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ont="1" applyFill="1" applyBorder="1" applyAlignment="1" applyProtection="1">
      <alignment wrapText="1"/>
      <protection hidden="1"/>
    </xf>
    <xf numFmtId="0" fontId="0" fillId="4" borderId="0" xfId="0" applyFill="1" applyAlignment="1" applyProtection="1">
      <alignment horizontal="left" wrapText="1"/>
      <protection hidden="1"/>
    </xf>
    <xf numFmtId="0" fontId="0" fillId="4" borderId="0" xfId="0" applyFill="1" applyAlignment="1" applyProtection="1">
      <alignment wrapText="1"/>
      <protection hidden="1"/>
    </xf>
    <xf numFmtId="0" fontId="0" fillId="0" borderId="0" xfId="0" applyFont="1" applyBorder="1" applyAlignment="1" applyProtection="1">
      <alignmen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4" borderId="4" xfId="0" applyFont="1" applyFill="1" applyBorder="1" applyAlignment="1" applyProtection="1">
      <alignment horizontal="left" vertical="center"/>
      <protection hidden="1"/>
    </xf>
    <xf numFmtId="0" fontId="0" fillId="0" borderId="0" xfId="0" applyFont="1" applyBorder="1" applyAlignment="1" applyProtection="1">
      <alignment horizontal="left"/>
      <protection hidden="1"/>
    </xf>
    <xf numFmtId="0" fontId="10" fillId="7" borderId="2" xfId="0" applyFont="1" applyFill="1" applyBorder="1" applyAlignment="1" applyProtection="1">
      <alignment horizontal="left" vertical="center"/>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10" fillId="7" borderId="2" xfId="0" applyFont="1" applyFill="1" applyBorder="1" applyAlignment="1" applyProtection="1">
      <alignment horizontal="left"/>
      <protection hidden="1"/>
    </xf>
    <xf numFmtId="0" fontId="4" fillId="0" borderId="0" xfId="0" applyFont="1" applyFill="1" applyBorder="1" applyProtection="1">
      <protection hidden="1"/>
    </xf>
    <xf numFmtId="0" fontId="0" fillId="0" borderId="10" xfId="0" applyFont="1" applyFill="1" applyBorder="1" applyProtection="1">
      <protection hidden="1"/>
    </xf>
    <xf numFmtId="0" fontId="0" fillId="0" borderId="11" xfId="0" applyFont="1" applyBorder="1" applyProtection="1">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10" xfId="0" applyFont="1" applyFill="1" applyBorder="1" applyAlignment="1" applyProtection="1">
      <alignment wrapText="1"/>
      <protection hidden="1"/>
    </xf>
    <xf numFmtId="0" fontId="0" fillId="0" borderId="11" xfId="0" applyFont="1" applyBorder="1" applyAlignment="1" applyProtection="1">
      <alignment wrapText="1"/>
      <protection hidden="1"/>
    </xf>
    <xf numFmtId="0" fontId="0" fillId="4" borderId="0" xfId="0" applyFill="1" applyAlignment="1" applyProtection="1">
      <alignment horizontal="left" vertical="top"/>
      <protection hidden="1"/>
    </xf>
    <xf numFmtId="0" fontId="0" fillId="4" borderId="0" xfId="0" applyFill="1" applyBorder="1" applyAlignment="1" applyProtection="1">
      <alignment horizontal="left" vertical="top"/>
      <protection locked="0"/>
    </xf>
    <xf numFmtId="0" fontId="4" fillId="6" borderId="5" xfId="0" applyFont="1" applyFill="1" applyBorder="1" applyAlignment="1" applyProtection="1">
      <alignment horizontal="left" vertical="top"/>
      <protection hidden="1"/>
    </xf>
    <xf numFmtId="0" fontId="4" fillId="6" borderId="0" xfId="0" applyFont="1" applyFill="1" applyBorder="1" applyAlignment="1" applyProtection="1">
      <alignment horizontal="left" vertical="top"/>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0" fillId="4" borderId="0" xfId="0" applyFont="1" applyFill="1" applyBorder="1" applyAlignment="1" applyProtection="1">
      <alignment vertical="top" wrapText="1"/>
      <protection hidden="1"/>
    </xf>
    <xf numFmtId="0" fontId="0" fillId="4" borderId="5" xfId="0" applyFont="1" applyFill="1" applyBorder="1" applyAlignment="1" applyProtection="1">
      <alignment vertical="top" wrapText="1"/>
      <protection hidden="1"/>
    </xf>
    <xf numFmtId="0" fontId="0" fillId="4" borderId="0" xfId="0" applyFill="1" applyBorder="1" applyAlignment="1" applyProtection="1">
      <alignment wrapText="1"/>
      <protection hidden="1"/>
    </xf>
    <xf numFmtId="0" fontId="0" fillId="0" borderId="0" xfId="0" applyFill="1" applyBorder="1" applyAlignment="1" applyProtection="1">
      <alignment horizontal="center" vertical="center"/>
      <protection locked="0"/>
    </xf>
    <xf numFmtId="0" fontId="0" fillId="0" borderId="12" xfId="0" applyFont="1" applyFill="1" applyBorder="1" applyProtection="1">
      <protection hidden="1"/>
    </xf>
    <xf numFmtId="0" fontId="0" fillId="0" borderId="12" xfId="0" applyFont="1" applyBorder="1" applyAlignment="1" applyProtection="1">
      <alignment wrapText="1"/>
      <protection hidden="1"/>
    </xf>
    <xf numFmtId="0" fontId="0" fillId="9" borderId="4" xfId="0" applyFont="1" applyFill="1" applyBorder="1" applyAlignment="1" applyProtection="1">
      <alignment horizontal="left" vertical="center"/>
      <protection hidden="1"/>
    </xf>
    <xf numFmtId="0" fontId="0" fillId="9" borderId="0" xfId="0" applyFont="1" applyFill="1" applyBorder="1" applyProtection="1">
      <protection hidden="1"/>
    </xf>
    <xf numFmtId="0" fontId="0" fillId="9" borderId="11"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0" borderId="0" xfId="0" applyFill="1" applyAlignment="1" applyProtection="1">
      <alignment wrapText="1"/>
      <protection hidden="1"/>
    </xf>
    <xf numFmtId="0" fontId="0" fillId="4" borderId="0" xfId="0" applyFont="1" applyFill="1" applyBorder="1" applyAlignment="1" applyProtection="1">
      <alignment horizontal="center" vertical="top" wrapText="1"/>
      <protection hidden="1"/>
    </xf>
    <xf numFmtId="0" fontId="0" fillId="4" borderId="5" xfId="0" applyFont="1" applyFill="1" applyBorder="1" applyAlignment="1" applyProtection="1">
      <alignment vertical="center"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2"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4" fillId="0" borderId="0" xfId="0" applyFont="1" applyAlignment="1" applyProtection="1">
      <alignment horizontal="center"/>
      <protection hidden="1"/>
    </xf>
    <xf numFmtId="0" fontId="0" fillId="4" borderId="0" xfId="0" applyFill="1" applyBorder="1" applyAlignment="1" applyProtection="1">
      <alignment horizontal="center" vertical="top"/>
      <protection hidden="1"/>
    </xf>
    <xf numFmtId="0" fontId="12" fillId="8" borderId="0" xfId="0" applyFont="1" applyFill="1" applyBorder="1" applyAlignment="1" applyProtection="1">
      <alignment horizontal="center" vertical="center"/>
      <protection locked="0"/>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0" fillId="4" borderId="0" xfId="0" applyFont="1" applyFill="1" applyBorder="1" applyAlignment="1" applyProtection="1">
      <alignment vertical="top" wrapText="1"/>
      <protection locked="0"/>
    </xf>
    <xf numFmtId="0" fontId="0" fillId="4" borderId="0" xfId="0" applyFont="1" applyFill="1" applyBorder="1" applyAlignment="1" applyProtection="1">
      <alignment vertical="center" wrapText="1"/>
      <protection locked="0"/>
    </xf>
    <xf numFmtId="0" fontId="13" fillId="0" borderId="0" xfId="0" applyFont="1" applyFill="1" applyBorder="1" applyAlignment="1" applyProtection="1">
      <alignment horizontal="center"/>
      <protection locked="0"/>
    </xf>
    <xf numFmtId="0" fontId="13"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0" borderId="0" xfId="0" applyFill="1" applyAlignment="1" applyProtection="1">
      <alignment horizontal="left"/>
      <protection hidden="1"/>
    </xf>
    <xf numFmtId="0" fontId="0" fillId="0" borderId="0" xfId="0" applyFill="1" applyAlignment="1" applyProtection="1">
      <alignment horizontal="left" vertical="top"/>
      <protection hidden="1"/>
    </xf>
    <xf numFmtId="0" fontId="0" fillId="0" borderId="0" xfId="0" applyFill="1" applyBorder="1" applyAlignment="1" applyProtection="1">
      <alignment horizontal="center" vertical="center"/>
      <protection hidden="1"/>
    </xf>
    <xf numFmtId="0" fontId="0" fillId="2" borderId="14" xfId="0" applyFill="1" applyBorder="1" applyAlignment="1" applyProtection="1">
      <alignment horizontal="center" vertical="center"/>
      <protection hidden="1"/>
    </xf>
    <xf numFmtId="0" fontId="0" fillId="3" borderId="14" xfId="0" applyFill="1" applyBorder="1" applyAlignment="1" applyProtection="1">
      <alignment horizontal="center" vertical="center"/>
      <protection hidden="1"/>
    </xf>
    <xf numFmtId="0" fontId="14" fillId="0" borderId="13" xfId="0" applyFont="1" applyFill="1" applyBorder="1" applyAlignment="1" applyProtection="1">
      <alignment horizontal="center" vertical="center"/>
      <protection hidden="1"/>
    </xf>
    <xf numFmtId="0" fontId="14" fillId="0" borderId="15" xfId="0" applyFont="1" applyFill="1" applyBorder="1" applyAlignment="1" applyProtection="1">
      <alignment horizontal="center" vertical="center"/>
      <protection hidden="1"/>
    </xf>
    <xf numFmtId="0" fontId="0" fillId="0" borderId="0" xfId="0" applyFill="1" applyAlignment="1" applyProtection="1">
      <alignment vertical="center"/>
      <protection hidden="1"/>
    </xf>
    <xf numFmtId="0" fontId="0" fillId="0" borderId="0" xfId="0" applyFill="1" applyBorder="1" applyAlignment="1" applyProtection="1">
      <alignment horizontal="center" vertical="center"/>
      <protection hidden="1"/>
    </xf>
    <xf numFmtId="0" fontId="0" fillId="4" borderId="4" xfId="0" applyFont="1" applyFill="1" applyBorder="1" applyAlignment="1" applyProtection="1">
      <alignment horizontal="left" vertical="top" wrapText="1"/>
      <protection hidden="1"/>
    </xf>
    <xf numFmtId="0" fontId="0" fillId="4" borderId="0" xfId="0" applyFont="1" applyFill="1" applyBorder="1" applyAlignment="1" applyProtection="1">
      <alignment horizontal="left" vertical="top" wrapText="1"/>
      <protection hidden="1"/>
    </xf>
    <xf numFmtId="0" fontId="5" fillId="7" borderId="1" xfId="0" applyFont="1" applyFill="1" applyBorder="1" applyAlignment="1" applyProtection="1">
      <alignment horizontal="center" vertical="center"/>
      <protection hidden="1"/>
    </xf>
    <xf numFmtId="0" fontId="5" fillId="7" borderId="3" xfId="0" applyFont="1"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9" fontId="0" fillId="0" borderId="10" xfId="0" applyNumberFormat="1" applyFont="1" applyFill="1" applyBorder="1" applyAlignment="1" applyProtection="1">
      <alignment horizontal="left"/>
      <protection hidden="1"/>
    </xf>
    <xf numFmtId="9" fontId="0" fillId="0" borderId="11" xfId="0" applyNumberFormat="1" applyFont="1" applyBorder="1" applyAlignment="1" applyProtection="1">
      <alignment horizontal="left"/>
      <protection hidden="1"/>
    </xf>
    <xf numFmtId="0" fontId="0" fillId="0" borderId="10" xfId="0" applyFont="1" applyFill="1" applyBorder="1" applyAlignment="1" applyProtection="1">
      <alignment horizontal="left"/>
      <protection hidden="1"/>
    </xf>
    <xf numFmtId="0" fontId="0" fillId="0" borderId="11" xfId="0" applyFont="1" applyBorder="1" applyAlignment="1" applyProtection="1">
      <alignment horizontal="left"/>
      <protection hidden="1"/>
    </xf>
    <xf numFmtId="10" fontId="0" fillId="0" borderId="10" xfId="0" applyNumberFormat="1" applyFont="1" applyFill="1" applyBorder="1" applyAlignment="1" applyProtection="1">
      <alignment horizontal="left"/>
      <protection hidden="1"/>
    </xf>
    <xf numFmtId="10" fontId="0" fillId="0" borderId="11" xfId="0" applyNumberFormat="1" applyFont="1" applyBorder="1" applyAlignment="1" applyProtection="1">
      <alignment horizontal="left"/>
      <protection hidden="1"/>
    </xf>
  </cellXfs>
  <cellStyles count="279">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9309100</xdr:colOff>
          <xdr:row>128</xdr:row>
          <xdr:rowOff>152400</xdr:rowOff>
        </xdr:from>
        <xdr:to>
          <xdr:col>2</xdr:col>
          <xdr:colOff>9918700</xdr:colOff>
          <xdr:row>129</xdr:row>
          <xdr:rowOff>228600</xdr:rowOff>
        </xdr:to>
        <xdr:sp macro="" textlink="">
          <xdr:nvSpPr>
            <xdr:cNvPr id="1029" name="Button 5" descr="Borrar"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9271000</xdr:colOff>
          <xdr:row>254</xdr:row>
          <xdr:rowOff>25400</xdr:rowOff>
        </xdr:from>
        <xdr:to>
          <xdr:col>2</xdr:col>
          <xdr:colOff>9855200</xdr:colOff>
          <xdr:row>255</xdr:row>
          <xdr:rowOff>101600</xdr:rowOff>
        </xdr:to>
        <xdr:sp macro="" textlink="">
          <xdr:nvSpPr>
            <xdr:cNvPr id="1031" name="Button 7" descr="Borrar"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9194800</xdr:colOff>
          <xdr:row>379</xdr:row>
          <xdr:rowOff>12700</xdr:rowOff>
        </xdr:from>
        <xdr:to>
          <xdr:col>2</xdr:col>
          <xdr:colOff>9766300</xdr:colOff>
          <xdr:row>380</xdr:row>
          <xdr:rowOff>38100</xdr:rowOff>
        </xdr:to>
        <xdr:sp macro="" textlink="">
          <xdr:nvSpPr>
            <xdr:cNvPr id="1032" name="Button 8" descr="Borrar"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9232900</xdr:colOff>
          <xdr:row>503</xdr:row>
          <xdr:rowOff>190500</xdr:rowOff>
        </xdr:from>
        <xdr:to>
          <xdr:col>2</xdr:col>
          <xdr:colOff>9804400</xdr:colOff>
          <xdr:row>505</xdr:row>
          <xdr:rowOff>76200</xdr:rowOff>
        </xdr:to>
        <xdr:sp macro="" textlink="">
          <xdr:nvSpPr>
            <xdr:cNvPr id="1034" name="Button 10" descr="Borrar"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9194800</xdr:colOff>
          <xdr:row>628</xdr:row>
          <xdr:rowOff>203200</xdr:rowOff>
        </xdr:from>
        <xdr:to>
          <xdr:col>2</xdr:col>
          <xdr:colOff>9779000</xdr:colOff>
          <xdr:row>630</xdr:row>
          <xdr:rowOff>0</xdr:rowOff>
        </xdr:to>
        <xdr:sp macro="" textlink="">
          <xdr:nvSpPr>
            <xdr:cNvPr id="1035" name="Button 11" descr="Borrar"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9232900</xdr:colOff>
          <xdr:row>754</xdr:row>
          <xdr:rowOff>0</xdr:rowOff>
        </xdr:from>
        <xdr:to>
          <xdr:col>2</xdr:col>
          <xdr:colOff>9817100</xdr:colOff>
          <xdr:row>755</xdr:row>
          <xdr:rowOff>0</xdr:rowOff>
        </xdr:to>
        <xdr:sp macro="" textlink="">
          <xdr:nvSpPr>
            <xdr:cNvPr id="1036" name="Button 12" descr="Borrar"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878</xdr:row>
          <xdr:rowOff>190500</xdr:rowOff>
        </xdr:from>
        <xdr:to>
          <xdr:col>2</xdr:col>
          <xdr:colOff>9791700</xdr:colOff>
          <xdr:row>879</xdr:row>
          <xdr:rowOff>241300</xdr:rowOff>
        </xdr:to>
        <xdr:sp macro="" textlink="">
          <xdr:nvSpPr>
            <xdr:cNvPr id="1037" name="Button 13" descr="Borrar"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878</xdr:row>
          <xdr:rowOff>203200</xdr:rowOff>
        </xdr:from>
        <xdr:to>
          <xdr:col>2</xdr:col>
          <xdr:colOff>9093200</xdr:colOff>
          <xdr:row>879</xdr:row>
          <xdr:rowOff>241300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754</xdr:row>
          <xdr:rowOff>12700</xdr:rowOff>
        </xdr:from>
        <xdr:to>
          <xdr:col>2</xdr:col>
          <xdr:colOff>9093200</xdr:colOff>
          <xdr:row>755</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629</xdr:row>
          <xdr:rowOff>12700</xdr:rowOff>
        </xdr:from>
        <xdr:to>
          <xdr:col>2</xdr:col>
          <xdr:colOff>9093200</xdr:colOff>
          <xdr:row>630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503</xdr:row>
          <xdr:rowOff>190500</xdr:rowOff>
        </xdr:from>
        <xdr:to>
          <xdr:col>2</xdr:col>
          <xdr:colOff>9093200</xdr:colOff>
          <xdr:row>505</xdr:row>
          <xdr:rowOff>38100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379</xdr:row>
          <xdr:rowOff>25400</xdr:rowOff>
        </xdr:from>
        <xdr:to>
          <xdr:col>2</xdr:col>
          <xdr:colOff>9093200</xdr:colOff>
          <xdr:row>379</xdr:row>
          <xdr:rowOff>254000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254</xdr:row>
          <xdr:rowOff>38100</xdr:rowOff>
        </xdr:from>
        <xdr:to>
          <xdr:col>2</xdr:col>
          <xdr:colOff>9093200</xdr:colOff>
          <xdr:row>255</xdr:row>
          <xdr:rowOff>63500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128</xdr:row>
          <xdr:rowOff>177800</xdr:rowOff>
        </xdr:from>
        <xdr:to>
          <xdr:col>2</xdr:col>
          <xdr:colOff>9093200</xdr:colOff>
          <xdr:row>129</xdr:row>
          <xdr:rowOff>190500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9207500</xdr:colOff>
          <xdr:row>1122</xdr:row>
          <xdr:rowOff>165100</xdr:rowOff>
        </xdr:from>
        <xdr:to>
          <xdr:col>2</xdr:col>
          <xdr:colOff>9817100</xdr:colOff>
          <xdr:row>1123</xdr:row>
          <xdr:rowOff>241300</xdr:rowOff>
        </xdr:to>
        <xdr:sp macro="" textlink="">
          <xdr:nvSpPr>
            <xdr:cNvPr id="1045" name="Button 21" descr="Borrar"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1122</xdr:row>
          <xdr:rowOff>177800</xdr:rowOff>
        </xdr:from>
        <xdr:to>
          <xdr:col>2</xdr:col>
          <xdr:colOff>9093200</xdr:colOff>
          <xdr:row>1123</xdr:row>
          <xdr:rowOff>190500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1248</xdr:row>
          <xdr:rowOff>38100</xdr:rowOff>
        </xdr:from>
        <xdr:to>
          <xdr:col>2</xdr:col>
          <xdr:colOff>9753600</xdr:colOff>
          <xdr:row>1249</xdr:row>
          <xdr:rowOff>114300</xdr:rowOff>
        </xdr:to>
        <xdr:sp macro="" textlink="">
          <xdr:nvSpPr>
            <xdr:cNvPr id="1048" name="Button 24" descr="Borrar"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1248</xdr:row>
          <xdr:rowOff>38100</xdr:rowOff>
        </xdr:from>
        <xdr:to>
          <xdr:col>2</xdr:col>
          <xdr:colOff>9093200</xdr:colOff>
          <xdr:row>1249</xdr:row>
          <xdr:rowOff>63500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9182100</xdr:colOff>
          <xdr:row>1373</xdr:row>
          <xdr:rowOff>38100</xdr:rowOff>
        </xdr:from>
        <xdr:to>
          <xdr:col>2</xdr:col>
          <xdr:colOff>9766300</xdr:colOff>
          <xdr:row>1374</xdr:row>
          <xdr:rowOff>114300</xdr:rowOff>
        </xdr:to>
        <xdr:sp macro="" textlink="">
          <xdr:nvSpPr>
            <xdr:cNvPr id="1050" name="Button 26" descr="Borrar"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1373</xdr:row>
          <xdr:rowOff>38100</xdr:rowOff>
        </xdr:from>
        <xdr:to>
          <xdr:col>2</xdr:col>
          <xdr:colOff>9093200</xdr:colOff>
          <xdr:row>1374</xdr:row>
          <xdr:rowOff>63500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9372600</xdr:colOff>
          <xdr:row>1496</xdr:row>
          <xdr:rowOff>190500</xdr:rowOff>
        </xdr:from>
        <xdr:to>
          <xdr:col>2</xdr:col>
          <xdr:colOff>9956800</xdr:colOff>
          <xdr:row>1498</xdr:row>
          <xdr:rowOff>101600</xdr:rowOff>
        </xdr:to>
        <xdr:sp macro="" textlink="">
          <xdr:nvSpPr>
            <xdr:cNvPr id="1052" name="Button 28" descr="Borrar"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7988300</xdr:colOff>
          <xdr:row>1496</xdr:row>
          <xdr:rowOff>190500</xdr:rowOff>
        </xdr:from>
        <xdr:to>
          <xdr:col>2</xdr:col>
          <xdr:colOff>9296400</xdr:colOff>
          <xdr:row>1498</xdr:row>
          <xdr:rowOff>50800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9182100</xdr:colOff>
          <xdr:row>1623</xdr:row>
          <xdr:rowOff>25400</xdr:rowOff>
        </xdr:from>
        <xdr:to>
          <xdr:col>2</xdr:col>
          <xdr:colOff>9766300</xdr:colOff>
          <xdr:row>1624</xdr:row>
          <xdr:rowOff>101600</xdr:rowOff>
        </xdr:to>
        <xdr:sp macro="" textlink="">
          <xdr:nvSpPr>
            <xdr:cNvPr id="1054" name="Button 30" descr="Borrar"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1623</xdr:row>
          <xdr:rowOff>38100</xdr:rowOff>
        </xdr:from>
        <xdr:to>
          <xdr:col>2</xdr:col>
          <xdr:colOff>9093200</xdr:colOff>
          <xdr:row>1624</xdr:row>
          <xdr:rowOff>63500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1748</xdr:row>
          <xdr:rowOff>38100</xdr:rowOff>
        </xdr:from>
        <xdr:to>
          <xdr:col>2</xdr:col>
          <xdr:colOff>9753600</xdr:colOff>
          <xdr:row>1749</xdr:row>
          <xdr:rowOff>114300</xdr:rowOff>
        </xdr:to>
        <xdr:sp macro="" textlink="">
          <xdr:nvSpPr>
            <xdr:cNvPr id="1056" name="Button 32" descr="Borrar"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1748</xdr:row>
          <xdr:rowOff>38100</xdr:rowOff>
        </xdr:from>
        <xdr:to>
          <xdr:col>2</xdr:col>
          <xdr:colOff>9093200</xdr:colOff>
          <xdr:row>1749</xdr:row>
          <xdr:rowOff>63500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9575800</xdr:colOff>
          <xdr:row>1872</xdr:row>
          <xdr:rowOff>127000</xdr:rowOff>
        </xdr:from>
        <xdr:to>
          <xdr:col>2</xdr:col>
          <xdr:colOff>10160000</xdr:colOff>
          <xdr:row>1874</xdr:row>
          <xdr:rowOff>0</xdr:rowOff>
        </xdr:to>
        <xdr:sp macro="" textlink="">
          <xdr:nvSpPr>
            <xdr:cNvPr id="1138" name="Button 114" descr="Borrar"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8191500</xdr:colOff>
          <xdr:row>1872</xdr:row>
          <xdr:rowOff>139700</xdr:rowOff>
        </xdr:from>
        <xdr:to>
          <xdr:col>2</xdr:col>
          <xdr:colOff>9499600</xdr:colOff>
          <xdr:row>1873</xdr:row>
          <xdr:rowOff>203200</xdr:rowOff>
        </xdr:to>
        <xdr:sp macro="" textlink="">
          <xdr:nvSpPr>
            <xdr:cNvPr id="1139" name="Button 115" hidden="1">
              <a:extLst>
                <a:ext uri="{63B3BB69-23CF-44E3-9099-C40C66FF867C}">
                  <a14:compatExt spid="_x0000_s11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2117</xdr:row>
          <xdr:rowOff>0</xdr:rowOff>
        </xdr:from>
        <xdr:to>
          <xdr:col>2</xdr:col>
          <xdr:colOff>9766300</xdr:colOff>
          <xdr:row>2118</xdr:row>
          <xdr:rowOff>38100</xdr:rowOff>
        </xdr:to>
        <xdr:sp macro="" textlink="">
          <xdr:nvSpPr>
            <xdr:cNvPr id="1142" name="Button 118" descr="Borrar"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2117</xdr:row>
          <xdr:rowOff>12700</xdr:rowOff>
        </xdr:from>
        <xdr:to>
          <xdr:col>2</xdr:col>
          <xdr:colOff>9093200</xdr:colOff>
          <xdr:row>2118</xdr:row>
          <xdr:rowOff>38100</xdr:rowOff>
        </xdr:to>
        <xdr:sp macro="" textlink="">
          <xdr:nvSpPr>
            <xdr:cNvPr id="1145" name="Button 121" hidden="1">
              <a:extLst>
                <a:ext uri="{63B3BB69-23CF-44E3-9099-C40C66FF867C}">
                  <a14:compatExt spid="_x0000_s1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9207500</xdr:colOff>
          <xdr:row>2241</xdr:row>
          <xdr:rowOff>139700</xdr:rowOff>
        </xdr:from>
        <xdr:to>
          <xdr:col>2</xdr:col>
          <xdr:colOff>9791700</xdr:colOff>
          <xdr:row>2243</xdr:row>
          <xdr:rowOff>12700</xdr:rowOff>
        </xdr:to>
        <xdr:sp macro="" textlink="">
          <xdr:nvSpPr>
            <xdr:cNvPr id="1147" name="Button 123" descr="Borrar"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7848600</xdr:colOff>
          <xdr:row>2241</xdr:row>
          <xdr:rowOff>139700</xdr:rowOff>
        </xdr:from>
        <xdr:to>
          <xdr:col>2</xdr:col>
          <xdr:colOff>9156700</xdr:colOff>
          <xdr:row>2242</xdr:row>
          <xdr:rowOff>203200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9207500</xdr:colOff>
          <xdr:row>2337</xdr:row>
          <xdr:rowOff>25400</xdr:rowOff>
        </xdr:from>
        <xdr:to>
          <xdr:col>2</xdr:col>
          <xdr:colOff>9791700</xdr:colOff>
          <xdr:row>2338</xdr:row>
          <xdr:rowOff>101600</xdr:rowOff>
        </xdr:to>
        <xdr:sp macro="" textlink="">
          <xdr:nvSpPr>
            <xdr:cNvPr id="1149" name="Button 125" descr="Borrar"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7848600</xdr:colOff>
          <xdr:row>2337</xdr:row>
          <xdr:rowOff>25400</xdr:rowOff>
        </xdr:from>
        <xdr:to>
          <xdr:col>2</xdr:col>
          <xdr:colOff>9156700</xdr:colOff>
          <xdr:row>2338</xdr:row>
          <xdr:rowOff>50800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2581</xdr:row>
          <xdr:rowOff>12700</xdr:rowOff>
        </xdr:from>
        <xdr:to>
          <xdr:col>2</xdr:col>
          <xdr:colOff>9779000</xdr:colOff>
          <xdr:row>2582</xdr:row>
          <xdr:rowOff>50800</xdr:rowOff>
        </xdr:to>
        <xdr:sp macro="" textlink="">
          <xdr:nvSpPr>
            <xdr:cNvPr id="1151" name="Button 127" descr="Borrar"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2581</xdr:row>
          <xdr:rowOff>12700</xdr:rowOff>
        </xdr:from>
        <xdr:to>
          <xdr:col>2</xdr:col>
          <xdr:colOff>9093200</xdr:colOff>
          <xdr:row>2582</xdr:row>
          <xdr:rowOff>38100</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2704</xdr:row>
          <xdr:rowOff>12700</xdr:rowOff>
        </xdr:from>
        <xdr:to>
          <xdr:col>2</xdr:col>
          <xdr:colOff>9779000</xdr:colOff>
          <xdr:row>2705</xdr:row>
          <xdr:rowOff>101600</xdr:rowOff>
        </xdr:to>
        <xdr:sp macro="" textlink="">
          <xdr:nvSpPr>
            <xdr:cNvPr id="1155" name="Button 131" descr="Borrar"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2704</xdr:row>
          <xdr:rowOff>12700</xdr:rowOff>
        </xdr:from>
        <xdr:to>
          <xdr:col>2</xdr:col>
          <xdr:colOff>9093200</xdr:colOff>
          <xdr:row>2705</xdr:row>
          <xdr:rowOff>88900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2829</xdr:row>
          <xdr:rowOff>12700</xdr:rowOff>
        </xdr:from>
        <xdr:to>
          <xdr:col>2</xdr:col>
          <xdr:colOff>9779000</xdr:colOff>
          <xdr:row>2830</xdr:row>
          <xdr:rowOff>101600</xdr:rowOff>
        </xdr:to>
        <xdr:sp macro="" textlink="">
          <xdr:nvSpPr>
            <xdr:cNvPr id="1157" name="Button 133" descr="Borrar"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2829</xdr:row>
          <xdr:rowOff>12700</xdr:rowOff>
        </xdr:from>
        <xdr:to>
          <xdr:col>2</xdr:col>
          <xdr:colOff>9093200</xdr:colOff>
          <xdr:row>2830</xdr:row>
          <xdr:rowOff>88900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2955</xdr:row>
          <xdr:rowOff>12700</xdr:rowOff>
        </xdr:from>
        <xdr:to>
          <xdr:col>2</xdr:col>
          <xdr:colOff>9779000</xdr:colOff>
          <xdr:row>2956</xdr:row>
          <xdr:rowOff>101600</xdr:rowOff>
        </xdr:to>
        <xdr:sp macro="" textlink="">
          <xdr:nvSpPr>
            <xdr:cNvPr id="1159" name="Button 135" descr="Borrar"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2955</xdr:row>
          <xdr:rowOff>12700</xdr:rowOff>
        </xdr:from>
        <xdr:to>
          <xdr:col>2</xdr:col>
          <xdr:colOff>9093200</xdr:colOff>
          <xdr:row>2956</xdr:row>
          <xdr:rowOff>88900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3200</xdr:row>
          <xdr:rowOff>12700</xdr:rowOff>
        </xdr:from>
        <xdr:to>
          <xdr:col>2</xdr:col>
          <xdr:colOff>9779000</xdr:colOff>
          <xdr:row>3201</xdr:row>
          <xdr:rowOff>101600</xdr:rowOff>
        </xdr:to>
        <xdr:sp macro="" textlink="">
          <xdr:nvSpPr>
            <xdr:cNvPr id="1162" name="Button 138" descr="Borrar"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3200</xdr:row>
          <xdr:rowOff>12700</xdr:rowOff>
        </xdr:from>
        <xdr:to>
          <xdr:col>2</xdr:col>
          <xdr:colOff>9093200</xdr:colOff>
          <xdr:row>3201</xdr:row>
          <xdr:rowOff>88900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46" Type="http://schemas.openxmlformats.org/officeDocument/2006/relationships/ctrlProp" Target="../ctrlProps/ctrlProp43.xml"/><Relationship Id="rId47" Type="http://schemas.openxmlformats.org/officeDocument/2006/relationships/ctrlProp" Target="../ctrlProps/ctrlProp44.xml"/><Relationship Id="rId20" Type="http://schemas.openxmlformats.org/officeDocument/2006/relationships/ctrlProp" Target="../ctrlProps/ctrlProp17.xml"/><Relationship Id="rId21" Type="http://schemas.openxmlformats.org/officeDocument/2006/relationships/ctrlProp" Target="../ctrlProps/ctrlProp18.xml"/><Relationship Id="rId22" Type="http://schemas.openxmlformats.org/officeDocument/2006/relationships/ctrlProp" Target="../ctrlProps/ctrlProp19.xml"/><Relationship Id="rId23" Type="http://schemas.openxmlformats.org/officeDocument/2006/relationships/ctrlProp" Target="../ctrlProps/ctrlProp20.xml"/><Relationship Id="rId24" Type="http://schemas.openxmlformats.org/officeDocument/2006/relationships/ctrlProp" Target="../ctrlProps/ctrlProp21.xml"/><Relationship Id="rId25" Type="http://schemas.openxmlformats.org/officeDocument/2006/relationships/ctrlProp" Target="../ctrlProps/ctrlProp22.xml"/><Relationship Id="rId26" Type="http://schemas.openxmlformats.org/officeDocument/2006/relationships/ctrlProp" Target="../ctrlProps/ctrlProp23.xml"/><Relationship Id="rId27" Type="http://schemas.openxmlformats.org/officeDocument/2006/relationships/ctrlProp" Target="../ctrlProps/ctrlProp24.xml"/><Relationship Id="rId28" Type="http://schemas.openxmlformats.org/officeDocument/2006/relationships/ctrlProp" Target="../ctrlProps/ctrlProp25.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30" Type="http://schemas.openxmlformats.org/officeDocument/2006/relationships/ctrlProp" Target="../ctrlProps/ctrlProp27.xml"/><Relationship Id="rId31" Type="http://schemas.openxmlformats.org/officeDocument/2006/relationships/ctrlProp" Target="../ctrlProps/ctrlProp28.xml"/><Relationship Id="rId32" Type="http://schemas.openxmlformats.org/officeDocument/2006/relationships/ctrlProp" Target="../ctrlProps/ctrlProp29.xml"/><Relationship Id="rId9" Type="http://schemas.openxmlformats.org/officeDocument/2006/relationships/ctrlProp" Target="../ctrlProps/ctrlProp6.xml"/><Relationship Id="rId6" Type="http://schemas.openxmlformats.org/officeDocument/2006/relationships/ctrlProp" Target="../ctrlProps/ctrlProp3.xml"/><Relationship Id="rId7" Type="http://schemas.openxmlformats.org/officeDocument/2006/relationships/ctrlProp" Target="../ctrlProps/ctrlProp4.xml"/><Relationship Id="rId8" Type="http://schemas.openxmlformats.org/officeDocument/2006/relationships/ctrlProp" Target="../ctrlProps/ctrlProp5.xml"/><Relationship Id="rId33" Type="http://schemas.openxmlformats.org/officeDocument/2006/relationships/ctrlProp" Target="../ctrlProps/ctrlProp30.xml"/><Relationship Id="rId34" Type="http://schemas.openxmlformats.org/officeDocument/2006/relationships/ctrlProp" Target="../ctrlProps/ctrlProp31.xml"/><Relationship Id="rId35" Type="http://schemas.openxmlformats.org/officeDocument/2006/relationships/ctrlProp" Target="../ctrlProps/ctrlProp32.xml"/><Relationship Id="rId36" Type="http://schemas.openxmlformats.org/officeDocument/2006/relationships/ctrlProp" Target="../ctrlProps/ctrlProp33.xml"/><Relationship Id="rId10" Type="http://schemas.openxmlformats.org/officeDocument/2006/relationships/ctrlProp" Target="../ctrlProps/ctrlProp7.xml"/><Relationship Id="rId11" Type="http://schemas.openxmlformats.org/officeDocument/2006/relationships/ctrlProp" Target="../ctrlProps/ctrlProp8.xml"/><Relationship Id="rId12" Type="http://schemas.openxmlformats.org/officeDocument/2006/relationships/ctrlProp" Target="../ctrlProps/ctrlProp9.xml"/><Relationship Id="rId13" Type="http://schemas.openxmlformats.org/officeDocument/2006/relationships/ctrlProp" Target="../ctrlProps/ctrlProp10.xml"/><Relationship Id="rId14" Type="http://schemas.openxmlformats.org/officeDocument/2006/relationships/ctrlProp" Target="../ctrlProps/ctrlProp11.xml"/><Relationship Id="rId15" Type="http://schemas.openxmlformats.org/officeDocument/2006/relationships/ctrlProp" Target="../ctrlProps/ctrlProp12.xml"/><Relationship Id="rId16" Type="http://schemas.openxmlformats.org/officeDocument/2006/relationships/ctrlProp" Target="../ctrlProps/ctrlProp13.xml"/><Relationship Id="rId17" Type="http://schemas.openxmlformats.org/officeDocument/2006/relationships/ctrlProp" Target="../ctrlProps/ctrlProp14.xml"/><Relationship Id="rId18" Type="http://schemas.openxmlformats.org/officeDocument/2006/relationships/ctrlProp" Target="../ctrlProps/ctrlProp15.xml"/><Relationship Id="rId19" Type="http://schemas.openxmlformats.org/officeDocument/2006/relationships/ctrlProp" Target="../ctrlProps/ctrlProp16.xml"/><Relationship Id="rId37" Type="http://schemas.openxmlformats.org/officeDocument/2006/relationships/ctrlProp" Target="../ctrlProps/ctrlProp34.xml"/><Relationship Id="rId38" Type="http://schemas.openxmlformats.org/officeDocument/2006/relationships/ctrlProp" Target="../ctrlProps/ctrlProp35.xml"/><Relationship Id="rId39" Type="http://schemas.openxmlformats.org/officeDocument/2006/relationships/ctrlProp" Target="../ctrlProps/ctrlProp36.xml"/><Relationship Id="rId40" Type="http://schemas.openxmlformats.org/officeDocument/2006/relationships/ctrlProp" Target="../ctrlProps/ctrlProp37.xml"/><Relationship Id="rId41" Type="http://schemas.openxmlformats.org/officeDocument/2006/relationships/ctrlProp" Target="../ctrlProps/ctrlProp38.xml"/><Relationship Id="rId42" Type="http://schemas.openxmlformats.org/officeDocument/2006/relationships/ctrlProp" Target="../ctrlProps/ctrlProp39.xml"/><Relationship Id="rId43" Type="http://schemas.openxmlformats.org/officeDocument/2006/relationships/ctrlProp" Target="../ctrlProps/ctrlProp40.xml"/><Relationship Id="rId44" Type="http://schemas.openxmlformats.org/officeDocument/2006/relationships/ctrlProp" Target="../ctrlProps/ctrlProp41.xml"/><Relationship Id="rId45"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AG3203"/>
  <sheetViews>
    <sheetView showGridLines="0" tabSelected="1" zoomScale="120" zoomScaleNormal="120" zoomScalePageLayoutView="120" workbookViewId="0">
      <pane xSplit="1" ySplit="5" topLeftCell="B6" activePane="bottomRight" state="frozen"/>
      <selection pane="topRight" activeCell="B1" sqref="B1"/>
      <selection pane="bottomLeft" activeCell="A6" sqref="A6"/>
      <selection pane="bottomRight" activeCell="D8" sqref="D8"/>
    </sheetView>
  </sheetViews>
  <sheetFormatPr baseColWidth="10" defaultColWidth="11" defaultRowHeight="16" x14ac:dyDescent="0.2"/>
  <cols>
    <col min="1" max="1" width="2.5" style="4" customWidth="1"/>
    <col min="2" max="2" width="4.83203125" style="41" customWidth="1"/>
    <col min="3" max="3" width="139.1640625" style="7" customWidth="1"/>
    <col min="4" max="4" width="5" style="42" customWidth="1"/>
    <col min="5" max="5" width="3.1640625" style="42" customWidth="1"/>
    <col min="6" max="6" width="11" style="43"/>
    <col min="7" max="8" width="10.83203125" style="5" hidden="1" customWidth="1"/>
    <col min="9" max="16384" width="11" style="5"/>
  </cols>
  <sheetData>
    <row r="1" spans="1:33" x14ac:dyDescent="0.2">
      <c r="B1" s="6" t="s">
        <v>2</v>
      </c>
      <c r="D1" s="1"/>
      <c r="E1" s="1"/>
      <c r="F1" s="3"/>
      <c r="G1" s="2"/>
      <c r="H1" s="2" t="b">
        <v>0</v>
      </c>
    </row>
    <row r="2" spans="1:33" x14ac:dyDescent="0.2">
      <c r="B2" s="50" t="s">
        <v>4</v>
      </c>
      <c r="D2" s="1"/>
      <c r="E2" s="1"/>
      <c r="F2" s="3"/>
      <c r="G2" s="2"/>
      <c r="H2" s="2" t="s">
        <v>3</v>
      </c>
    </row>
    <row r="3" spans="1:33" x14ac:dyDescent="0.2">
      <c r="B3" s="50" t="s">
        <v>5</v>
      </c>
      <c r="D3" s="1"/>
      <c r="E3" s="1"/>
      <c r="F3" s="3"/>
      <c r="G3" s="2"/>
      <c r="H3" s="2"/>
    </row>
    <row r="4" spans="1:33" x14ac:dyDescent="0.2">
      <c r="B4" s="50" t="s">
        <v>6</v>
      </c>
      <c r="D4" s="1"/>
      <c r="E4" s="1"/>
      <c r="F4" s="3"/>
      <c r="G4" s="2"/>
      <c r="H4" s="2"/>
    </row>
    <row r="5" spans="1:33" ht="17" thickBot="1" x14ac:dyDescent="0.25">
      <c r="D5" s="9"/>
      <c r="E5" s="9"/>
      <c r="F5" s="10"/>
      <c r="G5" s="2"/>
      <c r="H5" s="2"/>
    </row>
    <row r="6" spans="1:33" ht="29" x14ac:dyDescent="0.35">
      <c r="B6" s="51" t="s">
        <v>0</v>
      </c>
      <c r="C6" s="113" t="s">
        <v>1</v>
      </c>
      <c r="D6" s="113"/>
      <c r="E6" s="113"/>
      <c r="F6" s="114"/>
      <c r="G6" s="11"/>
      <c r="H6" s="11"/>
      <c r="I6" s="4"/>
      <c r="J6" s="4"/>
      <c r="K6" s="4"/>
      <c r="L6" s="4"/>
      <c r="M6" s="4"/>
      <c r="N6" s="4"/>
      <c r="O6" s="4"/>
      <c r="P6" s="4"/>
      <c r="Q6" s="4"/>
      <c r="R6" s="4"/>
      <c r="S6" s="4"/>
      <c r="T6" s="4"/>
      <c r="U6" s="4"/>
      <c r="V6" s="4"/>
      <c r="W6" s="4"/>
      <c r="X6" s="4"/>
      <c r="Y6" s="4"/>
      <c r="Z6" s="4"/>
      <c r="AA6" s="4"/>
      <c r="AB6" s="4"/>
      <c r="AC6" s="4"/>
      <c r="AD6" s="4"/>
      <c r="AE6" s="4"/>
      <c r="AF6" s="4"/>
      <c r="AG6" s="4"/>
    </row>
    <row r="7" spans="1:33" x14ac:dyDescent="0.2">
      <c r="B7" s="48"/>
      <c r="C7" s="8"/>
      <c r="D7" s="1"/>
      <c r="E7" s="84"/>
      <c r="F7" s="12"/>
      <c r="G7" s="2"/>
      <c r="H7" s="2"/>
      <c r="I7" s="4"/>
      <c r="J7" s="4"/>
      <c r="K7" s="4"/>
      <c r="L7" s="4"/>
      <c r="M7" s="4"/>
      <c r="N7" s="4"/>
      <c r="O7" s="4"/>
      <c r="P7" s="4"/>
      <c r="Q7" s="4"/>
      <c r="R7" s="4"/>
      <c r="S7" s="4"/>
      <c r="T7" s="4"/>
      <c r="U7" s="4"/>
      <c r="V7" s="4"/>
      <c r="W7" s="4"/>
      <c r="X7" s="4"/>
      <c r="Y7" s="4"/>
      <c r="Z7" s="4"/>
      <c r="AA7" s="4"/>
      <c r="AB7" s="4"/>
      <c r="AC7" s="4"/>
      <c r="AD7" s="4"/>
      <c r="AE7" s="4"/>
      <c r="AF7" s="4"/>
      <c r="AG7" s="4"/>
    </row>
    <row r="8" spans="1:33" s="17" customFormat="1" x14ac:dyDescent="0.2">
      <c r="A8" s="4"/>
      <c r="B8" s="49">
        <v>1</v>
      </c>
      <c r="C8" s="13" t="s">
        <v>7</v>
      </c>
      <c r="D8" s="45"/>
      <c r="E8" s="85"/>
      <c r="F8" s="30"/>
      <c r="G8" s="15"/>
      <c r="H8" s="15"/>
      <c r="I8" s="4"/>
      <c r="J8" s="4"/>
      <c r="K8" s="4"/>
      <c r="L8" s="4"/>
      <c r="M8" s="4"/>
      <c r="N8" s="4"/>
      <c r="O8" s="4"/>
      <c r="P8" s="4"/>
      <c r="Q8" s="4"/>
      <c r="R8" s="4"/>
      <c r="S8" s="4"/>
      <c r="T8" s="4"/>
      <c r="U8" s="4"/>
      <c r="V8" s="4"/>
      <c r="W8" s="4"/>
      <c r="X8" s="4"/>
      <c r="Y8" s="4"/>
      <c r="Z8" s="4"/>
      <c r="AA8" s="4"/>
      <c r="AB8" s="4"/>
      <c r="AC8" s="4"/>
      <c r="AD8" s="4"/>
      <c r="AE8" s="4"/>
      <c r="AF8" s="4"/>
      <c r="AG8" s="4"/>
    </row>
    <row r="9" spans="1:33" x14ac:dyDescent="0.2">
      <c r="B9" s="52"/>
      <c r="C9" s="56" t="s">
        <v>8</v>
      </c>
      <c r="D9" s="44"/>
      <c r="E9" s="86" t="s">
        <v>1034</v>
      </c>
      <c r="F9" s="28"/>
      <c r="G9" s="19"/>
      <c r="H9" s="21" t="b">
        <f>IF(D10="x",H$2,H$1)</f>
        <v>0</v>
      </c>
      <c r="I9" s="4"/>
      <c r="J9" s="4"/>
      <c r="K9" s="4"/>
      <c r="L9" s="4"/>
      <c r="M9" s="4"/>
      <c r="N9" s="4"/>
      <c r="O9" s="4"/>
      <c r="P9" s="4"/>
      <c r="Q9" s="4"/>
      <c r="R9" s="4"/>
      <c r="S9" s="4"/>
      <c r="T9" s="4"/>
      <c r="U9" s="4"/>
      <c r="V9" s="4"/>
      <c r="W9" s="4"/>
      <c r="X9" s="4"/>
      <c r="Y9" s="4"/>
      <c r="Z9" s="4"/>
      <c r="AA9" s="4"/>
      <c r="AB9" s="4"/>
      <c r="AC9" s="4"/>
      <c r="AD9" s="4"/>
      <c r="AE9" s="4"/>
      <c r="AF9" s="4"/>
      <c r="AG9" s="4"/>
    </row>
    <row r="10" spans="1:33" x14ac:dyDescent="0.2">
      <c r="B10" s="48"/>
      <c r="C10" s="57" t="s">
        <v>9</v>
      </c>
      <c r="D10" s="44"/>
      <c r="E10" s="86" t="s">
        <v>1035</v>
      </c>
      <c r="F10" s="22" t="str">
        <f>IF(H11=1,IF(H9=H$2,H9,""),"")</f>
        <v/>
      </c>
      <c r="G10" s="19"/>
      <c r="H10" s="21" t="str">
        <f>IF(E128="comprobar",COUNTIF(D9:D13,"x"),"")</f>
        <v/>
      </c>
      <c r="I10" s="4"/>
      <c r="J10" s="4"/>
      <c r="K10" s="4"/>
      <c r="L10" s="4"/>
      <c r="M10" s="4"/>
      <c r="N10" s="4"/>
      <c r="O10" s="4"/>
      <c r="P10" s="4"/>
      <c r="Q10" s="4"/>
      <c r="R10" s="4"/>
      <c r="S10" s="4"/>
      <c r="T10" s="4"/>
      <c r="U10" s="4"/>
      <c r="V10" s="4"/>
      <c r="W10" s="4"/>
      <c r="X10" s="4"/>
      <c r="Y10" s="4"/>
      <c r="Z10" s="4"/>
      <c r="AA10" s="4"/>
      <c r="AB10" s="4"/>
      <c r="AC10" s="4"/>
      <c r="AD10" s="4"/>
      <c r="AE10" s="4"/>
      <c r="AF10" s="4"/>
      <c r="AG10" s="4"/>
    </row>
    <row r="11" spans="1:33" x14ac:dyDescent="0.2">
      <c r="B11" s="48"/>
      <c r="C11" s="57" t="s">
        <v>10</v>
      </c>
      <c r="D11" s="44"/>
      <c r="E11" s="86" t="s">
        <v>1036</v>
      </c>
      <c r="F11" s="23" t="str">
        <f>IF(H11=-0.33,IF(H9=H$1,H9,""),"")</f>
        <v/>
      </c>
      <c r="G11" s="19"/>
      <c r="H11" s="24">
        <f>IF(H10=1,IF(H9=H$2,1,-0.33),0)</f>
        <v>0</v>
      </c>
      <c r="I11" s="4"/>
      <c r="J11" s="4"/>
      <c r="K11" s="4"/>
      <c r="L11" s="4"/>
      <c r="M11" s="4"/>
      <c r="N11" s="4"/>
      <c r="O11" s="4"/>
      <c r="P11" s="4"/>
      <c r="Q11" s="4"/>
      <c r="R11" s="4"/>
      <c r="S11" s="4"/>
      <c r="T11" s="4"/>
      <c r="U11" s="4"/>
      <c r="V11" s="4"/>
      <c r="W11" s="4"/>
      <c r="X11" s="4"/>
      <c r="Y11" s="4"/>
      <c r="Z11" s="4"/>
      <c r="AA11" s="4"/>
      <c r="AB11" s="4"/>
      <c r="AC11" s="4"/>
      <c r="AD11" s="4"/>
      <c r="AE11" s="4"/>
      <c r="AF11" s="4"/>
      <c r="AG11" s="4"/>
    </row>
    <row r="12" spans="1:33" x14ac:dyDescent="0.2">
      <c r="B12" s="48"/>
      <c r="C12" s="57"/>
      <c r="D12" s="44"/>
      <c r="E12" s="86" t="s">
        <v>1037</v>
      </c>
      <c r="F12" s="28"/>
      <c r="G12" s="19"/>
      <c r="H12" s="24"/>
      <c r="I12" s="4"/>
      <c r="J12" s="4"/>
      <c r="K12" s="4"/>
      <c r="L12" s="4"/>
      <c r="M12" s="4"/>
      <c r="N12" s="4"/>
      <c r="O12" s="4"/>
      <c r="P12" s="4"/>
      <c r="Q12" s="4"/>
      <c r="R12" s="4"/>
      <c r="S12" s="4"/>
      <c r="T12" s="4"/>
      <c r="U12" s="4"/>
      <c r="V12" s="4"/>
      <c r="W12" s="4"/>
      <c r="X12" s="4"/>
      <c r="Y12" s="4"/>
      <c r="Z12" s="4"/>
      <c r="AA12" s="4"/>
      <c r="AB12" s="4"/>
      <c r="AC12" s="4"/>
      <c r="AD12" s="4"/>
      <c r="AE12" s="4"/>
      <c r="AF12" s="4"/>
      <c r="AG12" s="4"/>
    </row>
    <row r="13" spans="1:33" x14ac:dyDescent="0.2">
      <c r="B13" s="48"/>
      <c r="C13" s="8"/>
      <c r="D13" s="44"/>
      <c r="E13" s="86" t="s">
        <v>1038</v>
      </c>
      <c r="F13" s="20"/>
      <c r="G13" s="19"/>
      <c r="H13" s="24"/>
      <c r="I13" s="4"/>
      <c r="J13" s="4"/>
      <c r="K13" s="4"/>
      <c r="L13" s="4"/>
      <c r="M13" s="4"/>
      <c r="N13" s="4"/>
      <c r="O13" s="4"/>
      <c r="P13" s="4"/>
      <c r="Q13" s="4"/>
      <c r="R13" s="4"/>
      <c r="S13" s="4"/>
      <c r="T13" s="4"/>
      <c r="U13" s="4"/>
      <c r="V13" s="4"/>
      <c r="W13" s="4"/>
      <c r="X13" s="4"/>
      <c r="Y13" s="4"/>
      <c r="Z13" s="4"/>
      <c r="AA13" s="4"/>
      <c r="AB13" s="4"/>
      <c r="AC13" s="4"/>
      <c r="AD13" s="4"/>
      <c r="AE13" s="4"/>
      <c r="AF13" s="4"/>
      <c r="AG13" s="4"/>
    </row>
    <row r="14" spans="1:33" s="17" customFormat="1" x14ac:dyDescent="0.2">
      <c r="A14" s="4"/>
      <c r="B14" s="49">
        <v>2</v>
      </c>
      <c r="C14" s="13" t="s">
        <v>11</v>
      </c>
      <c r="D14" s="45"/>
      <c r="E14" s="85"/>
      <c r="F14" s="30"/>
      <c r="G14" s="15"/>
      <c r="H14" s="15"/>
      <c r="I14" s="4"/>
      <c r="J14" s="4"/>
      <c r="K14" s="4"/>
      <c r="L14" s="4"/>
      <c r="M14" s="4"/>
      <c r="N14" s="4"/>
      <c r="O14" s="4"/>
      <c r="P14" s="4"/>
      <c r="Q14" s="4"/>
      <c r="R14" s="4"/>
      <c r="S14" s="4"/>
      <c r="T14" s="4"/>
      <c r="U14" s="4"/>
      <c r="V14" s="4"/>
      <c r="W14" s="4"/>
      <c r="X14" s="4"/>
      <c r="Y14" s="4"/>
      <c r="Z14" s="4"/>
      <c r="AA14" s="4"/>
      <c r="AB14" s="4"/>
      <c r="AC14" s="4"/>
      <c r="AD14" s="4"/>
      <c r="AE14" s="4"/>
      <c r="AF14" s="4"/>
      <c r="AG14" s="4"/>
    </row>
    <row r="15" spans="1:33" x14ac:dyDescent="0.2">
      <c r="B15" s="52"/>
      <c r="C15" s="56" t="s">
        <v>12</v>
      </c>
      <c r="D15" s="44"/>
      <c r="E15" s="86" t="s">
        <v>1034</v>
      </c>
      <c r="F15" s="28"/>
      <c r="G15" s="19"/>
      <c r="H15" s="21" t="b">
        <f>IF(D18="x",H$2,H$1)</f>
        <v>0</v>
      </c>
      <c r="I15" s="4"/>
      <c r="J15" s="4"/>
      <c r="K15" s="4"/>
      <c r="L15" s="4"/>
      <c r="M15" s="4"/>
      <c r="N15" s="4"/>
      <c r="O15" s="4"/>
      <c r="P15" s="4"/>
      <c r="Q15" s="4"/>
      <c r="R15" s="4"/>
      <c r="S15" s="4"/>
      <c r="T15" s="4"/>
      <c r="U15" s="4"/>
      <c r="V15" s="4"/>
      <c r="W15" s="4"/>
      <c r="X15" s="4"/>
      <c r="Y15" s="4"/>
      <c r="Z15" s="4"/>
      <c r="AA15" s="4"/>
      <c r="AB15" s="4"/>
      <c r="AC15" s="4"/>
      <c r="AD15" s="4"/>
      <c r="AE15" s="4"/>
      <c r="AF15" s="4"/>
      <c r="AG15" s="4"/>
    </row>
    <row r="16" spans="1:33" x14ac:dyDescent="0.2">
      <c r="B16" s="48"/>
      <c r="C16" s="57" t="s">
        <v>13</v>
      </c>
      <c r="D16" s="44"/>
      <c r="E16" s="86" t="s">
        <v>1035</v>
      </c>
      <c r="F16" s="22" t="str">
        <f>IF(H17=1,IF(H15=H$2,H15,""),"")</f>
        <v/>
      </c>
      <c r="G16" s="19"/>
      <c r="H16" s="21" t="str">
        <f>IF(E$128="comprobar",COUNTIF(D15:D19,"x"),"")</f>
        <v/>
      </c>
      <c r="I16" s="4"/>
      <c r="J16" s="4"/>
      <c r="K16" s="4"/>
      <c r="L16" s="4"/>
      <c r="M16" s="4"/>
      <c r="N16" s="4"/>
      <c r="O16" s="4"/>
      <c r="P16" s="4"/>
      <c r="Q16" s="4"/>
      <c r="R16" s="4"/>
      <c r="S16" s="4"/>
      <c r="T16" s="4"/>
      <c r="U16" s="4"/>
      <c r="V16" s="4"/>
      <c r="W16" s="4"/>
      <c r="X16" s="4"/>
      <c r="Y16" s="4"/>
      <c r="Z16" s="4"/>
      <c r="AA16" s="4"/>
      <c r="AB16" s="4"/>
      <c r="AC16" s="4"/>
      <c r="AD16" s="4"/>
      <c r="AE16" s="4"/>
      <c r="AF16" s="4"/>
      <c r="AG16" s="4"/>
    </row>
    <row r="17" spans="1:33" x14ac:dyDescent="0.2">
      <c r="B17" s="48"/>
      <c r="C17" s="57" t="s">
        <v>14</v>
      </c>
      <c r="D17" s="44"/>
      <c r="E17" s="86" t="s">
        <v>1036</v>
      </c>
      <c r="F17" s="23" t="str">
        <f>IF(H17=-0.33,IF(H15=H$1,H15,""),"")</f>
        <v/>
      </c>
      <c r="G17" s="19"/>
      <c r="H17" s="24">
        <f>IF(H16=1,IF(H15=H$2,1,-0.33),0)</f>
        <v>0</v>
      </c>
      <c r="I17" s="4"/>
      <c r="J17" s="4"/>
      <c r="K17" s="4"/>
      <c r="L17" s="4"/>
      <c r="M17" s="4"/>
      <c r="N17" s="4"/>
      <c r="O17" s="4"/>
      <c r="P17" s="4"/>
      <c r="Q17" s="4"/>
      <c r="R17" s="4"/>
      <c r="S17" s="4"/>
      <c r="T17" s="4"/>
      <c r="U17" s="4"/>
      <c r="V17" s="4"/>
      <c r="W17" s="4"/>
      <c r="X17" s="4"/>
      <c r="Y17" s="4"/>
      <c r="Z17" s="4"/>
      <c r="AA17" s="4"/>
      <c r="AB17" s="4"/>
      <c r="AC17" s="4"/>
      <c r="AD17" s="4"/>
      <c r="AE17" s="4"/>
      <c r="AF17" s="4"/>
      <c r="AG17" s="4"/>
    </row>
    <row r="18" spans="1:33" x14ac:dyDescent="0.2">
      <c r="B18" s="48"/>
      <c r="C18" s="57" t="s">
        <v>15</v>
      </c>
      <c r="D18" s="44"/>
      <c r="E18" s="86" t="s">
        <v>1037</v>
      </c>
      <c r="F18" s="28"/>
      <c r="G18" s="19"/>
      <c r="H18" s="19"/>
      <c r="I18" s="4"/>
      <c r="J18" s="4"/>
      <c r="K18" s="4"/>
      <c r="L18" s="4"/>
      <c r="M18" s="4"/>
      <c r="N18" s="4"/>
      <c r="O18" s="4"/>
      <c r="P18" s="4"/>
      <c r="Q18" s="4"/>
      <c r="R18" s="4"/>
      <c r="S18" s="4"/>
      <c r="T18" s="4"/>
      <c r="U18" s="4"/>
      <c r="V18" s="4"/>
      <c r="W18" s="4"/>
      <c r="X18" s="4"/>
      <c r="Y18" s="4"/>
      <c r="Z18" s="4"/>
      <c r="AA18" s="4"/>
      <c r="AB18" s="4"/>
      <c r="AC18" s="4"/>
      <c r="AD18" s="4"/>
      <c r="AE18" s="4"/>
      <c r="AF18" s="4"/>
      <c r="AG18" s="4"/>
    </row>
    <row r="19" spans="1:33" x14ac:dyDescent="0.2">
      <c r="B19" s="48"/>
      <c r="C19" s="8"/>
      <c r="D19" s="44"/>
      <c r="E19" s="86" t="s">
        <v>1038</v>
      </c>
      <c r="F19" s="20"/>
      <c r="G19" s="19"/>
      <c r="H19" s="19"/>
      <c r="I19" s="4"/>
      <c r="J19" s="4"/>
      <c r="K19" s="4"/>
      <c r="L19" s="4"/>
      <c r="M19" s="4"/>
      <c r="N19" s="4"/>
      <c r="O19" s="4"/>
      <c r="P19" s="4"/>
      <c r="Q19" s="4"/>
      <c r="R19" s="4"/>
      <c r="S19" s="4"/>
      <c r="T19" s="4"/>
      <c r="U19" s="4"/>
      <c r="V19" s="4"/>
      <c r="W19" s="4"/>
      <c r="X19" s="4"/>
      <c r="Y19" s="4"/>
      <c r="Z19" s="4"/>
      <c r="AA19" s="4"/>
      <c r="AB19" s="4"/>
      <c r="AC19" s="4"/>
      <c r="AD19" s="4"/>
      <c r="AE19" s="4"/>
      <c r="AF19" s="4"/>
      <c r="AG19" s="4"/>
    </row>
    <row r="20" spans="1:33" s="17" customFormat="1" x14ac:dyDescent="0.2">
      <c r="A20" s="4"/>
      <c r="B20" s="49">
        <v>3</v>
      </c>
      <c r="C20" s="13" t="s">
        <v>16</v>
      </c>
      <c r="D20" s="45"/>
      <c r="E20" s="85"/>
      <c r="F20" s="30"/>
      <c r="G20" s="15"/>
      <c r="H20" s="15"/>
      <c r="I20" s="4"/>
      <c r="J20" s="4"/>
      <c r="K20" s="4"/>
      <c r="L20" s="4"/>
      <c r="M20" s="4"/>
      <c r="N20" s="4"/>
      <c r="O20" s="4"/>
      <c r="P20" s="4"/>
      <c r="Q20" s="4"/>
      <c r="R20" s="4"/>
      <c r="S20" s="4"/>
      <c r="T20" s="4"/>
      <c r="U20" s="4"/>
      <c r="V20" s="4"/>
      <c r="W20" s="4"/>
      <c r="X20" s="4"/>
      <c r="Y20" s="4"/>
      <c r="Z20" s="4"/>
      <c r="AA20" s="4"/>
      <c r="AB20" s="4"/>
      <c r="AC20" s="4"/>
      <c r="AD20" s="4"/>
      <c r="AE20" s="4"/>
      <c r="AF20" s="4"/>
      <c r="AG20" s="4"/>
    </row>
    <row r="21" spans="1:33" x14ac:dyDescent="0.2">
      <c r="B21" s="52"/>
      <c r="C21" s="56" t="s">
        <v>17</v>
      </c>
      <c r="D21" s="44"/>
      <c r="E21" s="86" t="s">
        <v>1034</v>
      </c>
      <c r="F21" s="28"/>
      <c r="G21" s="19"/>
      <c r="H21" s="21" t="b">
        <f>IF(D23="x",H$2,H$1)</f>
        <v>0</v>
      </c>
      <c r="I21" s="4"/>
      <c r="J21" s="4"/>
      <c r="K21" s="4"/>
      <c r="L21" s="4"/>
      <c r="M21" s="4"/>
      <c r="N21" s="4"/>
      <c r="O21" s="4"/>
      <c r="P21" s="4"/>
      <c r="Q21" s="4"/>
      <c r="R21" s="4"/>
      <c r="S21" s="4"/>
      <c r="T21" s="4"/>
      <c r="U21" s="4"/>
      <c r="V21" s="4"/>
      <c r="W21" s="4"/>
      <c r="X21" s="4"/>
      <c r="Y21" s="4"/>
      <c r="Z21" s="4"/>
      <c r="AA21" s="4"/>
      <c r="AB21" s="4"/>
      <c r="AC21" s="4"/>
      <c r="AD21" s="4"/>
      <c r="AE21" s="4"/>
      <c r="AF21" s="4"/>
      <c r="AG21" s="4"/>
    </row>
    <row r="22" spans="1:33" x14ac:dyDescent="0.2">
      <c r="B22" s="48"/>
      <c r="C22" s="57" t="s">
        <v>18</v>
      </c>
      <c r="D22" s="44"/>
      <c r="E22" s="86" t="s">
        <v>1035</v>
      </c>
      <c r="F22" s="22" t="str">
        <f>IF(H23=1,IF(H21=H$2,H21,""),"")</f>
        <v/>
      </c>
      <c r="G22" s="19"/>
      <c r="H22" s="21" t="str">
        <f>IF(E$128="comprobar",COUNTIF(D21:D25,"x"),"")</f>
        <v/>
      </c>
      <c r="I22" s="4"/>
      <c r="J22" s="4"/>
      <c r="K22" s="4"/>
      <c r="L22" s="4"/>
      <c r="M22" s="4"/>
      <c r="N22" s="4"/>
      <c r="O22" s="4"/>
      <c r="P22" s="4"/>
      <c r="Q22" s="4"/>
      <c r="R22" s="4"/>
      <c r="S22" s="4"/>
      <c r="T22" s="4"/>
      <c r="U22" s="4"/>
      <c r="V22" s="4"/>
      <c r="W22" s="4"/>
      <c r="X22" s="4"/>
      <c r="Y22" s="4"/>
      <c r="Z22" s="4"/>
      <c r="AA22" s="4"/>
      <c r="AB22" s="4"/>
      <c r="AC22" s="4"/>
      <c r="AD22" s="4"/>
      <c r="AE22" s="4"/>
      <c r="AF22" s="4"/>
      <c r="AG22" s="4"/>
    </row>
    <row r="23" spans="1:33" x14ac:dyDescent="0.2">
      <c r="B23" s="48"/>
      <c r="C23" s="57" t="s">
        <v>19</v>
      </c>
      <c r="D23" s="44"/>
      <c r="E23" s="86" t="s">
        <v>1036</v>
      </c>
      <c r="F23" s="23" t="str">
        <f>IF(H23=-0.33,IF(H21=H$1,H21,""),"")</f>
        <v/>
      </c>
      <c r="G23" s="19"/>
      <c r="H23" s="24">
        <f>IF(H22=1,IF(H21=H$2,1,-0.33),0)</f>
        <v>0</v>
      </c>
      <c r="I23" s="4"/>
      <c r="J23" s="4"/>
      <c r="K23" s="4"/>
      <c r="L23" s="4"/>
      <c r="M23" s="4"/>
      <c r="N23" s="4"/>
      <c r="O23" s="4"/>
      <c r="P23" s="4"/>
      <c r="Q23" s="4"/>
      <c r="R23" s="4"/>
      <c r="S23" s="4"/>
      <c r="T23" s="4"/>
      <c r="U23" s="4"/>
      <c r="V23" s="4"/>
      <c r="W23" s="4"/>
      <c r="X23" s="4"/>
      <c r="Y23" s="4"/>
      <c r="Z23" s="4"/>
      <c r="AA23" s="4"/>
      <c r="AB23" s="4"/>
      <c r="AC23" s="4"/>
      <c r="AD23" s="4"/>
      <c r="AE23" s="4"/>
      <c r="AF23" s="4"/>
      <c r="AG23" s="4"/>
    </row>
    <row r="24" spans="1:33" x14ac:dyDescent="0.2">
      <c r="B24" s="48"/>
      <c r="C24" s="57"/>
      <c r="D24" s="44"/>
      <c r="E24" s="86" t="s">
        <v>1037</v>
      </c>
      <c r="F24" s="28"/>
      <c r="G24" s="19"/>
      <c r="H24" s="24"/>
      <c r="I24" s="4"/>
      <c r="J24" s="4"/>
      <c r="K24" s="4"/>
      <c r="L24" s="4"/>
      <c r="M24" s="4"/>
      <c r="N24" s="4"/>
      <c r="O24" s="4"/>
      <c r="P24" s="4"/>
      <c r="Q24" s="4"/>
      <c r="R24" s="4"/>
      <c r="S24" s="4"/>
      <c r="T24" s="4"/>
      <c r="U24" s="4"/>
      <c r="V24" s="4"/>
      <c r="W24" s="4"/>
      <c r="X24" s="4"/>
      <c r="Y24" s="4"/>
      <c r="Z24" s="4"/>
      <c r="AA24" s="4"/>
      <c r="AB24" s="4"/>
      <c r="AC24" s="4"/>
      <c r="AD24" s="4"/>
      <c r="AE24" s="4"/>
      <c r="AF24" s="4"/>
      <c r="AG24" s="4"/>
    </row>
    <row r="25" spans="1:33" x14ac:dyDescent="0.2">
      <c r="B25" s="48"/>
      <c r="C25" s="8"/>
      <c r="D25" s="44"/>
      <c r="E25" s="86" t="s">
        <v>1038</v>
      </c>
      <c r="F25" s="20"/>
      <c r="G25" s="19"/>
      <c r="H25" s="24"/>
      <c r="I25" s="4"/>
      <c r="J25" s="4"/>
      <c r="K25" s="4"/>
      <c r="L25" s="4"/>
      <c r="M25" s="4"/>
      <c r="N25" s="4"/>
      <c r="O25" s="4"/>
      <c r="P25" s="4"/>
      <c r="Q25" s="4"/>
      <c r="R25" s="4"/>
      <c r="S25" s="4"/>
      <c r="T25" s="4"/>
      <c r="U25" s="4"/>
      <c r="V25" s="4"/>
      <c r="W25" s="4"/>
      <c r="X25" s="4"/>
      <c r="Y25" s="4"/>
      <c r="Z25" s="4"/>
      <c r="AA25" s="4"/>
      <c r="AB25" s="4"/>
      <c r="AC25" s="4"/>
      <c r="AD25" s="4"/>
      <c r="AE25" s="4"/>
      <c r="AF25" s="4"/>
      <c r="AG25" s="4"/>
    </row>
    <row r="26" spans="1:33" s="17" customFormat="1" x14ac:dyDescent="0.2">
      <c r="A26" s="4"/>
      <c r="B26" s="49">
        <v>4</v>
      </c>
      <c r="C26" s="13" t="s">
        <v>20</v>
      </c>
      <c r="D26" s="45"/>
      <c r="E26" s="85"/>
      <c r="F26" s="30"/>
      <c r="G26" s="15"/>
      <c r="H26" s="15"/>
      <c r="I26" s="4"/>
      <c r="J26" s="4"/>
      <c r="K26" s="4"/>
      <c r="L26" s="4"/>
      <c r="M26" s="4"/>
      <c r="N26" s="4"/>
      <c r="O26" s="4"/>
      <c r="P26" s="4"/>
      <c r="Q26" s="4"/>
      <c r="R26" s="4"/>
      <c r="S26" s="4"/>
      <c r="T26" s="4"/>
      <c r="U26" s="4"/>
      <c r="V26" s="4"/>
      <c r="W26" s="4"/>
      <c r="X26" s="4"/>
      <c r="Y26" s="4"/>
      <c r="Z26" s="4"/>
      <c r="AA26" s="4"/>
      <c r="AB26" s="4"/>
      <c r="AC26" s="4"/>
      <c r="AD26" s="4"/>
      <c r="AE26" s="4"/>
      <c r="AF26" s="4"/>
      <c r="AG26" s="4"/>
    </row>
    <row r="27" spans="1:33" x14ac:dyDescent="0.2">
      <c r="B27" s="52"/>
      <c r="C27" s="56" t="s">
        <v>21</v>
      </c>
      <c r="D27" s="44"/>
      <c r="E27" s="86" t="s">
        <v>1034</v>
      </c>
      <c r="F27" s="28"/>
      <c r="G27" s="19"/>
      <c r="H27" s="21" t="b">
        <f>IF(D28="x",H$2,H$1)</f>
        <v>0</v>
      </c>
      <c r="I27" s="4"/>
      <c r="J27" s="4"/>
      <c r="K27" s="4"/>
      <c r="L27" s="4"/>
      <c r="M27" s="4"/>
      <c r="N27" s="4"/>
      <c r="O27" s="4"/>
      <c r="P27" s="4"/>
      <c r="Q27" s="4"/>
      <c r="R27" s="4"/>
      <c r="S27" s="4"/>
      <c r="T27" s="4"/>
      <c r="U27" s="4"/>
      <c r="V27" s="4"/>
      <c r="W27" s="4"/>
      <c r="X27" s="4"/>
      <c r="Y27" s="4"/>
      <c r="Z27" s="4"/>
      <c r="AA27" s="4"/>
      <c r="AB27" s="4"/>
      <c r="AC27" s="4"/>
      <c r="AD27" s="4"/>
      <c r="AE27" s="4"/>
      <c r="AF27" s="4"/>
      <c r="AG27" s="4"/>
    </row>
    <row r="28" spans="1:33" x14ac:dyDescent="0.2">
      <c r="B28" s="48"/>
      <c r="C28" s="57" t="s">
        <v>22</v>
      </c>
      <c r="D28" s="44"/>
      <c r="E28" s="86" t="s">
        <v>1035</v>
      </c>
      <c r="F28" s="22" t="str">
        <f>IF(H29=1,IF(H27=H$2,H27,""),"")</f>
        <v/>
      </c>
      <c r="G28" s="19"/>
      <c r="H28" s="21" t="str">
        <f>IF(E$128="comprobar",COUNTIF(D27:D31,"x"),"")</f>
        <v/>
      </c>
      <c r="I28" s="4"/>
      <c r="J28" s="4"/>
      <c r="K28" s="4"/>
      <c r="L28" s="4"/>
      <c r="M28" s="4"/>
      <c r="N28" s="4"/>
      <c r="O28" s="4"/>
      <c r="P28" s="4"/>
      <c r="Q28" s="4"/>
      <c r="R28" s="4"/>
      <c r="S28" s="4"/>
      <c r="T28" s="4"/>
      <c r="U28" s="4"/>
      <c r="V28" s="4"/>
      <c r="W28" s="4"/>
      <c r="X28" s="4"/>
      <c r="Y28" s="4"/>
      <c r="Z28" s="4"/>
      <c r="AA28" s="4"/>
      <c r="AB28" s="4"/>
      <c r="AC28" s="4"/>
      <c r="AD28" s="4"/>
      <c r="AE28" s="4"/>
      <c r="AF28" s="4"/>
      <c r="AG28" s="4"/>
    </row>
    <row r="29" spans="1:33" x14ac:dyDescent="0.2">
      <c r="B29" s="48"/>
      <c r="C29" s="57" t="s">
        <v>23</v>
      </c>
      <c r="D29" s="44"/>
      <c r="E29" s="86" t="s">
        <v>1036</v>
      </c>
      <c r="F29" s="23" t="str">
        <f>IF(H29=-0.33,IF(H27=H$1,H27,""),"")</f>
        <v/>
      </c>
      <c r="G29" s="19"/>
      <c r="H29" s="24">
        <f>IF(H28=1,IF(H27=H$2,1,-0.33),0)</f>
        <v>0</v>
      </c>
      <c r="I29" s="4"/>
      <c r="J29" s="4"/>
      <c r="K29" s="4"/>
      <c r="L29" s="4"/>
      <c r="M29" s="4"/>
      <c r="N29" s="4"/>
      <c r="O29" s="4"/>
      <c r="P29" s="4"/>
      <c r="Q29" s="4"/>
      <c r="R29" s="4"/>
      <c r="S29" s="4"/>
      <c r="T29" s="4"/>
      <c r="U29" s="4"/>
      <c r="V29" s="4"/>
      <c r="W29" s="4"/>
      <c r="X29" s="4"/>
      <c r="Y29" s="4"/>
      <c r="Z29" s="4"/>
      <c r="AA29" s="4"/>
      <c r="AB29" s="4"/>
      <c r="AC29" s="4"/>
      <c r="AD29" s="4"/>
      <c r="AE29" s="4"/>
      <c r="AF29" s="4"/>
      <c r="AG29" s="4"/>
    </row>
    <row r="30" spans="1:33" x14ac:dyDescent="0.2">
      <c r="B30" s="48"/>
      <c r="C30" s="57"/>
      <c r="D30" s="44"/>
      <c r="E30" s="86" t="s">
        <v>1037</v>
      </c>
      <c r="F30" s="28"/>
      <c r="G30" s="19"/>
      <c r="H30" s="24"/>
      <c r="I30" s="4"/>
      <c r="J30" s="4"/>
      <c r="K30" s="4"/>
      <c r="L30" s="4"/>
      <c r="M30" s="4"/>
      <c r="N30" s="4"/>
      <c r="O30" s="4"/>
      <c r="P30" s="4"/>
      <c r="Q30" s="4"/>
      <c r="R30" s="4"/>
      <c r="S30" s="4"/>
      <c r="T30" s="4"/>
      <c r="U30" s="4"/>
      <c r="V30" s="4"/>
      <c r="W30" s="4"/>
      <c r="X30" s="4"/>
      <c r="Y30" s="4"/>
      <c r="Z30" s="4"/>
      <c r="AA30" s="4"/>
      <c r="AB30" s="4"/>
      <c r="AC30" s="4"/>
      <c r="AD30" s="4"/>
      <c r="AE30" s="4"/>
      <c r="AF30" s="4"/>
      <c r="AG30" s="4"/>
    </row>
    <row r="31" spans="1:33" x14ac:dyDescent="0.2">
      <c r="B31" s="48"/>
      <c r="C31" s="8"/>
      <c r="D31" s="44"/>
      <c r="E31" s="86" t="s">
        <v>1038</v>
      </c>
      <c r="F31" s="20"/>
      <c r="G31" s="19"/>
      <c r="H31" s="24"/>
      <c r="I31" s="4"/>
      <c r="J31" s="4"/>
      <c r="K31" s="4"/>
      <c r="L31" s="4"/>
      <c r="M31" s="4"/>
      <c r="N31" s="4"/>
      <c r="O31" s="4"/>
      <c r="P31" s="4"/>
      <c r="Q31" s="4"/>
      <c r="R31" s="4"/>
      <c r="S31" s="4"/>
      <c r="T31" s="4"/>
      <c r="U31" s="4"/>
      <c r="V31" s="4"/>
      <c r="W31" s="4"/>
      <c r="X31" s="4"/>
      <c r="Y31" s="4"/>
      <c r="Z31" s="4"/>
      <c r="AA31" s="4"/>
      <c r="AB31" s="4"/>
      <c r="AC31" s="4"/>
      <c r="AD31" s="4"/>
      <c r="AE31" s="4"/>
      <c r="AF31" s="4"/>
      <c r="AG31" s="4"/>
    </row>
    <row r="32" spans="1:33" s="17" customFormat="1" x14ac:dyDescent="0.2">
      <c r="A32" s="4"/>
      <c r="B32" s="49">
        <v>5</v>
      </c>
      <c r="C32" s="13" t="s">
        <v>24</v>
      </c>
      <c r="D32" s="45"/>
      <c r="E32" s="85"/>
      <c r="F32" s="30"/>
      <c r="G32" s="15"/>
      <c r="H32" s="15"/>
      <c r="I32" s="4"/>
      <c r="J32" s="4"/>
      <c r="K32" s="4"/>
      <c r="L32" s="4"/>
      <c r="M32" s="4"/>
      <c r="N32" s="4"/>
      <c r="O32" s="4"/>
      <c r="P32" s="4"/>
      <c r="Q32" s="4"/>
      <c r="R32" s="4"/>
      <c r="S32" s="4"/>
      <c r="T32" s="4"/>
      <c r="U32" s="4"/>
      <c r="V32" s="4"/>
      <c r="W32" s="4"/>
      <c r="X32" s="4"/>
      <c r="Y32" s="4"/>
      <c r="Z32" s="4"/>
      <c r="AA32" s="4"/>
      <c r="AB32" s="4"/>
      <c r="AC32" s="4"/>
      <c r="AD32" s="4"/>
      <c r="AE32" s="4"/>
      <c r="AF32" s="4"/>
      <c r="AG32" s="4"/>
    </row>
    <row r="33" spans="1:33" x14ac:dyDescent="0.2">
      <c r="B33" s="52"/>
      <c r="C33" s="56" t="s">
        <v>25</v>
      </c>
      <c r="D33" s="44"/>
      <c r="E33" s="86" t="s">
        <v>1034</v>
      </c>
      <c r="F33" s="28"/>
      <c r="G33" s="19"/>
      <c r="H33" s="21" t="b">
        <f>IF(D36="x",H$2,H$1)</f>
        <v>0</v>
      </c>
      <c r="I33" s="4"/>
      <c r="J33" s="4"/>
      <c r="K33" s="4"/>
      <c r="L33" s="4"/>
      <c r="M33" s="4"/>
      <c r="N33" s="4"/>
      <c r="O33" s="4"/>
      <c r="P33" s="4"/>
      <c r="Q33" s="4"/>
      <c r="R33" s="4"/>
      <c r="S33" s="4"/>
      <c r="T33" s="4"/>
      <c r="U33" s="4"/>
      <c r="V33" s="4"/>
      <c r="W33" s="4"/>
      <c r="X33" s="4"/>
      <c r="Y33" s="4"/>
      <c r="Z33" s="4"/>
      <c r="AA33" s="4"/>
      <c r="AB33" s="4"/>
      <c r="AC33" s="4"/>
      <c r="AD33" s="4"/>
      <c r="AE33" s="4"/>
      <c r="AF33" s="4"/>
      <c r="AG33" s="4"/>
    </row>
    <row r="34" spans="1:33" x14ac:dyDescent="0.2">
      <c r="B34" s="48"/>
      <c r="C34" s="57" t="s">
        <v>26</v>
      </c>
      <c r="D34" s="44"/>
      <c r="E34" s="86" t="s">
        <v>1035</v>
      </c>
      <c r="F34" s="22" t="str">
        <f>IF(H35=1,IF(H33=H$2,H33,""),"")</f>
        <v/>
      </c>
      <c r="G34" s="19"/>
      <c r="H34" s="21" t="str">
        <f>IF(E$128="comprobar",COUNTIF(D33:D37,"x"),"")</f>
        <v/>
      </c>
      <c r="I34" s="4"/>
      <c r="J34" s="4"/>
      <c r="K34" s="4"/>
      <c r="L34" s="4"/>
      <c r="M34" s="4"/>
      <c r="N34" s="4"/>
      <c r="O34" s="4"/>
      <c r="P34" s="4"/>
      <c r="Q34" s="4"/>
      <c r="R34" s="4"/>
      <c r="S34" s="4"/>
      <c r="T34" s="4"/>
      <c r="U34" s="4"/>
      <c r="V34" s="4"/>
      <c r="W34" s="4"/>
      <c r="X34" s="4"/>
      <c r="Y34" s="4"/>
      <c r="Z34" s="4"/>
      <c r="AA34" s="4"/>
      <c r="AB34" s="4"/>
      <c r="AC34" s="4"/>
      <c r="AD34" s="4"/>
      <c r="AE34" s="4"/>
      <c r="AF34" s="4"/>
      <c r="AG34" s="4"/>
    </row>
    <row r="35" spans="1:33" x14ac:dyDescent="0.2">
      <c r="B35" s="48"/>
      <c r="C35" s="57" t="s">
        <v>27</v>
      </c>
      <c r="D35" s="44"/>
      <c r="E35" s="86" t="s">
        <v>1036</v>
      </c>
      <c r="F35" s="23" t="str">
        <f>IF(H35=-0.33,IF(H33=H$1,H33,""),"")</f>
        <v/>
      </c>
      <c r="G35" s="19"/>
      <c r="H35" s="24">
        <f t="shared" ref="H35" si="0">IF(H34=1,IF(H33=H$2,1,-0.33),0)</f>
        <v>0</v>
      </c>
      <c r="I35" s="4"/>
      <c r="J35" s="4"/>
      <c r="K35" s="4"/>
      <c r="L35" s="4"/>
      <c r="M35" s="4"/>
      <c r="N35" s="4"/>
      <c r="O35" s="4"/>
      <c r="P35" s="4"/>
      <c r="Q35" s="4"/>
      <c r="R35" s="4"/>
      <c r="S35" s="4"/>
      <c r="T35" s="4"/>
      <c r="U35" s="4"/>
      <c r="V35" s="4"/>
      <c r="W35" s="4"/>
      <c r="X35" s="4"/>
      <c r="Y35" s="4"/>
      <c r="Z35" s="4"/>
      <c r="AA35" s="4"/>
      <c r="AB35" s="4"/>
      <c r="AC35" s="4"/>
      <c r="AD35" s="4"/>
      <c r="AE35" s="4"/>
      <c r="AF35" s="4"/>
      <c r="AG35" s="4"/>
    </row>
    <row r="36" spans="1:33" x14ac:dyDescent="0.2">
      <c r="B36" s="48"/>
      <c r="C36" s="57" t="s">
        <v>28</v>
      </c>
      <c r="D36" s="44"/>
      <c r="E36" s="86" t="s">
        <v>1037</v>
      </c>
      <c r="F36" s="28"/>
      <c r="G36" s="19"/>
      <c r="H36" s="19"/>
      <c r="I36" s="4"/>
      <c r="J36" s="4"/>
      <c r="K36" s="4"/>
      <c r="L36" s="4"/>
      <c r="M36" s="4"/>
      <c r="N36" s="4"/>
      <c r="O36" s="4"/>
      <c r="P36" s="4"/>
      <c r="Q36" s="4"/>
      <c r="R36" s="4"/>
      <c r="S36" s="4"/>
      <c r="T36" s="4"/>
      <c r="U36" s="4"/>
      <c r="V36" s="4"/>
      <c r="W36" s="4"/>
      <c r="X36" s="4"/>
      <c r="Y36" s="4"/>
      <c r="Z36" s="4"/>
      <c r="AA36" s="4"/>
      <c r="AB36" s="4"/>
      <c r="AC36" s="4"/>
      <c r="AD36" s="4"/>
      <c r="AE36" s="4"/>
      <c r="AF36" s="4"/>
      <c r="AG36" s="4"/>
    </row>
    <row r="37" spans="1:33" x14ac:dyDescent="0.2">
      <c r="B37" s="48"/>
      <c r="C37" s="8" t="s">
        <v>29</v>
      </c>
      <c r="D37" s="44"/>
      <c r="E37" s="86" t="s">
        <v>1038</v>
      </c>
      <c r="F37" s="20"/>
      <c r="G37" s="19"/>
      <c r="H37" s="19"/>
      <c r="I37" s="4"/>
      <c r="J37" s="4"/>
      <c r="K37" s="4"/>
      <c r="L37" s="4"/>
      <c r="M37" s="4"/>
      <c r="N37" s="4"/>
      <c r="O37" s="4"/>
      <c r="P37" s="4"/>
      <c r="Q37" s="4"/>
      <c r="R37" s="4"/>
      <c r="S37" s="4"/>
      <c r="T37" s="4"/>
      <c r="U37" s="4"/>
      <c r="V37" s="4"/>
      <c r="W37" s="4"/>
      <c r="X37" s="4"/>
      <c r="Y37" s="4"/>
      <c r="Z37" s="4"/>
      <c r="AA37" s="4"/>
      <c r="AB37" s="4"/>
      <c r="AC37" s="4"/>
      <c r="AD37" s="4"/>
      <c r="AE37" s="4"/>
      <c r="AF37" s="4"/>
      <c r="AG37" s="4"/>
    </row>
    <row r="38" spans="1:33" s="17" customFormat="1" x14ac:dyDescent="0.2">
      <c r="A38" s="4"/>
      <c r="B38" s="49">
        <v>6</v>
      </c>
      <c r="C38" s="13" t="s">
        <v>30</v>
      </c>
      <c r="D38" s="45"/>
      <c r="E38" s="85"/>
      <c r="F38" s="30"/>
      <c r="G38" s="15"/>
      <c r="H38" s="15"/>
      <c r="I38" s="4"/>
      <c r="J38" s="4"/>
      <c r="K38" s="4"/>
      <c r="L38" s="4"/>
      <c r="M38" s="4"/>
      <c r="N38" s="4"/>
      <c r="O38" s="4"/>
      <c r="P38" s="4"/>
      <c r="Q38" s="4"/>
      <c r="R38" s="4"/>
      <c r="S38" s="4"/>
      <c r="T38" s="4"/>
      <c r="U38" s="4"/>
      <c r="V38" s="4"/>
      <c r="W38" s="4"/>
      <c r="X38" s="4"/>
      <c r="Y38" s="4"/>
      <c r="Z38" s="4"/>
      <c r="AA38" s="4"/>
      <c r="AB38" s="4"/>
      <c r="AC38" s="4"/>
      <c r="AD38" s="4"/>
      <c r="AE38" s="4"/>
      <c r="AF38" s="4"/>
      <c r="AG38" s="4"/>
    </row>
    <row r="39" spans="1:33" x14ac:dyDescent="0.2">
      <c r="B39" s="52"/>
      <c r="C39" s="56" t="s">
        <v>31</v>
      </c>
      <c r="D39" s="44"/>
      <c r="E39" s="86" t="s">
        <v>1034</v>
      </c>
      <c r="F39" s="28"/>
      <c r="G39" s="19"/>
      <c r="H39" s="21" t="b">
        <f>IF(D41="x",H$2,H$1)</f>
        <v>0</v>
      </c>
      <c r="I39" s="4"/>
      <c r="J39" s="4"/>
      <c r="K39" s="4"/>
      <c r="L39" s="4"/>
      <c r="M39" s="4"/>
      <c r="N39" s="4"/>
      <c r="O39" s="4"/>
      <c r="P39" s="4"/>
      <c r="Q39" s="4"/>
      <c r="R39" s="4"/>
      <c r="S39" s="4"/>
      <c r="T39" s="4"/>
      <c r="U39" s="4"/>
      <c r="V39" s="4"/>
      <c r="W39" s="4"/>
      <c r="X39" s="4"/>
      <c r="Y39" s="4"/>
      <c r="Z39" s="4"/>
      <c r="AA39" s="4"/>
      <c r="AB39" s="4"/>
      <c r="AC39" s="4"/>
      <c r="AD39" s="4"/>
      <c r="AE39" s="4"/>
      <c r="AF39" s="4"/>
      <c r="AG39" s="4"/>
    </row>
    <row r="40" spans="1:33" x14ac:dyDescent="0.2">
      <c r="B40" s="48"/>
      <c r="C40" s="57" t="s">
        <v>32</v>
      </c>
      <c r="D40" s="44"/>
      <c r="E40" s="86" t="s">
        <v>1035</v>
      </c>
      <c r="F40" s="22" t="str">
        <f>IF(H41=1,IF(H39=H$2,H39,""),"")</f>
        <v/>
      </c>
      <c r="G40" s="19"/>
      <c r="H40" s="21" t="str">
        <f>IF(E$128="comprobar",COUNTIF(D39:D43,"x"),"")</f>
        <v/>
      </c>
      <c r="I40" s="4"/>
      <c r="J40" s="4"/>
      <c r="K40" s="4"/>
      <c r="L40" s="4"/>
      <c r="M40" s="4"/>
      <c r="N40" s="4"/>
      <c r="O40" s="4"/>
      <c r="P40" s="4"/>
      <c r="Q40" s="4"/>
      <c r="R40" s="4"/>
      <c r="S40" s="4"/>
      <c r="T40" s="4"/>
      <c r="U40" s="4"/>
      <c r="V40" s="4"/>
      <c r="W40" s="4"/>
      <c r="X40" s="4"/>
      <c r="Y40" s="4"/>
      <c r="Z40" s="4"/>
      <c r="AA40" s="4"/>
      <c r="AB40" s="4"/>
      <c r="AC40" s="4"/>
      <c r="AD40" s="4"/>
      <c r="AE40" s="4"/>
      <c r="AF40" s="4"/>
      <c r="AG40" s="4"/>
    </row>
    <row r="41" spans="1:33" x14ac:dyDescent="0.2">
      <c r="B41" s="48"/>
      <c r="C41" s="57" t="s">
        <v>33</v>
      </c>
      <c r="D41" s="44"/>
      <c r="E41" s="86" t="s">
        <v>1036</v>
      </c>
      <c r="F41" s="23" t="str">
        <f>IF(H41=-0.33,IF(H39=H$1,H39,""),"")</f>
        <v/>
      </c>
      <c r="G41" s="19"/>
      <c r="H41" s="24">
        <f>IF(H40=1,IF(H39=H$2,1,-0.33),0)</f>
        <v>0</v>
      </c>
      <c r="I41" s="4"/>
      <c r="J41" s="4"/>
      <c r="K41" s="4"/>
      <c r="L41" s="4"/>
      <c r="M41" s="4"/>
      <c r="N41" s="4"/>
      <c r="O41" s="4"/>
      <c r="P41" s="4"/>
      <c r="Q41" s="4"/>
      <c r="R41" s="4"/>
      <c r="S41" s="4"/>
      <c r="T41" s="4"/>
      <c r="U41" s="4"/>
      <c r="V41" s="4"/>
      <c r="W41" s="4"/>
      <c r="X41" s="4"/>
      <c r="Y41" s="4"/>
      <c r="Z41" s="4"/>
      <c r="AA41" s="4"/>
      <c r="AB41" s="4"/>
      <c r="AC41" s="4"/>
      <c r="AD41" s="4"/>
      <c r="AE41" s="4"/>
      <c r="AF41" s="4"/>
      <c r="AG41" s="4"/>
    </row>
    <row r="42" spans="1:33" x14ac:dyDescent="0.2">
      <c r="B42" s="48"/>
      <c r="C42" s="57" t="s">
        <v>34</v>
      </c>
      <c r="D42" s="44"/>
      <c r="E42" s="86" t="s">
        <v>1037</v>
      </c>
      <c r="F42" s="28"/>
      <c r="G42" s="19"/>
      <c r="H42" s="19"/>
      <c r="I42" s="4"/>
      <c r="J42" s="4"/>
      <c r="K42" s="4"/>
      <c r="L42" s="4"/>
      <c r="M42" s="4"/>
      <c r="N42" s="4"/>
      <c r="O42" s="4"/>
      <c r="P42" s="4"/>
      <c r="Q42" s="4"/>
      <c r="R42" s="4"/>
      <c r="S42" s="4"/>
      <c r="T42" s="4"/>
      <c r="U42" s="4"/>
      <c r="V42" s="4"/>
      <c r="W42" s="4"/>
      <c r="X42" s="4"/>
      <c r="Y42" s="4"/>
      <c r="Z42" s="4"/>
      <c r="AA42" s="4"/>
      <c r="AB42" s="4"/>
      <c r="AC42" s="4"/>
      <c r="AD42" s="4"/>
      <c r="AE42" s="4"/>
      <c r="AF42" s="4"/>
      <c r="AG42" s="4"/>
    </row>
    <row r="43" spans="1:33" x14ac:dyDescent="0.2">
      <c r="B43" s="48"/>
      <c r="C43" s="8"/>
      <c r="D43" s="44"/>
      <c r="E43" s="86" t="s">
        <v>1038</v>
      </c>
      <c r="F43" s="20"/>
      <c r="G43" s="19"/>
      <c r="H43" s="19"/>
      <c r="I43" s="4"/>
      <c r="J43" s="4"/>
      <c r="K43" s="4"/>
      <c r="L43" s="4"/>
      <c r="M43" s="4"/>
      <c r="N43" s="4"/>
      <c r="O43" s="4"/>
      <c r="P43" s="4"/>
      <c r="Q43" s="4"/>
      <c r="R43" s="4"/>
      <c r="S43" s="4"/>
      <c r="T43" s="4"/>
      <c r="U43" s="4"/>
      <c r="V43" s="4"/>
      <c r="W43" s="4"/>
      <c r="X43" s="4"/>
      <c r="Y43" s="4"/>
      <c r="Z43" s="4"/>
      <c r="AA43" s="4"/>
      <c r="AB43" s="4"/>
      <c r="AC43" s="4"/>
      <c r="AD43" s="4"/>
      <c r="AE43" s="4"/>
      <c r="AF43" s="4"/>
      <c r="AG43" s="4"/>
    </row>
    <row r="44" spans="1:33" s="17" customFormat="1" x14ac:dyDescent="0.2">
      <c r="A44" s="4"/>
      <c r="B44" s="49">
        <v>7</v>
      </c>
      <c r="C44" s="13" t="s">
        <v>35</v>
      </c>
      <c r="D44" s="45"/>
      <c r="E44" s="85"/>
      <c r="F44" s="30"/>
      <c r="G44" s="15"/>
      <c r="H44" s="15"/>
      <c r="I44" s="4"/>
      <c r="J44" s="4"/>
      <c r="K44" s="4"/>
      <c r="L44" s="4"/>
      <c r="M44" s="4"/>
      <c r="N44" s="4"/>
      <c r="O44" s="4"/>
      <c r="P44" s="4"/>
      <c r="Q44" s="4"/>
      <c r="R44" s="4"/>
      <c r="S44" s="4"/>
      <c r="T44" s="4"/>
      <c r="U44" s="4"/>
      <c r="V44" s="4"/>
      <c r="W44" s="4"/>
      <c r="X44" s="4"/>
      <c r="Y44" s="4"/>
      <c r="Z44" s="4"/>
      <c r="AA44" s="4"/>
      <c r="AB44" s="4"/>
      <c r="AC44" s="4"/>
      <c r="AD44" s="4"/>
      <c r="AE44" s="4"/>
      <c r="AF44" s="4"/>
      <c r="AG44" s="4"/>
    </row>
    <row r="45" spans="1:33" x14ac:dyDescent="0.2">
      <c r="B45" s="52"/>
      <c r="C45" s="56" t="s">
        <v>36</v>
      </c>
      <c r="D45" s="44"/>
      <c r="E45" s="86" t="s">
        <v>1034</v>
      </c>
      <c r="F45" s="28"/>
      <c r="G45" s="19"/>
      <c r="H45" s="21" t="b">
        <f>IF(D45="x",H$2,H$1)</f>
        <v>0</v>
      </c>
      <c r="I45" s="4"/>
      <c r="J45" s="4"/>
      <c r="K45" s="4"/>
      <c r="L45" s="4"/>
      <c r="M45" s="4"/>
      <c r="N45" s="4"/>
      <c r="O45" s="4"/>
      <c r="P45" s="4"/>
      <c r="Q45" s="4"/>
      <c r="R45" s="4"/>
      <c r="S45" s="4"/>
      <c r="T45" s="4"/>
      <c r="U45" s="4"/>
      <c r="V45" s="4"/>
      <c r="W45" s="4"/>
      <c r="X45" s="4"/>
      <c r="Y45" s="4"/>
      <c r="Z45" s="4"/>
      <c r="AA45" s="4"/>
      <c r="AB45" s="4"/>
      <c r="AC45" s="4"/>
      <c r="AD45" s="4"/>
      <c r="AE45" s="4"/>
      <c r="AF45" s="4"/>
      <c r="AG45" s="4"/>
    </row>
    <row r="46" spans="1:33" x14ac:dyDescent="0.2">
      <c r="B46" s="48"/>
      <c r="C46" s="57" t="s">
        <v>37</v>
      </c>
      <c r="D46" s="44"/>
      <c r="E46" s="86" t="s">
        <v>1035</v>
      </c>
      <c r="F46" s="22" t="str">
        <f>IF(H47=1,IF(H45=H$2,H45,""),"")</f>
        <v/>
      </c>
      <c r="G46" s="19"/>
      <c r="H46" s="21" t="str">
        <f>IF(E$128="comprobar",COUNTIF(D45:D49,"x"),"")</f>
        <v/>
      </c>
      <c r="I46" s="4"/>
      <c r="J46" s="4"/>
      <c r="K46" s="4"/>
      <c r="L46" s="4"/>
      <c r="M46" s="4"/>
      <c r="N46" s="4"/>
      <c r="O46" s="4"/>
      <c r="P46" s="4"/>
      <c r="Q46" s="4"/>
      <c r="R46" s="4"/>
      <c r="S46" s="4"/>
      <c r="T46" s="4"/>
      <c r="U46" s="4"/>
      <c r="V46" s="4"/>
      <c r="W46" s="4"/>
      <c r="X46" s="4"/>
      <c r="Y46" s="4"/>
      <c r="Z46" s="4"/>
      <c r="AA46" s="4"/>
      <c r="AB46" s="4"/>
      <c r="AC46" s="4"/>
      <c r="AD46" s="4"/>
      <c r="AE46" s="4"/>
      <c r="AF46" s="4"/>
      <c r="AG46" s="4"/>
    </row>
    <row r="47" spans="1:33" x14ac:dyDescent="0.2">
      <c r="B47" s="48"/>
      <c r="C47" s="57" t="s">
        <v>38</v>
      </c>
      <c r="D47" s="44"/>
      <c r="E47" s="86" t="s">
        <v>1036</v>
      </c>
      <c r="F47" s="23" t="str">
        <f>IF(H47=-0.33,IF(H45=H$1,H45,""),"")</f>
        <v/>
      </c>
      <c r="G47" s="19"/>
      <c r="H47" s="24">
        <f>IF(H46=1,IF(H45=H$2,1,-0.33),0)</f>
        <v>0</v>
      </c>
      <c r="I47" s="4"/>
      <c r="J47" s="4"/>
      <c r="K47" s="4"/>
      <c r="L47" s="4"/>
      <c r="M47" s="4"/>
      <c r="N47" s="4"/>
      <c r="O47" s="4"/>
      <c r="P47" s="4"/>
      <c r="Q47" s="4"/>
      <c r="R47" s="4"/>
      <c r="S47" s="4"/>
      <c r="T47" s="4"/>
      <c r="U47" s="4"/>
      <c r="V47" s="4"/>
      <c r="W47" s="4"/>
      <c r="X47" s="4"/>
      <c r="Y47" s="4"/>
      <c r="Z47" s="4"/>
      <c r="AA47" s="4"/>
      <c r="AB47" s="4"/>
      <c r="AC47" s="4"/>
      <c r="AD47" s="4"/>
      <c r="AE47" s="4"/>
      <c r="AF47" s="4"/>
      <c r="AG47" s="4"/>
    </row>
    <row r="48" spans="1:33" x14ac:dyDescent="0.2">
      <c r="B48" s="48"/>
      <c r="C48" s="57"/>
      <c r="D48" s="44"/>
      <c r="E48" s="86" t="s">
        <v>1037</v>
      </c>
      <c r="F48" s="28"/>
      <c r="G48" s="19"/>
      <c r="H48" s="24"/>
      <c r="I48" s="4"/>
      <c r="J48" s="4"/>
      <c r="K48" s="4"/>
      <c r="L48" s="4"/>
      <c r="M48" s="4"/>
      <c r="N48" s="4"/>
      <c r="O48" s="4"/>
      <c r="P48" s="4"/>
      <c r="Q48" s="4"/>
      <c r="R48" s="4"/>
      <c r="S48" s="4"/>
      <c r="T48" s="4"/>
      <c r="U48" s="4"/>
      <c r="V48" s="4"/>
      <c r="W48" s="4"/>
      <c r="X48" s="4"/>
      <c r="Y48" s="4"/>
      <c r="Z48" s="4"/>
      <c r="AA48" s="4"/>
      <c r="AB48" s="4"/>
      <c r="AC48" s="4"/>
      <c r="AD48" s="4"/>
      <c r="AE48" s="4"/>
      <c r="AF48" s="4"/>
      <c r="AG48" s="4"/>
    </row>
    <row r="49" spans="1:33" x14ac:dyDescent="0.2">
      <c r="B49" s="48"/>
      <c r="C49" s="8"/>
      <c r="D49" s="44"/>
      <c r="E49" s="86" t="s">
        <v>1038</v>
      </c>
      <c r="F49" s="20"/>
      <c r="G49" s="19"/>
      <c r="H49" s="24"/>
      <c r="I49" s="4"/>
      <c r="J49" s="4"/>
      <c r="K49" s="4"/>
      <c r="L49" s="4"/>
      <c r="M49" s="4"/>
      <c r="N49" s="4"/>
      <c r="O49" s="4"/>
      <c r="P49" s="4"/>
      <c r="Q49" s="4"/>
      <c r="R49" s="4"/>
      <c r="S49" s="4"/>
      <c r="T49" s="4"/>
      <c r="U49" s="4"/>
      <c r="V49" s="4"/>
      <c r="W49" s="4"/>
      <c r="X49" s="4"/>
      <c r="Y49" s="4"/>
      <c r="Z49" s="4"/>
      <c r="AA49" s="4"/>
      <c r="AB49" s="4"/>
      <c r="AC49" s="4"/>
      <c r="AD49" s="4"/>
      <c r="AE49" s="4"/>
      <c r="AF49" s="4"/>
      <c r="AG49" s="4"/>
    </row>
    <row r="50" spans="1:33" s="17" customFormat="1" x14ac:dyDescent="0.2">
      <c r="A50" s="4"/>
      <c r="B50" s="49">
        <v>8</v>
      </c>
      <c r="C50" s="13" t="s">
        <v>39</v>
      </c>
      <c r="D50" s="45"/>
      <c r="E50" s="85"/>
      <c r="F50" s="30"/>
      <c r="G50" s="15"/>
      <c r="H50" s="15"/>
      <c r="I50" s="4"/>
      <c r="J50" s="4"/>
      <c r="K50" s="4"/>
      <c r="L50" s="4"/>
      <c r="M50" s="4"/>
      <c r="N50" s="4"/>
      <c r="O50" s="4"/>
      <c r="P50" s="4"/>
      <c r="Q50" s="4"/>
      <c r="R50" s="4"/>
      <c r="S50" s="4"/>
      <c r="T50" s="4"/>
      <c r="U50" s="4"/>
      <c r="V50" s="4"/>
      <c r="W50" s="4"/>
      <c r="X50" s="4"/>
      <c r="Y50" s="4"/>
      <c r="Z50" s="4"/>
      <c r="AA50" s="4"/>
      <c r="AB50" s="4"/>
      <c r="AC50" s="4"/>
      <c r="AD50" s="4"/>
      <c r="AE50" s="4"/>
      <c r="AF50" s="4"/>
      <c r="AG50" s="4"/>
    </row>
    <row r="51" spans="1:33" x14ac:dyDescent="0.2">
      <c r="B51" s="52"/>
      <c r="C51" s="56" t="s">
        <v>40</v>
      </c>
      <c r="D51" s="44"/>
      <c r="E51" s="86" t="s">
        <v>1034</v>
      </c>
      <c r="F51" s="28"/>
      <c r="G51" s="19"/>
      <c r="H51" s="21" t="b">
        <f>IF(D52="x",H$2,H$1)</f>
        <v>0</v>
      </c>
      <c r="I51" s="4"/>
      <c r="J51" s="4"/>
      <c r="K51" s="4"/>
      <c r="L51" s="4"/>
      <c r="M51" s="4"/>
      <c r="N51" s="4"/>
      <c r="O51" s="4"/>
      <c r="P51" s="4"/>
      <c r="Q51" s="4"/>
      <c r="R51" s="4"/>
      <c r="S51" s="4"/>
      <c r="T51" s="4"/>
      <c r="U51" s="4"/>
      <c r="V51" s="4"/>
      <c r="W51" s="4"/>
      <c r="X51" s="4"/>
      <c r="Y51" s="4"/>
      <c r="Z51" s="4"/>
      <c r="AA51" s="4"/>
      <c r="AB51" s="4"/>
      <c r="AC51" s="4"/>
      <c r="AD51" s="4"/>
      <c r="AE51" s="4"/>
      <c r="AF51" s="4"/>
      <c r="AG51" s="4"/>
    </row>
    <row r="52" spans="1:33" x14ac:dyDescent="0.2">
      <c r="B52" s="48"/>
      <c r="C52" s="57" t="s">
        <v>41</v>
      </c>
      <c r="D52" s="44"/>
      <c r="E52" s="86" t="s">
        <v>1035</v>
      </c>
      <c r="F52" s="22" t="str">
        <f>IF(H53=1,IF(H51=H$2,H51,""),"")</f>
        <v/>
      </c>
      <c r="G52" s="19"/>
      <c r="H52" s="21" t="str">
        <f>IF(E$128="comprobar",COUNTIF(D51:D55,"x"),"")</f>
        <v/>
      </c>
      <c r="I52" s="4"/>
      <c r="J52" s="4"/>
      <c r="K52" s="4"/>
      <c r="L52" s="4"/>
      <c r="M52" s="4"/>
      <c r="N52" s="4"/>
      <c r="O52" s="4"/>
      <c r="P52" s="4"/>
      <c r="Q52" s="4"/>
      <c r="R52" s="4"/>
      <c r="S52" s="4"/>
      <c r="T52" s="4"/>
      <c r="U52" s="4"/>
      <c r="V52" s="4"/>
      <c r="W52" s="4"/>
      <c r="X52" s="4"/>
      <c r="Y52" s="4"/>
      <c r="Z52" s="4"/>
      <c r="AA52" s="4"/>
      <c r="AB52" s="4"/>
      <c r="AC52" s="4"/>
      <c r="AD52" s="4"/>
      <c r="AE52" s="4"/>
      <c r="AF52" s="4"/>
      <c r="AG52" s="4"/>
    </row>
    <row r="53" spans="1:33" x14ac:dyDescent="0.2">
      <c r="B53" s="48"/>
      <c r="C53" s="57" t="s">
        <v>42</v>
      </c>
      <c r="D53" s="44"/>
      <c r="E53" s="86" t="s">
        <v>1036</v>
      </c>
      <c r="F53" s="23" t="str">
        <f>IF(H53=-0.33,IF(H51=H$1,H51,""),"")</f>
        <v/>
      </c>
      <c r="G53" s="19"/>
      <c r="H53" s="24">
        <f>IF(H52=1,IF(H51=H$2,1,-0.33),0)</f>
        <v>0</v>
      </c>
      <c r="I53" s="4"/>
      <c r="J53" s="4"/>
      <c r="K53" s="4"/>
      <c r="L53" s="4"/>
      <c r="M53" s="4"/>
      <c r="N53" s="4"/>
      <c r="O53" s="4"/>
      <c r="P53" s="4"/>
      <c r="Q53" s="4"/>
      <c r="R53" s="4"/>
      <c r="S53" s="4"/>
      <c r="T53" s="4"/>
      <c r="U53" s="4"/>
      <c r="V53" s="4"/>
      <c r="W53" s="4"/>
      <c r="X53" s="4"/>
      <c r="Y53" s="4"/>
      <c r="Z53" s="4"/>
      <c r="AA53" s="4"/>
      <c r="AB53" s="4"/>
      <c r="AC53" s="4"/>
      <c r="AD53" s="4"/>
      <c r="AE53" s="4"/>
      <c r="AF53" s="4"/>
      <c r="AG53" s="4"/>
    </row>
    <row r="54" spans="1:33" x14ac:dyDescent="0.2">
      <c r="B54" s="48"/>
      <c r="C54" s="57"/>
      <c r="D54" s="44"/>
      <c r="E54" s="86" t="s">
        <v>1037</v>
      </c>
      <c r="F54" s="28"/>
      <c r="G54" s="19"/>
      <c r="H54" s="24"/>
      <c r="I54" s="4"/>
      <c r="J54" s="4"/>
      <c r="K54" s="4"/>
      <c r="L54" s="4"/>
      <c r="M54" s="4"/>
      <c r="N54" s="4"/>
      <c r="O54" s="4"/>
      <c r="P54" s="4"/>
      <c r="Q54" s="4"/>
      <c r="R54" s="4"/>
      <c r="S54" s="4"/>
      <c r="T54" s="4"/>
      <c r="U54" s="4"/>
      <c r="V54" s="4"/>
      <c r="W54" s="4"/>
      <c r="X54" s="4"/>
      <c r="Y54" s="4"/>
      <c r="Z54" s="4"/>
      <c r="AA54" s="4"/>
      <c r="AB54" s="4"/>
      <c r="AC54" s="4"/>
      <c r="AD54" s="4"/>
      <c r="AE54" s="4"/>
      <c r="AF54" s="4"/>
      <c r="AG54" s="4"/>
    </row>
    <row r="55" spans="1:33" x14ac:dyDescent="0.2">
      <c r="B55" s="48"/>
      <c r="C55" s="8"/>
      <c r="D55" s="44"/>
      <c r="E55" s="86" t="s">
        <v>1038</v>
      </c>
      <c r="F55" s="20"/>
      <c r="G55" s="19"/>
      <c r="H55" s="24"/>
      <c r="I55" s="4"/>
      <c r="J55" s="4"/>
      <c r="K55" s="4"/>
      <c r="L55" s="4"/>
      <c r="M55" s="4"/>
      <c r="N55" s="4"/>
      <c r="O55" s="4"/>
      <c r="P55" s="4"/>
      <c r="Q55" s="4"/>
      <c r="R55" s="4"/>
      <c r="S55" s="4"/>
      <c r="T55" s="4"/>
      <c r="U55" s="4"/>
      <c r="V55" s="4"/>
      <c r="W55" s="4"/>
      <c r="X55" s="4"/>
      <c r="Y55" s="4"/>
      <c r="Z55" s="4"/>
      <c r="AA55" s="4"/>
      <c r="AB55" s="4"/>
      <c r="AC55" s="4"/>
      <c r="AD55" s="4"/>
      <c r="AE55" s="4"/>
      <c r="AF55" s="4"/>
      <c r="AG55" s="4"/>
    </row>
    <row r="56" spans="1:33" s="17" customFormat="1" x14ac:dyDescent="0.2">
      <c r="A56" s="4"/>
      <c r="B56" s="49">
        <v>9</v>
      </c>
      <c r="C56" s="13" t="s">
        <v>43</v>
      </c>
      <c r="D56" s="45"/>
      <c r="E56" s="85"/>
      <c r="F56" s="30"/>
      <c r="G56" s="15"/>
      <c r="H56" s="15"/>
      <c r="I56" s="4"/>
      <c r="J56" s="4"/>
      <c r="K56" s="4"/>
      <c r="L56" s="4"/>
      <c r="M56" s="4"/>
      <c r="N56" s="4"/>
      <c r="O56" s="4"/>
      <c r="P56" s="4"/>
      <c r="Q56" s="4"/>
      <c r="R56" s="4"/>
      <c r="S56" s="4"/>
      <c r="T56" s="4"/>
      <c r="U56" s="4"/>
      <c r="V56" s="4"/>
      <c r="W56" s="4"/>
      <c r="X56" s="4"/>
      <c r="Y56" s="4"/>
      <c r="Z56" s="4"/>
      <c r="AA56" s="4"/>
      <c r="AB56" s="4"/>
      <c r="AC56" s="4"/>
      <c r="AD56" s="4"/>
      <c r="AE56" s="4"/>
      <c r="AF56" s="4"/>
      <c r="AG56" s="4"/>
    </row>
    <row r="57" spans="1:33" x14ac:dyDescent="0.2">
      <c r="B57" s="52"/>
      <c r="C57" s="56" t="s">
        <v>44</v>
      </c>
      <c r="D57" s="44"/>
      <c r="E57" s="86" t="s">
        <v>1034</v>
      </c>
      <c r="F57" s="28"/>
      <c r="G57" s="19"/>
      <c r="H57" s="21" t="b">
        <f>IF(D58="x",H$2,H$1)</f>
        <v>0</v>
      </c>
      <c r="I57" s="4"/>
      <c r="J57" s="4"/>
      <c r="K57" s="4"/>
      <c r="L57" s="4"/>
      <c r="M57" s="4"/>
      <c r="N57" s="4"/>
      <c r="O57" s="4"/>
      <c r="P57" s="4"/>
      <c r="Q57" s="4"/>
      <c r="R57" s="4"/>
      <c r="S57" s="4"/>
      <c r="T57" s="4"/>
      <c r="U57" s="4"/>
      <c r="V57" s="4"/>
      <c r="W57" s="4"/>
      <c r="X57" s="4"/>
      <c r="Y57" s="4"/>
      <c r="Z57" s="4"/>
      <c r="AA57" s="4"/>
      <c r="AB57" s="4"/>
      <c r="AC57" s="4"/>
      <c r="AD57" s="4"/>
      <c r="AE57" s="4"/>
      <c r="AF57" s="4"/>
      <c r="AG57" s="4"/>
    </row>
    <row r="58" spans="1:33" x14ac:dyDescent="0.2">
      <c r="B58" s="48"/>
      <c r="C58" s="57" t="s">
        <v>45</v>
      </c>
      <c r="D58" s="44"/>
      <c r="E58" s="86" t="s">
        <v>1035</v>
      </c>
      <c r="F58" s="22" t="str">
        <f>IF(H59=1,IF(H57=H$2,H57,""),"")</f>
        <v/>
      </c>
      <c r="G58" s="19"/>
      <c r="H58" s="21" t="str">
        <f>IF(E$128="comprobar",COUNTIF(D57:D61,"x"),"")</f>
        <v/>
      </c>
      <c r="I58" s="4"/>
      <c r="J58" s="4"/>
      <c r="K58" s="4"/>
      <c r="L58" s="4"/>
      <c r="M58" s="4"/>
      <c r="N58" s="4"/>
      <c r="O58" s="4"/>
      <c r="P58" s="4"/>
      <c r="Q58" s="4"/>
      <c r="R58" s="4"/>
      <c r="S58" s="4"/>
      <c r="T58" s="4"/>
      <c r="U58" s="4"/>
      <c r="V58" s="4"/>
      <c r="W58" s="4"/>
      <c r="X58" s="4"/>
      <c r="Y58" s="4"/>
      <c r="Z58" s="4"/>
      <c r="AA58" s="4"/>
      <c r="AB58" s="4"/>
      <c r="AC58" s="4"/>
      <c r="AD58" s="4"/>
      <c r="AE58" s="4"/>
      <c r="AF58" s="4"/>
      <c r="AG58" s="4"/>
    </row>
    <row r="59" spans="1:33" x14ac:dyDescent="0.2">
      <c r="B59" s="48"/>
      <c r="C59" s="57"/>
      <c r="D59" s="44"/>
      <c r="E59" s="86" t="s">
        <v>1036</v>
      </c>
      <c r="F59" s="23" t="str">
        <f>IF(H59=-0.33,IF(H57=H$1,H57,""),"")</f>
        <v/>
      </c>
      <c r="G59" s="19"/>
      <c r="H59" s="24">
        <f>IF(H58=1,IF(H57=H$2,1,-0.33),0)</f>
        <v>0</v>
      </c>
      <c r="I59" s="4"/>
      <c r="J59" s="4"/>
      <c r="K59" s="4"/>
      <c r="L59" s="4"/>
      <c r="M59" s="4"/>
      <c r="N59" s="4"/>
      <c r="O59" s="4"/>
      <c r="P59" s="4"/>
      <c r="Q59" s="4"/>
      <c r="R59" s="4"/>
      <c r="S59" s="4"/>
      <c r="T59" s="4"/>
      <c r="U59" s="4"/>
      <c r="V59" s="4"/>
      <c r="W59" s="4"/>
      <c r="X59" s="4"/>
      <c r="Y59" s="4"/>
      <c r="Z59" s="4"/>
      <c r="AA59" s="4"/>
      <c r="AB59" s="4"/>
      <c r="AC59" s="4"/>
      <c r="AD59" s="4"/>
      <c r="AE59" s="4"/>
      <c r="AF59" s="4"/>
      <c r="AG59" s="4"/>
    </row>
    <row r="60" spans="1:33" x14ac:dyDescent="0.2">
      <c r="B60" s="48"/>
      <c r="C60" s="57"/>
      <c r="D60" s="44"/>
      <c r="E60" s="86" t="s">
        <v>1037</v>
      </c>
      <c r="F60" s="28"/>
      <c r="G60" s="19"/>
      <c r="H60" s="21"/>
      <c r="I60" s="4"/>
      <c r="J60" s="4"/>
      <c r="K60" s="4"/>
      <c r="L60" s="4"/>
      <c r="M60" s="4"/>
      <c r="N60" s="4"/>
      <c r="O60" s="4"/>
      <c r="P60" s="4"/>
      <c r="Q60" s="4"/>
      <c r="R60" s="4"/>
      <c r="S60" s="4"/>
      <c r="T60" s="4"/>
      <c r="U60" s="4"/>
      <c r="V60" s="4"/>
      <c r="W60" s="4"/>
      <c r="X60" s="4"/>
      <c r="Y60" s="4"/>
      <c r="Z60" s="4"/>
      <c r="AA60" s="4"/>
      <c r="AB60" s="4"/>
      <c r="AC60" s="4"/>
      <c r="AD60" s="4"/>
      <c r="AE60" s="4"/>
      <c r="AF60" s="4"/>
      <c r="AG60" s="4"/>
    </row>
    <row r="61" spans="1:33" x14ac:dyDescent="0.2">
      <c r="B61" s="48"/>
      <c r="C61" s="8"/>
      <c r="D61" s="44"/>
      <c r="E61" s="86" t="s">
        <v>1038</v>
      </c>
      <c r="F61" s="20"/>
      <c r="G61" s="19"/>
      <c r="H61" s="2"/>
      <c r="I61" s="4"/>
      <c r="J61" s="4"/>
      <c r="K61" s="4"/>
      <c r="L61" s="4"/>
      <c r="M61" s="4"/>
      <c r="N61" s="4"/>
      <c r="O61" s="4"/>
      <c r="P61" s="4"/>
      <c r="Q61" s="4"/>
      <c r="R61" s="4"/>
      <c r="S61" s="4"/>
      <c r="T61" s="4"/>
      <c r="U61" s="4"/>
      <c r="V61" s="4"/>
      <c r="W61" s="4"/>
      <c r="X61" s="4"/>
      <c r="Y61" s="4"/>
      <c r="Z61" s="4"/>
      <c r="AA61" s="4"/>
      <c r="AB61" s="4"/>
      <c r="AC61" s="4"/>
      <c r="AD61" s="4"/>
      <c r="AE61" s="4"/>
      <c r="AF61" s="4"/>
      <c r="AG61" s="4"/>
    </row>
    <row r="62" spans="1:33" s="17" customFormat="1" x14ac:dyDescent="0.2">
      <c r="A62" s="4"/>
      <c r="B62" s="49">
        <v>10</v>
      </c>
      <c r="C62" s="13" t="s">
        <v>46</v>
      </c>
      <c r="D62" s="45"/>
      <c r="E62" s="85"/>
      <c r="F62" s="30"/>
      <c r="G62" s="25"/>
      <c r="H62" s="25"/>
      <c r="I62" s="4"/>
      <c r="J62" s="4"/>
      <c r="K62" s="4"/>
      <c r="L62" s="4"/>
      <c r="M62" s="4"/>
      <c r="N62" s="4"/>
      <c r="O62" s="4"/>
      <c r="P62" s="4"/>
      <c r="Q62" s="4"/>
      <c r="R62" s="4"/>
      <c r="S62" s="4"/>
      <c r="T62" s="4"/>
      <c r="U62" s="4"/>
      <c r="V62" s="4"/>
      <c r="W62" s="4"/>
      <c r="X62" s="4"/>
      <c r="Y62" s="4"/>
      <c r="Z62" s="4"/>
      <c r="AA62" s="4"/>
      <c r="AB62" s="4"/>
      <c r="AC62" s="4"/>
      <c r="AD62" s="4"/>
      <c r="AE62" s="4"/>
      <c r="AF62" s="4"/>
      <c r="AG62" s="4"/>
    </row>
    <row r="63" spans="1:33" x14ac:dyDescent="0.2">
      <c r="B63" s="52"/>
      <c r="C63" s="56" t="s">
        <v>47</v>
      </c>
      <c r="D63" s="44"/>
      <c r="E63" s="86" t="s">
        <v>1034</v>
      </c>
      <c r="F63" s="28"/>
      <c r="G63" s="26"/>
      <c r="H63" s="21" t="b">
        <f>IF(D63="x",H$2,H$1)</f>
        <v>0</v>
      </c>
      <c r="I63" s="4"/>
      <c r="J63" s="4"/>
      <c r="K63" s="4"/>
      <c r="L63" s="4"/>
      <c r="M63" s="4"/>
      <c r="N63" s="4"/>
      <c r="O63" s="4"/>
      <c r="P63" s="4"/>
      <c r="Q63" s="4"/>
      <c r="R63" s="4"/>
      <c r="S63" s="4"/>
      <c r="T63" s="4"/>
      <c r="U63" s="4"/>
      <c r="V63" s="4"/>
      <c r="W63" s="4"/>
      <c r="X63" s="4"/>
      <c r="Y63" s="4"/>
      <c r="Z63" s="4"/>
      <c r="AA63" s="4"/>
      <c r="AB63" s="4"/>
      <c r="AC63" s="4"/>
      <c r="AD63" s="4"/>
      <c r="AE63" s="4"/>
      <c r="AF63" s="4"/>
      <c r="AG63" s="4"/>
    </row>
    <row r="64" spans="1:33" x14ac:dyDescent="0.2">
      <c r="B64" s="48"/>
      <c r="C64" s="57" t="s">
        <v>48</v>
      </c>
      <c r="D64" s="44"/>
      <c r="E64" s="86" t="s">
        <v>1035</v>
      </c>
      <c r="F64" s="22" t="str">
        <f>IF(H65=1,IF(H63=H$2,H63,""),"")</f>
        <v/>
      </c>
      <c r="G64" s="26"/>
      <c r="H64" s="21" t="str">
        <f>IF(E$128="comprobar",COUNTIF(D63:D67,"x"),"")</f>
        <v/>
      </c>
      <c r="I64" s="4"/>
      <c r="J64" s="4"/>
      <c r="K64" s="4"/>
      <c r="L64" s="4"/>
      <c r="M64" s="4"/>
      <c r="N64" s="4"/>
      <c r="O64" s="4"/>
      <c r="P64" s="4"/>
      <c r="Q64" s="4"/>
      <c r="R64" s="4"/>
      <c r="S64" s="4"/>
      <c r="T64" s="4"/>
      <c r="U64" s="4"/>
      <c r="V64" s="4"/>
      <c r="W64" s="4"/>
      <c r="X64" s="4"/>
      <c r="Y64" s="4"/>
      <c r="Z64" s="4"/>
      <c r="AA64" s="4"/>
      <c r="AB64" s="4"/>
      <c r="AC64" s="4"/>
      <c r="AD64" s="4"/>
      <c r="AE64" s="4"/>
      <c r="AF64" s="4"/>
      <c r="AG64" s="4"/>
    </row>
    <row r="65" spans="1:33" x14ac:dyDescent="0.2">
      <c r="B65" s="48"/>
      <c r="C65" s="57" t="s">
        <v>49</v>
      </c>
      <c r="D65" s="44"/>
      <c r="E65" s="86" t="s">
        <v>1036</v>
      </c>
      <c r="F65" s="23" t="str">
        <f>IF(H65=-0.33,IF(H63=H$1,H63,""),"")</f>
        <v/>
      </c>
      <c r="G65" s="26"/>
      <c r="H65" s="24">
        <f>IF(H64=1,IF(H63=H$2,1,-0.33),0)</f>
        <v>0</v>
      </c>
      <c r="I65" s="4"/>
      <c r="J65" s="4"/>
      <c r="K65" s="4"/>
      <c r="L65" s="4"/>
      <c r="M65" s="4"/>
      <c r="N65" s="4"/>
      <c r="O65" s="4"/>
      <c r="P65" s="4"/>
      <c r="Q65" s="4"/>
      <c r="R65" s="4"/>
      <c r="S65" s="4"/>
      <c r="T65" s="4"/>
      <c r="U65" s="4"/>
      <c r="V65" s="4"/>
      <c r="W65" s="4"/>
      <c r="X65" s="4"/>
      <c r="Y65" s="4"/>
      <c r="Z65" s="4"/>
      <c r="AA65" s="4"/>
      <c r="AB65" s="4"/>
      <c r="AC65" s="4"/>
      <c r="AD65" s="4"/>
      <c r="AE65" s="4"/>
      <c r="AF65" s="4"/>
      <c r="AG65" s="4"/>
    </row>
    <row r="66" spans="1:33" x14ac:dyDescent="0.2">
      <c r="B66" s="48"/>
      <c r="C66" s="57"/>
      <c r="D66" s="44"/>
      <c r="E66" s="86" t="s">
        <v>1037</v>
      </c>
      <c r="F66" s="28"/>
      <c r="G66" s="26"/>
      <c r="H66" s="24"/>
      <c r="I66" s="4"/>
      <c r="J66" s="4"/>
      <c r="K66" s="4"/>
      <c r="L66" s="4"/>
      <c r="M66" s="4"/>
      <c r="N66" s="4"/>
      <c r="O66" s="4"/>
      <c r="P66" s="4"/>
      <c r="Q66" s="4"/>
      <c r="R66" s="4"/>
      <c r="S66" s="4"/>
      <c r="T66" s="4"/>
      <c r="U66" s="4"/>
      <c r="V66" s="4"/>
      <c r="W66" s="4"/>
      <c r="X66" s="4"/>
      <c r="Y66" s="4"/>
      <c r="Z66" s="4"/>
      <c r="AA66" s="4"/>
      <c r="AB66" s="4"/>
      <c r="AC66" s="4"/>
      <c r="AD66" s="4"/>
      <c r="AE66" s="4"/>
      <c r="AF66" s="4"/>
      <c r="AG66" s="4"/>
    </row>
    <row r="67" spans="1:33" x14ac:dyDescent="0.2">
      <c r="B67" s="48"/>
      <c r="C67" s="8"/>
      <c r="D67" s="44"/>
      <c r="E67" s="86" t="s">
        <v>1038</v>
      </c>
      <c r="F67" s="20"/>
      <c r="G67" s="26"/>
      <c r="H67" s="24"/>
      <c r="I67" s="4"/>
      <c r="J67" s="4"/>
      <c r="K67" s="4"/>
      <c r="L67" s="4"/>
      <c r="M67" s="4"/>
      <c r="N67" s="4"/>
      <c r="O67" s="4"/>
      <c r="P67" s="4"/>
      <c r="Q67" s="4"/>
      <c r="R67" s="4"/>
      <c r="S67" s="4"/>
      <c r="T67" s="4"/>
      <c r="U67" s="4"/>
      <c r="V67" s="4"/>
      <c r="W67" s="4"/>
      <c r="X67" s="4"/>
      <c r="Y67" s="4"/>
      <c r="Z67" s="4"/>
      <c r="AA67" s="4"/>
      <c r="AB67" s="4"/>
      <c r="AC67" s="4"/>
      <c r="AD67" s="4"/>
      <c r="AE67" s="4"/>
      <c r="AF67" s="4"/>
      <c r="AG67" s="4"/>
    </row>
    <row r="68" spans="1:33" s="17" customFormat="1" x14ac:dyDescent="0.2">
      <c r="A68" s="4"/>
      <c r="B68" s="49">
        <v>11</v>
      </c>
      <c r="C68" s="13" t="s">
        <v>50</v>
      </c>
      <c r="D68" s="45"/>
      <c r="E68" s="85"/>
      <c r="F68" s="30"/>
      <c r="G68" s="25"/>
      <c r="H68" s="25"/>
      <c r="I68" s="4"/>
      <c r="J68" s="4"/>
      <c r="K68" s="4"/>
      <c r="L68" s="4"/>
      <c r="M68" s="4"/>
      <c r="N68" s="4"/>
      <c r="O68" s="4"/>
      <c r="P68" s="4"/>
      <c r="Q68" s="4"/>
      <c r="R68" s="4"/>
      <c r="S68" s="4"/>
      <c r="T68" s="4"/>
      <c r="U68" s="4"/>
      <c r="V68" s="4"/>
      <c r="W68" s="4"/>
      <c r="X68" s="4"/>
      <c r="Y68" s="4"/>
      <c r="Z68" s="4"/>
      <c r="AA68" s="4"/>
      <c r="AB68" s="4"/>
      <c r="AC68" s="4"/>
      <c r="AD68" s="4"/>
      <c r="AE68" s="4"/>
      <c r="AF68" s="4"/>
      <c r="AG68" s="4"/>
    </row>
    <row r="69" spans="1:33" x14ac:dyDescent="0.2">
      <c r="B69" s="52"/>
      <c r="C69" s="56" t="s">
        <v>51</v>
      </c>
      <c r="D69" s="44"/>
      <c r="E69" s="86" t="s">
        <v>1034</v>
      </c>
      <c r="F69" s="28"/>
      <c r="G69" s="26"/>
      <c r="H69" s="21" t="b">
        <f>IF(D71="x",H$2,H$1)</f>
        <v>0</v>
      </c>
      <c r="I69" s="4"/>
      <c r="J69" s="4"/>
      <c r="K69" s="4"/>
      <c r="L69" s="4"/>
      <c r="M69" s="4"/>
      <c r="N69" s="4"/>
      <c r="O69" s="4"/>
      <c r="P69" s="4"/>
      <c r="Q69" s="4"/>
      <c r="R69" s="4"/>
      <c r="S69" s="4"/>
      <c r="T69" s="4"/>
      <c r="U69" s="4"/>
      <c r="V69" s="4"/>
      <c r="W69" s="4"/>
      <c r="X69" s="4"/>
      <c r="Y69" s="4"/>
      <c r="Z69" s="4"/>
      <c r="AA69" s="4"/>
      <c r="AB69" s="4"/>
      <c r="AC69" s="4"/>
      <c r="AD69" s="4"/>
      <c r="AE69" s="4"/>
      <c r="AF69" s="4"/>
      <c r="AG69" s="4"/>
    </row>
    <row r="70" spans="1:33" x14ac:dyDescent="0.2">
      <c r="B70" s="48"/>
      <c r="C70" s="57" t="s">
        <v>52</v>
      </c>
      <c r="D70" s="44"/>
      <c r="E70" s="86" t="s">
        <v>1035</v>
      </c>
      <c r="F70" s="22" t="str">
        <f>IF(H71=1,IF(H69=H$2,H69,""),"")</f>
        <v/>
      </c>
      <c r="G70" s="26"/>
      <c r="H70" s="21" t="str">
        <f>IF(E$128="comprobar",COUNTIF(D69:D73,"x"),"")</f>
        <v/>
      </c>
      <c r="I70" s="4"/>
      <c r="J70" s="4"/>
      <c r="K70" s="4"/>
      <c r="L70" s="4"/>
      <c r="M70" s="4"/>
      <c r="N70" s="4"/>
      <c r="O70" s="4"/>
      <c r="P70" s="4"/>
      <c r="Q70" s="4"/>
      <c r="R70" s="4"/>
      <c r="S70" s="4"/>
      <c r="T70" s="4"/>
      <c r="U70" s="4"/>
      <c r="V70" s="4"/>
      <c r="W70" s="4"/>
      <c r="X70" s="4"/>
      <c r="Y70" s="4"/>
      <c r="Z70" s="4"/>
      <c r="AA70" s="4"/>
      <c r="AB70" s="4"/>
      <c r="AC70" s="4"/>
      <c r="AD70" s="4"/>
      <c r="AE70" s="4"/>
      <c r="AF70" s="4"/>
      <c r="AG70" s="4"/>
    </row>
    <row r="71" spans="1:33" x14ac:dyDescent="0.2">
      <c r="B71" s="48"/>
      <c r="C71" s="57" t="s">
        <v>53</v>
      </c>
      <c r="D71" s="44"/>
      <c r="E71" s="86" t="s">
        <v>1036</v>
      </c>
      <c r="F71" s="23" t="str">
        <f>IF(H71=-0.33,IF(H69=H$1,H69,""),"")</f>
        <v/>
      </c>
      <c r="G71" s="26"/>
      <c r="H71" s="24">
        <f>IF(H70=1,IF(H69=H$2,1,-0.33),0)</f>
        <v>0</v>
      </c>
      <c r="I71" s="4"/>
      <c r="J71" s="4"/>
      <c r="K71" s="4"/>
      <c r="L71" s="4"/>
      <c r="M71" s="4"/>
      <c r="N71" s="4"/>
      <c r="O71" s="4"/>
      <c r="P71" s="4"/>
      <c r="Q71" s="4"/>
      <c r="R71" s="4"/>
      <c r="S71" s="4"/>
      <c r="T71" s="4"/>
      <c r="U71" s="4"/>
      <c r="V71" s="4"/>
      <c r="W71" s="4"/>
      <c r="X71" s="4"/>
      <c r="Y71" s="4"/>
      <c r="Z71" s="4"/>
      <c r="AA71" s="4"/>
      <c r="AB71" s="4"/>
      <c r="AC71" s="4"/>
      <c r="AD71" s="4"/>
      <c r="AE71" s="4"/>
      <c r="AF71" s="4"/>
      <c r="AG71" s="4"/>
    </row>
    <row r="72" spans="1:33" x14ac:dyDescent="0.2">
      <c r="B72" s="48"/>
      <c r="C72" s="57"/>
      <c r="D72" s="44"/>
      <c r="E72" s="86" t="s">
        <v>1037</v>
      </c>
      <c r="F72" s="28"/>
      <c r="G72" s="26"/>
      <c r="H72" s="24"/>
      <c r="I72" s="4"/>
      <c r="J72" s="4"/>
      <c r="K72" s="4"/>
      <c r="L72" s="4"/>
      <c r="M72" s="4"/>
      <c r="N72" s="4"/>
      <c r="O72" s="4"/>
      <c r="P72" s="4"/>
      <c r="Q72" s="4"/>
      <c r="R72" s="4"/>
      <c r="S72" s="4"/>
      <c r="T72" s="4"/>
      <c r="U72" s="4"/>
      <c r="V72" s="4"/>
      <c r="W72" s="4"/>
      <c r="X72" s="4"/>
      <c r="Y72" s="4"/>
      <c r="Z72" s="4"/>
      <c r="AA72" s="4"/>
      <c r="AB72" s="4"/>
      <c r="AC72" s="4"/>
      <c r="AD72" s="4"/>
      <c r="AE72" s="4"/>
      <c r="AF72" s="4"/>
      <c r="AG72" s="4"/>
    </row>
    <row r="73" spans="1:33" x14ac:dyDescent="0.2">
      <c r="B73" s="48"/>
      <c r="C73" s="8"/>
      <c r="D73" s="44"/>
      <c r="E73" s="86" t="s">
        <v>1038</v>
      </c>
      <c r="F73" s="20"/>
      <c r="G73" s="26"/>
      <c r="H73" s="24"/>
      <c r="I73" s="4"/>
      <c r="J73" s="4"/>
      <c r="K73" s="4"/>
      <c r="L73" s="4"/>
      <c r="M73" s="4"/>
      <c r="N73" s="4"/>
      <c r="O73" s="4"/>
      <c r="P73" s="4"/>
      <c r="Q73" s="4"/>
      <c r="R73" s="4"/>
      <c r="S73" s="4"/>
      <c r="T73" s="4"/>
      <c r="U73" s="4"/>
      <c r="V73" s="4"/>
      <c r="W73" s="4"/>
      <c r="X73" s="4"/>
      <c r="Y73" s="4"/>
      <c r="Z73" s="4"/>
      <c r="AA73" s="4"/>
      <c r="AB73" s="4"/>
      <c r="AC73" s="4"/>
      <c r="AD73" s="4"/>
      <c r="AE73" s="4"/>
      <c r="AF73" s="4"/>
      <c r="AG73" s="4"/>
    </row>
    <row r="74" spans="1:33" s="17" customFormat="1" x14ac:dyDescent="0.2">
      <c r="A74" s="4"/>
      <c r="B74" s="49">
        <v>12</v>
      </c>
      <c r="C74" s="13" t="s">
        <v>54</v>
      </c>
      <c r="D74" s="45"/>
      <c r="E74" s="85"/>
      <c r="F74" s="30"/>
      <c r="G74" s="25"/>
      <c r="H74" s="25"/>
      <c r="I74" s="4"/>
      <c r="J74" s="4"/>
      <c r="K74" s="4"/>
      <c r="L74" s="4"/>
      <c r="M74" s="4"/>
      <c r="N74" s="4"/>
      <c r="O74" s="4"/>
      <c r="P74" s="4"/>
      <c r="Q74" s="4"/>
      <c r="R74" s="4"/>
      <c r="S74" s="4"/>
      <c r="T74" s="4"/>
      <c r="U74" s="4"/>
      <c r="V74" s="4"/>
      <c r="W74" s="4"/>
      <c r="X74" s="4"/>
      <c r="Y74" s="4"/>
      <c r="Z74" s="4"/>
      <c r="AA74" s="4"/>
      <c r="AB74" s="4"/>
      <c r="AC74" s="4"/>
      <c r="AD74" s="4"/>
      <c r="AE74" s="4"/>
      <c r="AF74" s="4"/>
      <c r="AG74" s="4"/>
    </row>
    <row r="75" spans="1:33" x14ac:dyDescent="0.2">
      <c r="B75" s="52"/>
      <c r="C75" s="56" t="s">
        <v>55</v>
      </c>
      <c r="D75" s="44"/>
      <c r="E75" s="86" t="s">
        <v>1034</v>
      </c>
      <c r="F75" s="28"/>
      <c r="G75" s="26"/>
      <c r="H75" s="21" t="b">
        <f>IF(D77="x",H$2,H$1)</f>
        <v>0</v>
      </c>
      <c r="I75" s="4"/>
      <c r="J75" s="4"/>
      <c r="K75" s="4"/>
      <c r="L75" s="4"/>
      <c r="M75" s="4"/>
      <c r="N75" s="4"/>
      <c r="O75" s="4"/>
      <c r="P75" s="4"/>
      <c r="Q75" s="4"/>
      <c r="R75" s="4"/>
      <c r="S75" s="4"/>
      <c r="T75" s="4"/>
      <c r="U75" s="4"/>
      <c r="V75" s="4"/>
      <c r="W75" s="4"/>
      <c r="X75" s="4"/>
      <c r="Y75" s="4"/>
      <c r="Z75" s="4"/>
      <c r="AA75" s="4"/>
      <c r="AB75" s="4"/>
      <c r="AC75" s="4"/>
      <c r="AD75" s="4"/>
      <c r="AE75" s="4"/>
      <c r="AF75" s="4"/>
      <c r="AG75" s="4"/>
    </row>
    <row r="76" spans="1:33" x14ac:dyDescent="0.2">
      <c r="B76" s="48"/>
      <c r="C76" s="57" t="s">
        <v>56</v>
      </c>
      <c r="D76" s="44"/>
      <c r="E76" s="86" t="s">
        <v>1035</v>
      </c>
      <c r="F76" s="22" t="str">
        <f>IF(H77=1,IF(H75=H$2,H75,""),"")</f>
        <v/>
      </c>
      <c r="G76" s="26"/>
      <c r="H76" s="21" t="str">
        <f>IF(E$128="comprobar",COUNTIF(D75:D79,"x"),"")</f>
        <v/>
      </c>
      <c r="I76" s="4"/>
      <c r="J76" s="4"/>
      <c r="K76" s="4"/>
      <c r="L76" s="4"/>
      <c r="M76" s="4"/>
      <c r="N76" s="4"/>
      <c r="O76" s="4"/>
      <c r="P76" s="4"/>
      <c r="Q76" s="4"/>
      <c r="R76" s="4"/>
      <c r="S76" s="4"/>
      <c r="T76" s="4"/>
      <c r="U76" s="4"/>
      <c r="V76" s="4"/>
      <c r="W76" s="4"/>
      <c r="X76" s="4"/>
      <c r="Y76" s="4"/>
      <c r="Z76" s="4"/>
      <c r="AA76" s="4"/>
      <c r="AB76" s="4"/>
      <c r="AC76" s="4"/>
      <c r="AD76" s="4"/>
      <c r="AE76" s="4"/>
      <c r="AF76" s="4"/>
      <c r="AG76" s="4"/>
    </row>
    <row r="77" spans="1:33" x14ac:dyDescent="0.2">
      <c r="B77" s="48"/>
      <c r="C77" s="57" t="s">
        <v>57</v>
      </c>
      <c r="D77" s="44"/>
      <c r="E77" s="86" t="s">
        <v>1036</v>
      </c>
      <c r="F77" s="23" t="str">
        <f>IF(H77=-0.33,IF(H75=H$1,H75,""),"")</f>
        <v/>
      </c>
      <c r="G77" s="26"/>
      <c r="H77" s="24">
        <f>IF(H76=1,IF(H75=H$2,1,-0.33),0)</f>
        <v>0</v>
      </c>
      <c r="I77" s="4"/>
      <c r="J77" s="4"/>
      <c r="K77" s="4"/>
      <c r="L77" s="4"/>
      <c r="M77" s="4"/>
      <c r="N77" s="4"/>
      <c r="O77" s="4"/>
      <c r="P77" s="4"/>
      <c r="Q77" s="4"/>
      <c r="R77" s="4"/>
      <c r="S77" s="4"/>
      <c r="T77" s="4"/>
      <c r="U77" s="4"/>
      <c r="V77" s="4"/>
      <c r="W77" s="4"/>
      <c r="X77" s="4"/>
      <c r="Y77" s="4"/>
      <c r="Z77" s="4"/>
      <c r="AA77" s="4"/>
      <c r="AB77" s="4"/>
      <c r="AC77" s="4"/>
      <c r="AD77" s="4"/>
      <c r="AE77" s="4"/>
      <c r="AF77" s="4"/>
      <c r="AG77" s="4"/>
    </row>
    <row r="78" spans="1:33" x14ac:dyDescent="0.2">
      <c r="B78" s="48"/>
      <c r="C78" s="57"/>
      <c r="D78" s="44"/>
      <c r="E78" s="86" t="s">
        <v>1037</v>
      </c>
      <c r="F78" s="28"/>
      <c r="G78" s="26"/>
      <c r="H78" s="24"/>
      <c r="I78" s="4"/>
      <c r="J78" s="4"/>
      <c r="K78" s="4"/>
      <c r="L78" s="4"/>
      <c r="M78" s="4"/>
      <c r="N78" s="4"/>
      <c r="O78" s="4"/>
      <c r="P78" s="4"/>
      <c r="Q78" s="4"/>
      <c r="R78" s="4"/>
      <c r="S78" s="4"/>
      <c r="T78" s="4"/>
      <c r="U78" s="4"/>
      <c r="V78" s="4"/>
      <c r="W78" s="4"/>
      <c r="X78" s="4"/>
      <c r="Y78" s="4"/>
      <c r="Z78" s="4"/>
      <c r="AA78" s="4"/>
      <c r="AB78" s="4"/>
      <c r="AC78" s="4"/>
      <c r="AD78" s="4"/>
      <c r="AE78" s="4"/>
      <c r="AF78" s="4"/>
      <c r="AG78" s="4"/>
    </row>
    <row r="79" spans="1:33" x14ac:dyDescent="0.2">
      <c r="B79" s="48"/>
      <c r="C79" s="8"/>
      <c r="D79" s="44"/>
      <c r="E79" s="86" t="s">
        <v>1038</v>
      </c>
      <c r="F79" s="20"/>
      <c r="G79" s="26"/>
      <c r="H79" s="24"/>
      <c r="I79" s="4"/>
      <c r="J79" s="4"/>
      <c r="K79" s="4"/>
      <c r="L79" s="4"/>
      <c r="M79" s="4"/>
      <c r="N79" s="4"/>
      <c r="O79" s="4"/>
      <c r="P79" s="4"/>
      <c r="Q79" s="4"/>
      <c r="R79" s="4"/>
      <c r="S79" s="4"/>
      <c r="T79" s="4"/>
      <c r="U79" s="4"/>
      <c r="V79" s="4"/>
      <c r="W79" s="4"/>
      <c r="X79" s="4"/>
      <c r="Y79" s="4"/>
      <c r="Z79" s="4"/>
      <c r="AA79" s="4"/>
      <c r="AB79" s="4"/>
      <c r="AC79" s="4"/>
      <c r="AD79" s="4"/>
      <c r="AE79" s="4"/>
      <c r="AF79" s="4"/>
      <c r="AG79" s="4"/>
    </row>
    <row r="80" spans="1:33" s="17" customFormat="1" x14ac:dyDescent="0.2">
      <c r="A80" s="4"/>
      <c r="B80" s="49">
        <v>13</v>
      </c>
      <c r="C80" s="13" t="s">
        <v>58</v>
      </c>
      <c r="D80" s="45"/>
      <c r="E80" s="85"/>
      <c r="F80" s="30"/>
      <c r="G80" s="15"/>
      <c r="H80" s="15"/>
      <c r="I80" s="4"/>
      <c r="J80" s="4"/>
      <c r="K80" s="4"/>
      <c r="L80" s="4"/>
      <c r="M80" s="4"/>
      <c r="N80" s="4"/>
      <c r="O80" s="4"/>
      <c r="P80" s="4"/>
      <c r="Q80" s="4"/>
      <c r="R80" s="4"/>
      <c r="S80" s="4"/>
      <c r="T80" s="4"/>
      <c r="U80" s="4"/>
      <c r="V80" s="4"/>
      <c r="W80" s="4"/>
      <c r="X80" s="4"/>
      <c r="Y80" s="4"/>
      <c r="Z80" s="4"/>
      <c r="AA80" s="4"/>
      <c r="AB80" s="4"/>
      <c r="AC80" s="4"/>
      <c r="AD80" s="4"/>
      <c r="AE80" s="4"/>
      <c r="AF80" s="4"/>
      <c r="AG80" s="4"/>
    </row>
    <row r="81" spans="1:33" x14ac:dyDescent="0.2">
      <c r="B81" s="52"/>
      <c r="C81" s="56" t="s">
        <v>59</v>
      </c>
      <c r="D81" s="44"/>
      <c r="E81" s="86" t="s">
        <v>1034</v>
      </c>
      <c r="F81" s="28"/>
      <c r="G81" s="19"/>
      <c r="H81" s="21" t="b">
        <f>IF(D84="x",H$2,H$1)</f>
        <v>0</v>
      </c>
      <c r="I81" s="4"/>
      <c r="J81" s="4"/>
      <c r="K81" s="4"/>
      <c r="L81" s="4"/>
      <c r="M81" s="4"/>
      <c r="N81" s="4"/>
      <c r="O81" s="4"/>
      <c r="P81" s="4"/>
      <c r="Q81" s="4"/>
      <c r="R81" s="4"/>
      <c r="S81" s="4"/>
      <c r="T81" s="4"/>
      <c r="U81" s="4"/>
      <c r="V81" s="4"/>
      <c r="W81" s="4"/>
      <c r="X81" s="4"/>
      <c r="Y81" s="4"/>
      <c r="Z81" s="4"/>
      <c r="AA81" s="4"/>
      <c r="AB81" s="4"/>
      <c r="AC81" s="4"/>
      <c r="AD81" s="4"/>
      <c r="AE81" s="4"/>
      <c r="AF81" s="4"/>
      <c r="AG81" s="4"/>
    </row>
    <row r="82" spans="1:33" x14ac:dyDescent="0.2">
      <c r="B82" s="48"/>
      <c r="C82" s="57" t="s">
        <v>60</v>
      </c>
      <c r="D82" s="44"/>
      <c r="E82" s="86" t="s">
        <v>1035</v>
      </c>
      <c r="F82" s="22" t="str">
        <f>IF(H83=1,IF(H81=H$2,H81,""),"")</f>
        <v/>
      </c>
      <c r="G82" s="19"/>
      <c r="H82" s="21" t="str">
        <f>IF(E$128="comprobar",COUNTIF(D81:D85,"x"),"")</f>
        <v/>
      </c>
      <c r="I82" s="4"/>
      <c r="J82" s="4"/>
      <c r="K82" s="4"/>
      <c r="L82" s="4"/>
      <c r="M82" s="4"/>
      <c r="N82" s="4"/>
      <c r="O82" s="4"/>
      <c r="P82" s="4"/>
      <c r="Q82" s="4"/>
      <c r="R82" s="4"/>
      <c r="S82" s="4"/>
      <c r="T82" s="4"/>
      <c r="U82" s="4"/>
      <c r="V82" s="4"/>
      <c r="W82" s="4"/>
      <c r="X82" s="4"/>
      <c r="Y82" s="4"/>
      <c r="Z82" s="4"/>
      <c r="AA82" s="4"/>
      <c r="AB82" s="4"/>
      <c r="AC82" s="4"/>
      <c r="AD82" s="4"/>
      <c r="AE82" s="4"/>
      <c r="AF82" s="4"/>
      <c r="AG82" s="4"/>
    </row>
    <row r="83" spans="1:33" x14ac:dyDescent="0.2">
      <c r="B83" s="48"/>
      <c r="C83" s="57" t="s">
        <v>61</v>
      </c>
      <c r="D83" s="44"/>
      <c r="E83" s="86" t="s">
        <v>1036</v>
      </c>
      <c r="F83" s="23" t="str">
        <f>IF(H83=-0.33,IF(H81=H$1,H81,""),"")</f>
        <v/>
      </c>
      <c r="G83" s="19"/>
      <c r="H83" s="24">
        <f>IF(H82=1,IF(H81=H$2,1,-0.33),0)</f>
        <v>0</v>
      </c>
      <c r="I83" s="4"/>
      <c r="J83" s="4"/>
      <c r="K83" s="4"/>
      <c r="L83" s="4"/>
      <c r="M83" s="4"/>
      <c r="N83" s="4"/>
      <c r="O83" s="4"/>
      <c r="P83" s="4"/>
      <c r="Q83" s="4"/>
      <c r="R83" s="4"/>
      <c r="S83" s="4"/>
      <c r="T83" s="4"/>
      <c r="U83" s="4"/>
      <c r="V83" s="4"/>
      <c r="W83" s="4"/>
      <c r="X83" s="4"/>
      <c r="Y83" s="4"/>
      <c r="Z83" s="4"/>
      <c r="AA83" s="4"/>
      <c r="AB83" s="4"/>
      <c r="AC83" s="4"/>
      <c r="AD83" s="4"/>
      <c r="AE83" s="4"/>
      <c r="AF83" s="4"/>
      <c r="AG83" s="4"/>
    </row>
    <row r="84" spans="1:33" x14ac:dyDescent="0.2">
      <c r="B84" s="48"/>
      <c r="C84" s="57" t="s">
        <v>62</v>
      </c>
      <c r="D84" s="44"/>
      <c r="E84" s="86" t="s">
        <v>1037</v>
      </c>
      <c r="F84" s="28"/>
      <c r="G84" s="19"/>
      <c r="H84" s="19"/>
      <c r="I84" s="4"/>
      <c r="J84" s="4"/>
      <c r="K84" s="4"/>
      <c r="L84" s="4"/>
      <c r="M84" s="4"/>
      <c r="N84" s="4"/>
      <c r="O84" s="4"/>
      <c r="P84" s="4"/>
      <c r="Q84" s="4"/>
      <c r="R84" s="4"/>
      <c r="S84" s="4"/>
      <c r="T84" s="4"/>
      <c r="U84" s="4"/>
      <c r="V84" s="4"/>
      <c r="W84" s="4"/>
      <c r="X84" s="4"/>
      <c r="Y84" s="4"/>
      <c r="Z84" s="4"/>
      <c r="AA84" s="4"/>
      <c r="AB84" s="4"/>
      <c r="AC84" s="4"/>
      <c r="AD84" s="4"/>
      <c r="AE84" s="4"/>
      <c r="AF84" s="4"/>
      <c r="AG84" s="4"/>
    </row>
    <row r="85" spans="1:33" x14ac:dyDescent="0.2">
      <c r="B85" s="48"/>
      <c r="C85" s="8"/>
      <c r="D85" s="44"/>
      <c r="E85" s="86" t="s">
        <v>1038</v>
      </c>
      <c r="F85" s="20"/>
      <c r="G85" s="19"/>
      <c r="H85" s="19"/>
      <c r="I85" s="4"/>
      <c r="J85" s="4"/>
      <c r="K85" s="4"/>
      <c r="L85" s="4"/>
      <c r="M85" s="4"/>
      <c r="N85" s="4"/>
      <c r="O85" s="4"/>
      <c r="P85" s="4"/>
      <c r="Q85" s="4"/>
      <c r="R85" s="4"/>
      <c r="S85" s="4"/>
      <c r="T85" s="4"/>
      <c r="U85" s="4"/>
      <c r="V85" s="4"/>
      <c r="W85" s="4"/>
      <c r="X85" s="4"/>
      <c r="Y85" s="4"/>
      <c r="Z85" s="4"/>
      <c r="AA85" s="4"/>
      <c r="AB85" s="4"/>
      <c r="AC85" s="4"/>
      <c r="AD85" s="4"/>
      <c r="AE85" s="4"/>
      <c r="AF85" s="4"/>
      <c r="AG85" s="4"/>
    </row>
    <row r="86" spans="1:33" s="17" customFormat="1" x14ac:dyDescent="0.2">
      <c r="A86" s="4"/>
      <c r="B86" s="49">
        <v>14</v>
      </c>
      <c r="C86" s="13" t="s">
        <v>63</v>
      </c>
      <c r="D86" s="45"/>
      <c r="E86" s="85"/>
      <c r="F86" s="30"/>
      <c r="G86" s="25"/>
      <c r="H86" s="25"/>
      <c r="I86" s="4"/>
      <c r="J86" s="4"/>
      <c r="K86" s="4"/>
      <c r="L86" s="4"/>
      <c r="M86" s="4"/>
      <c r="N86" s="4"/>
      <c r="O86" s="4"/>
      <c r="P86" s="4"/>
      <c r="Q86" s="4"/>
      <c r="R86" s="4"/>
      <c r="S86" s="4"/>
      <c r="T86" s="4"/>
      <c r="U86" s="4"/>
      <c r="V86" s="4"/>
      <c r="W86" s="4"/>
      <c r="X86" s="4"/>
      <c r="Y86" s="4"/>
      <c r="Z86" s="4"/>
      <c r="AA86" s="4"/>
      <c r="AB86" s="4"/>
      <c r="AC86" s="4"/>
      <c r="AD86" s="4"/>
      <c r="AE86" s="4"/>
      <c r="AF86" s="4"/>
      <c r="AG86" s="4"/>
    </row>
    <row r="87" spans="1:33" x14ac:dyDescent="0.2">
      <c r="B87" s="52"/>
      <c r="C87" s="56" t="s">
        <v>64</v>
      </c>
      <c r="D87" s="44"/>
      <c r="E87" s="86" t="s">
        <v>1034</v>
      </c>
      <c r="F87" s="28"/>
      <c r="G87" s="26"/>
      <c r="H87" s="21" t="b">
        <f>IF(D88="x",H$2,H$1)</f>
        <v>0</v>
      </c>
      <c r="I87" s="4"/>
      <c r="J87" s="4"/>
      <c r="K87" s="4"/>
      <c r="L87" s="4"/>
      <c r="M87" s="4"/>
      <c r="N87" s="4"/>
      <c r="O87" s="4"/>
      <c r="P87" s="4"/>
      <c r="Q87" s="4"/>
      <c r="R87" s="4"/>
      <c r="S87" s="4"/>
      <c r="T87" s="4"/>
      <c r="U87" s="4"/>
      <c r="V87" s="4"/>
      <c r="W87" s="4"/>
      <c r="X87" s="4"/>
      <c r="Y87" s="4"/>
      <c r="Z87" s="4"/>
      <c r="AA87" s="4"/>
      <c r="AB87" s="4"/>
      <c r="AC87" s="4"/>
      <c r="AD87" s="4"/>
      <c r="AE87" s="4"/>
      <c r="AF87" s="4"/>
      <c r="AG87" s="4"/>
    </row>
    <row r="88" spans="1:33" x14ac:dyDescent="0.2">
      <c r="B88" s="48"/>
      <c r="C88" s="57" t="s">
        <v>65</v>
      </c>
      <c r="D88" s="44"/>
      <c r="E88" s="86" t="s">
        <v>1035</v>
      </c>
      <c r="F88" s="22" t="str">
        <f>IF(H89=1,IF(H87=H$2,H87,""),"")</f>
        <v/>
      </c>
      <c r="G88" s="26"/>
      <c r="H88" s="21" t="str">
        <f>IF(E$128="comprobar",COUNTIF(D87:D91,"x"),"")</f>
        <v/>
      </c>
      <c r="I88" s="4"/>
      <c r="J88" s="4"/>
      <c r="K88" s="4"/>
      <c r="L88" s="4"/>
      <c r="M88" s="4"/>
      <c r="N88" s="4"/>
      <c r="O88" s="4"/>
      <c r="P88" s="4"/>
      <c r="Q88" s="4"/>
      <c r="R88" s="4"/>
      <c r="S88" s="4"/>
      <c r="T88" s="4"/>
      <c r="U88" s="4"/>
      <c r="V88" s="4"/>
      <c r="W88" s="4"/>
      <c r="X88" s="4"/>
      <c r="Y88" s="4"/>
      <c r="Z88" s="4"/>
      <c r="AA88" s="4"/>
      <c r="AB88" s="4"/>
      <c r="AC88" s="4"/>
      <c r="AD88" s="4"/>
      <c r="AE88" s="4"/>
      <c r="AF88" s="4"/>
      <c r="AG88" s="4"/>
    </row>
    <row r="89" spans="1:33" x14ac:dyDescent="0.2">
      <c r="B89" s="48"/>
      <c r="C89" s="57" t="s">
        <v>66</v>
      </c>
      <c r="D89" s="44"/>
      <c r="E89" s="86" t="s">
        <v>1036</v>
      </c>
      <c r="F89" s="23" t="str">
        <f>IF(H89=-0.33,IF(H87=H$1,H87,""),"")</f>
        <v/>
      </c>
      <c r="G89" s="26"/>
      <c r="H89" s="24">
        <f>IF(H88=1,IF(H87=H$2,1,-0.33),0)</f>
        <v>0</v>
      </c>
      <c r="I89" s="4"/>
      <c r="J89" s="4"/>
      <c r="K89" s="4"/>
      <c r="L89" s="4"/>
      <c r="M89" s="4"/>
      <c r="N89" s="4"/>
      <c r="O89" s="4"/>
      <c r="P89" s="4"/>
      <c r="Q89" s="4"/>
      <c r="R89" s="4"/>
      <c r="S89" s="4"/>
      <c r="T89" s="4"/>
      <c r="U89" s="4"/>
      <c r="V89" s="4"/>
      <c r="W89" s="4"/>
      <c r="X89" s="4"/>
      <c r="Y89" s="4"/>
      <c r="Z89" s="4"/>
      <c r="AA89" s="4"/>
      <c r="AB89" s="4"/>
      <c r="AC89" s="4"/>
      <c r="AD89" s="4"/>
      <c r="AE89" s="4"/>
      <c r="AF89" s="4"/>
      <c r="AG89" s="4"/>
    </row>
    <row r="90" spans="1:33" x14ac:dyDescent="0.2">
      <c r="B90" s="48"/>
      <c r="C90" s="57"/>
      <c r="D90" s="44"/>
      <c r="E90" s="86" t="s">
        <v>1037</v>
      </c>
      <c r="F90" s="28"/>
      <c r="G90" s="26"/>
      <c r="H90" s="24"/>
      <c r="I90" s="4"/>
      <c r="J90" s="4"/>
      <c r="K90" s="4"/>
      <c r="L90" s="4"/>
      <c r="M90" s="4"/>
      <c r="N90" s="4"/>
      <c r="O90" s="4"/>
      <c r="P90" s="4"/>
      <c r="Q90" s="4"/>
      <c r="R90" s="4"/>
      <c r="S90" s="4"/>
      <c r="T90" s="4"/>
      <c r="U90" s="4"/>
      <c r="V90" s="4"/>
      <c r="W90" s="4"/>
      <c r="X90" s="4"/>
      <c r="Y90" s="4"/>
      <c r="Z90" s="4"/>
      <c r="AA90" s="4"/>
      <c r="AB90" s="4"/>
      <c r="AC90" s="4"/>
      <c r="AD90" s="4"/>
      <c r="AE90" s="4"/>
      <c r="AF90" s="4"/>
      <c r="AG90" s="4"/>
    </row>
    <row r="91" spans="1:33" x14ac:dyDescent="0.2">
      <c r="B91" s="48"/>
      <c r="C91" s="8"/>
      <c r="D91" s="44"/>
      <c r="E91" s="86" t="s">
        <v>1038</v>
      </c>
      <c r="F91" s="20"/>
      <c r="G91" s="26"/>
      <c r="H91" s="24"/>
      <c r="I91" s="4"/>
      <c r="J91" s="4"/>
      <c r="K91" s="4"/>
      <c r="L91" s="4"/>
      <c r="M91" s="4"/>
      <c r="N91" s="4"/>
      <c r="O91" s="4"/>
      <c r="P91" s="4"/>
      <c r="Q91" s="4"/>
      <c r="R91" s="4"/>
      <c r="S91" s="4"/>
      <c r="T91" s="4"/>
      <c r="U91" s="4"/>
      <c r="V91" s="4"/>
      <c r="W91" s="4"/>
      <c r="X91" s="4"/>
      <c r="Y91" s="4"/>
      <c r="Z91" s="4"/>
      <c r="AA91" s="4"/>
      <c r="AB91" s="4"/>
      <c r="AC91" s="4"/>
      <c r="AD91" s="4"/>
      <c r="AE91" s="4"/>
      <c r="AF91" s="4"/>
      <c r="AG91" s="4"/>
    </row>
    <row r="92" spans="1:33" s="17" customFormat="1" x14ac:dyDescent="0.2">
      <c r="A92" s="4"/>
      <c r="B92" s="49">
        <v>15</v>
      </c>
      <c r="C92" s="13" t="s">
        <v>67</v>
      </c>
      <c r="D92" s="45"/>
      <c r="E92" s="85"/>
      <c r="F92" s="30"/>
      <c r="G92" s="25"/>
      <c r="H92" s="25"/>
      <c r="I92" s="4"/>
      <c r="J92" s="4"/>
      <c r="K92" s="4"/>
      <c r="L92" s="4"/>
      <c r="M92" s="4"/>
      <c r="N92" s="4"/>
      <c r="O92" s="4"/>
      <c r="P92" s="4"/>
      <c r="Q92" s="4"/>
      <c r="R92" s="4"/>
      <c r="S92" s="4"/>
      <c r="T92" s="4"/>
      <c r="U92" s="4"/>
      <c r="V92" s="4"/>
      <c r="W92" s="4"/>
      <c r="X92" s="4"/>
      <c r="Y92" s="4"/>
      <c r="Z92" s="4"/>
      <c r="AA92" s="4"/>
      <c r="AB92" s="4"/>
      <c r="AC92" s="4"/>
      <c r="AD92" s="4"/>
      <c r="AE92" s="4"/>
      <c r="AF92" s="4"/>
      <c r="AG92" s="4"/>
    </row>
    <row r="93" spans="1:33" x14ac:dyDescent="0.2">
      <c r="B93" s="52"/>
      <c r="C93" s="56" t="s">
        <v>68</v>
      </c>
      <c r="D93" s="44"/>
      <c r="E93" s="86" t="s">
        <v>1034</v>
      </c>
      <c r="F93" s="28"/>
      <c r="G93" s="26"/>
      <c r="H93" s="21" t="b">
        <f>IF(D94="x",H$2,H$1)</f>
        <v>0</v>
      </c>
      <c r="I93" s="4"/>
      <c r="J93" s="4"/>
      <c r="K93" s="4"/>
      <c r="L93" s="4"/>
      <c r="M93" s="4"/>
      <c r="N93" s="4"/>
      <c r="O93" s="4"/>
      <c r="P93" s="4"/>
      <c r="Q93" s="4"/>
      <c r="R93" s="4"/>
      <c r="S93" s="4"/>
      <c r="T93" s="4"/>
      <c r="U93" s="4"/>
      <c r="V93" s="4"/>
      <c r="W93" s="4"/>
      <c r="X93" s="4"/>
      <c r="Y93" s="4"/>
      <c r="Z93" s="4"/>
      <c r="AA93" s="4"/>
      <c r="AB93" s="4"/>
      <c r="AC93" s="4"/>
      <c r="AD93" s="4"/>
      <c r="AE93" s="4"/>
      <c r="AF93" s="4"/>
      <c r="AG93" s="4"/>
    </row>
    <row r="94" spans="1:33" x14ac:dyDescent="0.2">
      <c r="B94" s="48"/>
      <c r="C94" s="57" t="s">
        <v>69</v>
      </c>
      <c r="D94" s="44"/>
      <c r="E94" s="86" t="s">
        <v>1035</v>
      </c>
      <c r="F94" s="22" t="str">
        <f>IF(H95=1,IF(H93=H$2,H93,""),"")</f>
        <v/>
      </c>
      <c r="G94" s="26"/>
      <c r="H94" s="21" t="str">
        <f>IF(E$128="comprobar",COUNTIF(D93:D97,"x"),"")</f>
        <v/>
      </c>
      <c r="I94" s="4"/>
      <c r="J94" s="4"/>
      <c r="K94" s="4"/>
      <c r="L94" s="4"/>
      <c r="M94" s="4"/>
      <c r="N94" s="4"/>
      <c r="O94" s="4"/>
      <c r="P94" s="4"/>
      <c r="Q94" s="4"/>
      <c r="R94" s="4"/>
      <c r="S94" s="4"/>
      <c r="T94" s="4"/>
      <c r="U94" s="4"/>
      <c r="V94" s="4"/>
      <c r="W94" s="4"/>
      <c r="X94" s="4"/>
      <c r="Y94" s="4"/>
      <c r="Z94" s="4"/>
      <c r="AA94" s="4"/>
      <c r="AB94" s="4"/>
      <c r="AC94" s="4"/>
      <c r="AD94" s="4"/>
      <c r="AE94" s="4"/>
      <c r="AF94" s="4"/>
      <c r="AG94" s="4"/>
    </row>
    <row r="95" spans="1:33" x14ac:dyDescent="0.2">
      <c r="B95" s="48"/>
      <c r="C95" s="57" t="s">
        <v>70</v>
      </c>
      <c r="D95" s="44"/>
      <c r="E95" s="86" t="s">
        <v>1036</v>
      </c>
      <c r="F95" s="23" t="str">
        <f>IF(H95=-0.33,IF(H93=H$1,H93,""),"")</f>
        <v/>
      </c>
      <c r="G95" s="26"/>
      <c r="H95" s="24">
        <f>IF(H94=1,IF(H93=H$2,1,-0.33),0)</f>
        <v>0</v>
      </c>
      <c r="I95" s="4"/>
      <c r="J95" s="4"/>
      <c r="K95" s="4"/>
      <c r="L95" s="4"/>
      <c r="M95" s="4"/>
      <c r="N95" s="4"/>
      <c r="O95" s="4"/>
      <c r="P95" s="4"/>
      <c r="Q95" s="4"/>
      <c r="R95" s="4"/>
      <c r="S95" s="4"/>
      <c r="T95" s="4"/>
      <c r="U95" s="4"/>
      <c r="V95" s="4"/>
      <c r="W95" s="4"/>
      <c r="X95" s="4"/>
      <c r="Y95" s="4"/>
      <c r="Z95" s="4"/>
      <c r="AA95" s="4"/>
      <c r="AB95" s="4"/>
      <c r="AC95" s="4"/>
      <c r="AD95" s="4"/>
      <c r="AE95" s="4"/>
      <c r="AF95" s="4"/>
      <c r="AG95" s="4"/>
    </row>
    <row r="96" spans="1:33" x14ac:dyDescent="0.2">
      <c r="B96" s="48"/>
      <c r="C96" s="57"/>
      <c r="D96" s="44"/>
      <c r="E96" s="86" t="s">
        <v>1037</v>
      </c>
      <c r="F96" s="28"/>
      <c r="G96" s="26"/>
      <c r="H96" s="24"/>
      <c r="I96" s="4"/>
      <c r="J96" s="4"/>
      <c r="K96" s="4"/>
      <c r="L96" s="4"/>
      <c r="M96" s="4"/>
      <c r="N96" s="4"/>
      <c r="O96" s="4"/>
      <c r="P96" s="4"/>
      <c r="Q96" s="4"/>
      <c r="R96" s="4"/>
      <c r="S96" s="4"/>
      <c r="T96" s="4"/>
      <c r="U96" s="4"/>
      <c r="V96" s="4"/>
      <c r="W96" s="4"/>
      <c r="X96" s="4"/>
      <c r="Y96" s="4"/>
      <c r="Z96" s="4"/>
      <c r="AA96" s="4"/>
      <c r="AB96" s="4"/>
      <c r="AC96" s="4"/>
      <c r="AD96" s="4"/>
      <c r="AE96" s="4"/>
      <c r="AF96" s="4"/>
      <c r="AG96" s="4"/>
    </row>
    <row r="97" spans="1:33" x14ac:dyDescent="0.2">
      <c r="B97" s="48"/>
      <c r="C97" s="8"/>
      <c r="D97" s="44"/>
      <c r="E97" s="86" t="s">
        <v>1038</v>
      </c>
      <c r="F97" s="20"/>
      <c r="G97" s="26"/>
      <c r="H97" s="24"/>
      <c r="I97" s="4"/>
      <c r="J97" s="4"/>
      <c r="K97" s="4"/>
      <c r="L97" s="4"/>
      <c r="M97" s="4"/>
      <c r="N97" s="4"/>
      <c r="O97" s="4"/>
      <c r="P97" s="4"/>
      <c r="Q97" s="4"/>
      <c r="R97" s="4"/>
      <c r="S97" s="4"/>
      <c r="T97" s="4"/>
      <c r="U97" s="4"/>
      <c r="V97" s="4"/>
      <c r="W97" s="4"/>
      <c r="X97" s="4"/>
      <c r="Y97" s="4"/>
      <c r="Z97" s="4"/>
      <c r="AA97" s="4"/>
      <c r="AB97" s="4"/>
      <c r="AC97" s="4"/>
      <c r="AD97" s="4"/>
      <c r="AE97" s="4"/>
      <c r="AF97" s="4"/>
      <c r="AG97" s="4"/>
    </row>
    <row r="98" spans="1:33" s="17" customFormat="1" x14ac:dyDescent="0.2">
      <c r="A98" s="4"/>
      <c r="B98" s="49">
        <v>16</v>
      </c>
      <c r="C98" s="13" t="s">
        <v>71</v>
      </c>
      <c r="D98" s="45"/>
      <c r="E98" s="85"/>
      <c r="F98" s="30"/>
      <c r="G98" s="25"/>
      <c r="H98" s="25"/>
      <c r="I98" s="4"/>
      <c r="J98" s="4"/>
      <c r="K98" s="4"/>
      <c r="L98" s="4"/>
      <c r="M98" s="4"/>
      <c r="N98" s="4"/>
      <c r="O98" s="4"/>
      <c r="P98" s="4"/>
      <c r="Q98" s="4"/>
      <c r="R98" s="4"/>
      <c r="S98" s="4"/>
      <c r="T98" s="4"/>
      <c r="U98" s="4"/>
      <c r="V98" s="4"/>
      <c r="W98" s="4"/>
      <c r="X98" s="4"/>
      <c r="Y98" s="4"/>
      <c r="Z98" s="4"/>
      <c r="AA98" s="4"/>
      <c r="AB98" s="4"/>
      <c r="AC98" s="4"/>
      <c r="AD98" s="4"/>
      <c r="AE98" s="4"/>
      <c r="AF98" s="4"/>
      <c r="AG98" s="4"/>
    </row>
    <row r="99" spans="1:33" x14ac:dyDescent="0.2">
      <c r="B99" s="52"/>
      <c r="C99" s="56" t="s">
        <v>72</v>
      </c>
      <c r="D99" s="44"/>
      <c r="E99" s="86" t="s">
        <v>1034</v>
      </c>
      <c r="F99" s="28"/>
      <c r="G99" s="26"/>
      <c r="H99" s="21" t="b">
        <f>IF(D101="x",H$2,H$1)</f>
        <v>0</v>
      </c>
      <c r="I99" s="4"/>
      <c r="J99" s="4"/>
      <c r="K99" s="4"/>
      <c r="L99" s="4"/>
      <c r="M99" s="4"/>
      <c r="N99" s="4"/>
      <c r="O99" s="4"/>
      <c r="P99" s="4"/>
      <c r="Q99" s="4"/>
      <c r="R99" s="4"/>
      <c r="S99" s="4"/>
      <c r="T99" s="4"/>
      <c r="U99" s="4"/>
      <c r="V99" s="4"/>
      <c r="W99" s="4"/>
      <c r="X99" s="4"/>
      <c r="Y99" s="4"/>
      <c r="Z99" s="4"/>
      <c r="AA99" s="4"/>
      <c r="AB99" s="4"/>
      <c r="AC99" s="4"/>
      <c r="AD99" s="4"/>
      <c r="AE99" s="4"/>
      <c r="AF99" s="4"/>
      <c r="AG99" s="4"/>
    </row>
    <row r="100" spans="1:33" x14ac:dyDescent="0.2">
      <c r="B100" s="48"/>
      <c r="C100" s="57" t="s">
        <v>73</v>
      </c>
      <c r="D100" s="44"/>
      <c r="E100" s="86" t="s">
        <v>1035</v>
      </c>
      <c r="F100" s="22" t="str">
        <f>IF(H101=1,IF(H99=H$2,H99,""),"")</f>
        <v/>
      </c>
      <c r="G100" s="26"/>
      <c r="H100" s="21" t="str">
        <f>IF(E$128="comprobar",COUNTIF(D99:D103,"x"),"")</f>
        <v/>
      </c>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row>
    <row r="101" spans="1:33" x14ac:dyDescent="0.2">
      <c r="B101" s="48"/>
      <c r="C101" s="57" t="s">
        <v>74</v>
      </c>
      <c r="D101" s="44"/>
      <c r="E101" s="86" t="s">
        <v>1036</v>
      </c>
      <c r="F101" s="23" t="str">
        <f>IF(H101=-0.33,IF(H99=H$1,H99,""),"")</f>
        <v/>
      </c>
      <c r="G101" s="26"/>
      <c r="H101" s="24">
        <f>IF(H100=1,IF(H99=H$2,1,-0.33),0)</f>
        <v>0</v>
      </c>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row>
    <row r="102" spans="1:33" x14ac:dyDescent="0.2">
      <c r="B102" s="48"/>
      <c r="C102" s="57"/>
      <c r="D102" s="44"/>
      <c r="E102" s="86" t="s">
        <v>1037</v>
      </c>
      <c r="F102" s="28"/>
      <c r="G102" s="26"/>
      <c r="H102" s="2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row>
    <row r="103" spans="1:33" x14ac:dyDescent="0.2">
      <c r="B103" s="48"/>
      <c r="C103" s="8"/>
      <c r="D103" s="44"/>
      <c r="E103" s="86" t="s">
        <v>1038</v>
      </c>
      <c r="F103" s="20"/>
      <c r="G103" s="26"/>
      <c r="H103" s="2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row>
    <row r="104" spans="1:33" s="17" customFormat="1" x14ac:dyDescent="0.2">
      <c r="A104" s="4"/>
      <c r="B104" s="49">
        <v>17</v>
      </c>
      <c r="C104" s="13" t="s">
        <v>75</v>
      </c>
      <c r="D104" s="45"/>
      <c r="E104" s="85"/>
      <c r="F104" s="30"/>
      <c r="G104" s="29"/>
      <c r="H104" s="29"/>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row>
    <row r="105" spans="1:33" x14ac:dyDescent="0.2">
      <c r="B105" s="52"/>
      <c r="C105" s="56" t="s">
        <v>76</v>
      </c>
      <c r="D105" s="44"/>
      <c r="E105" s="86" t="s">
        <v>1034</v>
      </c>
      <c r="F105" s="28"/>
      <c r="G105" s="26"/>
      <c r="H105" s="21" t="b">
        <f>IF(D107="x",H$2,H$1)</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row>
    <row r="106" spans="1:33" x14ac:dyDescent="0.2">
      <c r="B106" s="48"/>
      <c r="C106" s="57" t="s">
        <v>77</v>
      </c>
      <c r="D106" s="44"/>
      <c r="E106" s="86" t="s">
        <v>1035</v>
      </c>
      <c r="F106" s="22" t="str">
        <f>IF(H107=1,IF(H105=H$2,H105,""),"")</f>
        <v/>
      </c>
      <c r="G106" s="26"/>
      <c r="H106" s="21" t="str">
        <f>IF(E$128="comprobar",COUNTIF(D105:D109,"x"),"")</f>
        <v/>
      </c>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row>
    <row r="107" spans="1:33" x14ac:dyDescent="0.2">
      <c r="B107" s="48"/>
      <c r="C107" s="57" t="s">
        <v>78</v>
      </c>
      <c r="D107" s="44"/>
      <c r="E107" s="86" t="s">
        <v>1036</v>
      </c>
      <c r="F107" s="23" t="str">
        <f>IF(H107=-0.33,IF(H105=H$1,H105,""),"")</f>
        <v/>
      </c>
      <c r="G107" s="26"/>
      <c r="H107" s="24">
        <f>IF(H106=1,IF(H105=H$2,1,-0.33),0)</f>
        <v>0</v>
      </c>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row>
    <row r="108" spans="1:33" x14ac:dyDescent="0.2">
      <c r="B108" s="48"/>
      <c r="C108" s="57"/>
      <c r="D108" s="44"/>
      <c r="E108" s="86" t="s">
        <v>1037</v>
      </c>
      <c r="F108" s="28"/>
      <c r="G108" s="26"/>
      <c r="H108" s="2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row>
    <row r="109" spans="1:33" x14ac:dyDescent="0.2">
      <c r="B109" s="48"/>
      <c r="C109" s="8"/>
      <c r="D109" s="44"/>
      <c r="E109" s="86" t="s">
        <v>1038</v>
      </c>
      <c r="F109" s="20"/>
      <c r="G109" s="26"/>
      <c r="H109" s="2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row>
    <row r="110" spans="1:33" s="17" customFormat="1" x14ac:dyDescent="0.2">
      <c r="A110" s="4"/>
      <c r="B110" s="49">
        <v>18</v>
      </c>
      <c r="C110" s="13" t="s">
        <v>79</v>
      </c>
      <c r="D110" s="45"/>
      <c r="E110" s="85"/>
      <c r="F110" s="30"/>
      <c r="G110" s="25"/>
      <c r="H110" s="25"/>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row>
    <row r="111" spans="1:33" x14ac:dyDescent="0.2">
      <c r="B111" s="52"/>
      <c r="C111" s="56" t="s">
        <v>80</v>
      </c>
      <c r="D111" s="44"/>
      <c r="E111" s="86" t="s">
        <v>1034</v>
      </c>
      <c r="F111" s="28"/>
      <c r="G111" s="26"/>
      <c r="H111" s="21" t="b">
        <f>IF(D113="x",H$2,H$1)</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row>
    <row r="112" spans="1:33" x14ac:dyDescent="0.2">
      <c r="B112" s="48"/>
      <c r="C112" s="57" t="s">
        <v>81</v>
      </c>
      <c r="D112" s="44"/>
      <c r="E112" s="86" t="s">
        <v>1035</v>
      </c>
      <c r="F112" s="22" t="str">
        <f>IF(H113=1,IF(H111=H$2,H111,""),"")</f>
        <v/>
      </c>
      <c r="G112" s="26"/>
      <c r="H112" s="21" t="str">
        <f>IF(E$128="comprobar",COUNTIF(D111:D115,"x"),"")</f>
        <v/>
      </c>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row>
    <row r="113" spans="1:33" x14ac:dyDescent="0.2">
      <c r="B113" s="48"/>
      <c r="C113" s="57" t="s">
        <v>82</v>
      </c>
      <c r="D113" s="44"/>
      <c r="E113" s="86" t="s">
        <v>1036</v>
      </c>
      <c r="F113" s="23" t="str">
        <f>IF(H113=-0.33,IF(H111=H$1,H111,""),"")</f>
        <v/>
      </c>
      <c r="G113" s="26"/>
      <c r="H113" s="24">
        <f>IF(H112=1,IF(H111=H$2,1,-0.33),0)</f>
        <v>0</v>
      </c>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row>
    <row r="114" spans="1:33" x14ac:dyDescent="0.2">
      <c r="B114" s="48"/>
      <c r="C114" s="57"/>
      <c r="D114" s="44"/>
      <c r="E114" s="86" t="s">
        <v>1037</v>
      </c>
      <c r="F114" s="28"/>
      <c r="G114" s="26"/>
      <c r="H114" s="2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row>
    <row r="115" spans="1:33" x14ac:dyDescent="0.2">
      <c r="B115" s="48"/>
      <c r="C115" s="8"/>
      <c r="D115" s="44"/>
      <c r="E115" s="86" t="s">
        <v>1038</v>
      </c>
      <c r="F115" s="20"/>
      <c r="G115" s="26"/>
      <c r="H115" s="2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row>
    <row r="116" spans="1:33" s="17" customFormat="1" x14ac:dyDescent="0.2">
      <c r="A116" s="4"/>
      <c r="B116" s="49">
        <v>19</v>
      </c>
      <c r="C116" s="13" t="s">
        <v>83</v>
      </c>
      <c r="D116" s="45"/>
      <c r="E116" s="85"/>
      <c r="F116" s="30"/>
      <c r="G116" s="25"/>
      <c r="H116" s="25"/>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row>
    <row r="117" spans="1:33" x14ac:dyDescent="0.2">
      <c r="B117" s="52"/>
      <c r="C117" s="56" t="s">
        <v>84</v>
      </c>
      <c r="D117" s="44"/>
      <c r="E117" s="86" t="s">
        <v>1034</v>
      </c>
      <c r="F117" s="28"/>
      <c r="G117" s="26"/>
      <c r="H117" s="21" t="b">
        <f>IF(D117="x",H$2,H$1)</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row>
    <row r="118" spans="1:33" x14ac:dyDescent="0.2">
      <c r="B118" s="48"/>
      <c r="C118" s="57" t="s">
        <v>85</v>
      </c>
      <c r="D118" s="44"/>
      <c r="E118" s="86" t="s">
        <v>1035</v>
      </c>
      <c r="F118" s="22" t="str">
        <f>IF(H119=1,IF(H117=H$2,H117,""),"")</f>
        <v/>
      </c>
      <c r="G118" s="26"/>
      <c r="H118" s="21" t="str">
        <f>IF(E$128="comprobar",COUNTIF(D117:D121,"x"),"")</f>
        <v/>
      </c>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row>
    <row r="119" spans="1:33" x14ac:dyDescent="0.2">
      <c r="B119" s="48"/>
      <c r="C119" s="57" t="s">
        <v>86</v>
      </c>
      <c r="D119" s="44"/>
      <c r="E119" s="86" t="s">
        <v>1036</v>
      </c>
      <c r="F119" s="23" t="str">
        <f>IF(H119=-0.33,IF(H117=H$1,H117,""),"")</f>
        <v/>
      </c>
      <c r="G119" s="26"/>
      <c r="H119" s="24">
        <f>IF(H118=1,IF(H117=H$2,1,-0.33),0)</f>
        <v>0</v>
      </c>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row>
    <row r="120" spans="1:33" x14ac:dyDescent="0.2">
      <c r="B120" s="48"/>
      <c r="C120" s="57"/>
      <c r="D120" s="44"/>
      <c r="E120" s="86" t="s">
        <v>1037</v>
      </c>
      <c r="F120" s="28"/>
      <c r="G120" s="26"/>
      <c r="H120" s="2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row>
    <row r="121" spans="1:33" x14ac:dyDescent="0.2">
      <c r="B121" s="48"/>
      <c r="C121" s="8"/>
      <c r="D121" s="44"/>
      <c r="E121" s="86" t="s">
        <v>1038</v>
      </c>
      <c r="F121" s="20"/>
      <c r="G121" s="26"/>
      <c r="H121" s="2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row>
    <row r="122" spans="1:33" x14ac:dyDescent="0.2">
      <c r="B122" s="49">
        <v>20</v>
      </c>
      <c r="C122" s="13" t="s">
        <v>87</v>
      </c>
      <c r="D122" s="45"/>
      <c r="E122" s="85"/>
      <c r="F122" s="30"/>
      <c r="G122" s="25"/>
      <c r="H122" s="25"/>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row>
    <row r="123" spans="1:33" x14ac:dyDescent="0.2">
      <c r="B123" s="52"/>
      <c r="C123" s="56" t="s">
        <v>88</v>
      </c>
      <c r="D123" s="44"/>
      <c r="E123" s="86" t="s">
        <v>1034</v>
      </c>
      <c r="F123" s="28"/>
      <c r="G123" s="26"/>
      <c r="H123" s="21" t="b">
        <f>IF(D125="x",H$2,H$1)</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row>
    <row r="124" spans="1:33" x14ac:dyDescent="0.2">
      <c r="B124" s="48"/>
      <c r="C124" s="57" t="s">
        <v>89</v>
      </c>
      <c r="D124" s="44"/>
      <c r="E124" s="86" t="s">
        <v>1035</v>
      </c>
      <c r="F124" s="22" t="str">
        <f>IF(H125=1,IF(H123=H$2,H123,""),"")</f>
        <v/>
      </c>
      <c r="G124" s="26"/>
      <c r="H124" s="21" t="str">
        <f>IF(E$128="comprobar",COUNTIF(D123:D127,"x"),"")</f>
        <v/>
      </c>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row>
    <row r="125" spans="1:33" x14ac:dyDescent="0.2">
      <c r="B125" s="48"/>
      <c r="C125" s="57" t="s">
        <v>90</v>
      </c>
      <c r="D125" s="44"/>
      <c r="E125" s="86" t="s">
        <v>1036</v>
      </c>
      <c r="F125" s="23" t="str">
        <f>IF(H125=-0.33,IF(H123=H$1,H123,""),"")</f>
        <v/>
      </c>
      <c r="G125" s="26"/>
      <c r="H125" s="24">
        <f>IF(H124=1,IF(H123=H$2,1,-0.33),0)</f>
        <v>0</v>
      </c>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row>
    <row r="126" spans="1:33" x14ac:dyDescent="0.2">
      <c r="B126" s="48"/>
      <c r="C126" s="57"/>
      <c r="D126" s="44"/>
      <c r="E126" s="86" t="s">
        <v>1037</v>
      </c>
      <c r="F126" s="28"/>
      <c r="G126" s="26"/>
      <c r="H126" s="2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row>
    <row r="127" spans="1:33" x14ac:dyDescent="0.2">
      <c r="B127" s="48"/>
      <c r="C127" s="8"/>
      <c r="D127" s="44"/>
      <c r="E127" s="86" t="s">
        <v>1038</v>
      </c>
      <c r="F127" s="20"/>
      <c r="G127" s="19"/>
      <c r="H127" s="19"/>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row>
    <row r="128" spans="1:33" x14ac:dyDescent="0.2">
      <c r="B128" s="52"/>
      <c r="C128" s="47"/>
      <c r="D128" s="73"/>
      <c r="E128" s="87"/>
      <c r="F128" s="20"/>
      <c r="G128" s="19"/>
      <c r="H128" s="19"/>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row>
    <row r="129" spans="1:33" x14ac:dyDescent="0.2">
      <c r="B129" s="52"/>
      <c r="C129" s="18"/>
      <c r="D129" s="73"/>
      <c r="E129" s="93"/>
      <c r="F129" s="31" t="s">
        <v>93</v>
      </c>
      <c r="G129" s="19" t="s">
        <v>91</v>
      </c>
      <c r="H129" s="19" t="s">
        <v>92</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row>
    <row r="130" spans="1:33" ht="20" x14ac:dyDescent="0.2">
      <c r="B130" s="52"/>
      <c r="C130" s="18"/>
      <c r="D130" s="115"/>
      <c r="E130" s="115"/>
      <c r="F130" s="32" t="str">
        <f>IF(E128="comprobar",H65+H59+H53+H47+H41+H35+H29+H23+H17+H11+H71+H77+H83+H89+H95+H101+H107+H113+H119+H125,"")</f>
        <v/>
      </c>
      <c r="G130" s="19">
        <f>B122/2</f>
        <v>10</v>
      </c>
      <c r="H130" s="19"/>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row>
    <row r="131" spans="1:33" ht="17" thickBot="1" x14ac:dyDescent="0.25">
      <c r="B131" s="53"/>
      <c r="C131" s="33"/>
      <c r="D131" s="34"/>
      <c r="E131" s="88"/>
      <c r="F131" s="35" t="str">
        <f>IF(F130&gt;G130,G129,H129)</f>
        <v>APROBADO</v>
      </c>
      <c r="G131" s="19"/>
      <c r="H131" s="19"/>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row>
    <row r="132" spans="1:33" ht="29" x14ac:dyDescent="0.35">
      <c r="B132" s="54" t="s">
        <v>0</v>
      </c>
      <c r="C132" s="113" t="s">
        <v>94</v>
      </c>
      <c r="D132" s="113"/>
      <c r="E132" s="113"/>
      <c r="F132" s="114"/>
      <c r="G132" s="19"/>
      <c r="H132" s="19"/>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row>
    <row r="133" spans="1:33" s="17" customFormat="1" x14ac:dyDescent="0.2">
      <c r="A133" s="4"/>
      <c r="B133" s="49">
        <v>1</v>
      </c>
      <c r="C133" s="13" t="s">
        <v>95</v>
      </c>
      <c r="D133" s="45"/>
      <c r="E133" s="85"/>
      <c r="F133" s="30"/>
      <c r="G133" s="15"/>
      <c r="H133" s="15"/>
    </row>
    <row r="134" spans="1:33" x14ac:dyDescent="0.2">
      <c r="B134" s="52"/>
      <c r="C134" s="56" t="s">
        <v>96</v>
      </c>
      <c r="D134" s="44"/>
      <c r="E134" s="86" t="s">
        <v>1034</v>
      </c>
      <c r="F134" s="28"/>
      <c r="G134" s="19"/>
      <c r="H134" s="21" t="b">
        <f>IF(D136="x",H$2,H$1)</f>
        <v>0</v>
      </c>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row>
    <row r="135" spans="1:33" x14ac:dyDescent="0.2">
      <c r="B135" s="48"/>
      <c r="C135" s="57" t="s">
        <v>97</v>
      </c>
      <c r="D135" s="44"/>
      <c r="E135" s="86" t="s">
        <v>1035</v>
      </c>
      <c r="F135" s="22" t="str">
        <f>IF(H136=1,IF(H134=H$2,H134,""),"")</f>
        <v/>
      </c>
      <c r="G135" s="19"/>
      <c r="H135" s="21" t="str">
        <f>IF(E$253="comprobar",COUNTIF(D134:D138,"x"),"")</f>
        <v/>
      </c>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row>
    <row r="136" spans="1:33" x14ac:dyDescent="0.2">
      <c r="B136" s="48"/>
      <c r="C136" s="57" t="s">
        <v>98</v>
      </c>
      <c r="D136" s="44"/>
      <c r="E136" s="86" t="s">
        <v>1036</v>
      </c>
      <c r="F136" s="23" t="str">
        <f>IF(H136=-0.33,IF(H134=H$1,H134,""),"")</f>
        <v/>
      </c>
      <c r="G136" s="19"/>
      <c r="H136" s="24">
        <f>IF(H135=1,IF(H134=H$2,1,-0.33),0)</f>
        <v>0</v>
      </c>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row>
    <row r="137" spans="1:33" x14ac:dyDescent="0.2">
      <c r="B137" s="48"/>
      <c r="C137" s="57"/>
      <c r="D137" s="44"/>
      <c r="E137" s="86" t="s">
        <v>1037</v>
      </c>
      <c r="F137" s="28"/>
      <c r="G137" s="19"/>
      <c r="H137" s="2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row>
    <row r="138" spans="1:33" x14ac:dyDescent="0.2">
      <c r="B138" s="48"/>
      <c r="C138" s="8"/>
      <c r="D138" s="44"/>
      <c r="E138" s="86" t="s">
        <v>1038</v>
      </c>
      <c r="F138" s="20"/>
      <c r="G138" s="19"/>
      <c r="H138" s="2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row>
    <row r="139" spans="1:33" s="37" customFormat="1" x14ac:dyDescent="0.2">
      <c r="A139" s="4"/>
      <c r="B139" s="49">
        <v>2</v>
      </c>
      <c r="C139" s="13" t="s">
        <v>99</v>
      </c>
      <c r="D139" s="45"/>
      <c r="E139" s="85"/>
      <c r="F139" s="30"/>
      <c r="G139" s="15"/>
      <c r="H139" s="15"/>
    </row>
    <row r="140" spans="1:33" x14ac:dyDescent="0.2">
      <c r="B140" s="52"/>
      <c r="C140" s="56" t="s">
        <v>100</v>
      </c>
      <c r="D140" s="44"/>
      <c r="E140" s="86" t="s">
        <v>1034</v>
      </c>
      <c r="F140" s="28"/>
      <c r="G140" s="19"/>
      <c r="H140" s="21" t="b">
        <f>IF(D141="x",H$2,H$1)</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row>
    <row r="141" spans="1:33" x14ac:dyDescent="0.2">
      <c r="B141" s="48"/>
      <c r="C141" s="57" t="s">
        <v>101</v>
      </c>
      <c r="D141" s="44"/>
      <c r="E141" s="86" t="s">
        <v>1035</v>
      </c>
      <c r="F141" s="22" t="str">
        <f>IF(H142=1,IF(H140=H$2,H140,""),"")</f>
        <v/>
      </c>
      <c r="G141" s="19"/>
      <c r="H141" s="21" t="str">
        <f t="shared" ref="H141" si="1">IF(E$253="comprobar",COUNTIF(D140:D144,"x"),"")</f>
        <v/>
      </c>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row>
    <row r="142" spans="1:33" x14ac:dyDescent="0.2">
      <c r="B142" s="48"/>
      <c r="C142" s="57" t="s">
        <v>102</v>
      </c>
      <c r="D142" s="44"/>
      <c r="E142" s="86" t="s">
        <v>1036</v>
      </c>
      <c r="F142" s="23" t="str">
        <f>IF(H142=-0.33,IF(H140=H$1,H140,""),"")</f>
        <v/>
      </c>
      <c r="G142" s="19"/>
      <c r="H142" s="24">
        <f t="shared" ref="H142" si="2">IF(H141=1,IF(H140=H$2,1,-0.33),0)</f>
        <v>0</v>
      </c>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row>
    <row r="143" spans="1:33" x14ac:dyDescent="0.2">
      <c r="B143" s="48"/>
      <c r="C143" s="57"/>
      <c r="D143" s="44"/>
      <c r="E143" s="86" t="s">
        <v>1037</v>
      </c>
      <c r="F143" s="28"/>
      <c r="G143" s="19"/>
      <c r="H143" s="2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row>
    <row r="144" spans="1:33" x14ac:dyDescent="0.2">
      <c r="B144" s="48"/>
      <c r="C144" s="8"/>
      <c r="D144" s="44"/>
      <c r="E144" s="86" t="s">
        <v>1038</v>
      </c>
      <c r="F144" s="20"/>
      <c r="G144" s="19"/>
      <c r="H144" s="2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row>
    <row r="145" spans="1:33" s="37" customFormat="1" ht="32" x14ac:dyDescent="0.2">
      <c r="A145" s="100"/>
      <c r="B145" s="49">
        <v>3</v>
      </c>
      <c r="C145" s="36" t="s">
        <v>103</v>
      </c>
      <c r="D145" s="94"/>
      <c r="E145" s="89"/>
      <c r="F145" s="83"/>
      <c r="G145" s="59"/>
      <c r="H145" s="59"/>
    </row>
    <row r="146" spans="1:33" x14ac:dyDescent="0.2">
      <c r="B146" s="52"/>
      <c r="C146" s="56" t="s">
        <v>104</v>
      </c>
      <c r="D146" s="44"/>
      <c r="E146" s="86" t="s">
        <v>1034</v>
      </c>
      <c r="F146" s="28"/>
      <c r="G146" s="19"/>
      <c r="H146" s="21" t="b">
        <f t="shared" ref="H146" si="3">IF(D148="x",H$2,H$1)</f>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row>
    <row r="147" spans="1:33" x14ac:dyDescent="0.2">
      <c r="B147" s="48"/>
      <c r="C147" s="57" t="s">
        <v>101</v>
      </c>
      <c r="D147" s="44"/>
      <c r="E147" s="86" t="s">
        <v>1035</v>
      </c>
      <c r="F147" s="22" t="str">
        <f>IF(H148=1,IF(H146=H$2,H146,""),"")</f>
        <v/>
      </c>
      <c r="G147" s="19"/>
      <c r="H147" s="21" t="str">
        <f t="shared" ref="H147" si="4">IF(E$253="comprobar",COUNTIF(D146:D150,"x"),"")</f>
        <v/>
      </c>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row>
    <row r="148" spans="1:33" x14ac:dyDescent="0.2">
      <c r="B148" s="48"/>
      <c r="C148" s="57" t="s">
        <v>105</v>
      </c>
      <c r="D148" s="44"/>
      <c r="E148" s="86" t="s">
        <v>1036</v>
      </c>
      <c r="F148" s="23" t="str">
        <f>IF(H148=-0.33,IF(H146=H$1,H146,""),"")</f>
        <v/>
      </c>
      <c r="G148" s="19"/>
      <c r="H148" s="24">
        <f t="shared" ref="H148" si="5">IF(H147=1,IF(H146=H$2,1,-0.33),0)</f>
        <v>0</v>
      </c>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row>
    <row r="149" spans="1:33" x14ac:dyDescent="0.2">
      <c r="B149" s="48"/>
      <c r="C149" s="57"/>
      <c r="D149" s="44"/>
      <c r="E149" s="86" t="s">
        <v>1037</v>
      </c>
      <c r="F149" s="28"/>
      <c r="G149" s="19"/>
      <c r="H149" s="2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row>
    <row r="150" spans="1:33" x14ac:dyDescent="0.2">
      <c r="B150" s="48"/>
      <c r="C150" s="8"/>
      <c r="D150" s="44"/>
      <c r="E150" s="86" t="s">
        <v>1038</v>
      </c>
      <c r="F150" s="20"/>
      <c r="G150" s="19"/>
      <c r="H150" s="2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row>
    <row r="151" spans="1:33" s="17" customFormat="1" x14ac:dyDescent="0.2">
      <c r="A151" s="4"/>
      <c r="B151" s="49">
        <v>4</v>
      </c>
      <c r="C151" s="13" t="s">
        <v>106</v>
      </c>
      <c r="D151" s="45"/>
      <c r="E151" s="85"/>
      <c r="F151" s="30"/>
      <c r="G151" s="15"/>
      <c r="H151" s="15"/>
    </row>
    <row r="152" spans="1:33" x14ac:dyDescent="0.2">
      <c r="B152" s="52"/>
      <c r="C152" s="56" t="s">
        <v>107</v>
      </c>
      <c r="D152" s="44"/>
      <c r="E152" s="86" t="s">
        <v>1034</v>
      </c>
      <c r="F152" s="28"/>
      <c r="G152" s="19"/>
      <c r="H152" s="21" t="b">
        <f t="shared" ref="H152" si="6">IF(D154="x",H$2,H$1)</f>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row>
    <row r="153" spans="1:33" x14ac:dyDescent="0.2">
      <c r="B153" s="48"/>
      <c r="C153" s="57" t="s">
        <v>108</v>
      </c>
      <c r="D153" s="44"/>
      <c r="E153" s="86" t="s">
        <v>1035</v>
      </c>
      <c r="F153" s="22" t="str">
        <f>IF(H154=1,IF(H152=H$2,H152,""),"")</f>
        <v/>
      </c>
      <c r="G153" s="19"/>
      <c r="H153" s="21" t="str">
        <f t="shared" ref="H153" si="7">IF(E$253="comprobar",COUNTIF(D152:D156,"x"),"")</f>
        <v/>
      </c>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row>
    <row r="154" spans="1:33" x14ac:dyDescent="0.2">
      <c r="B154" s="48"/>
      <c r="C154" s="57" t="s">
        <v>109</v>
      </c>
      <c r="D154" s="44"/>
      <c r="E154" s="86" t="s">
        <v>1036</v>
      </c>
      <c r="F154" s="23" t="str">
        <f>IF(H154=-0.33,IF(H152=H$1,H152,""),"")</f>
        <v/>
      </c>
      <c r="G154" s="19"/>
      <c r="H154" s="24">
        <f t="shared" ref="H154" si="8">IF(H153=1,IF(H152=H$2,1,-0.33),0)</f>
        <v>0</v>
      </c>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row>
    <row r="155" spans="1:33" x14ac:dyDescent="0.2">
      <c r="B155" s="48"/>
      <c r="C155" s="57"/>
      <c r="D155" s="44"/>
      <c r="E155" s="86" t="s">
        <v>1037</v>
      </c>
      <c r="F155" s="28"/>
      <c r="G155" s="19"/>
      <c r="H155" s="2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row>
    <row r="156" spans="1:33" x14ac:dyDescent="0.2">
      <c r="B156" s="48"/>
      <c r="C156" s="8"/>
      <c r="D156" s="44"/>
      <c r="E156" s="86" t="s">
        <v>1038</v>
      </c>
      <c r="F156" s="20"/>
      <c r="G156" s="19"/>
      <c r="H156" s="2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row>
    <row r="157" spans="1:33" s="17" customFormat="1" x14ac:dyDescent="0.2">
      <c r="A157" s="4"/>
      <c r="B157" s="49">
        <v>5</v>
      </c>
      <c r="C157" s="13" t="s">
        <v>110</v>
      </c>
      <c r="D157" s="45"/>
      <c r="E157" s="85"/>
      <c r="F157" s="30"/>
      <c r="G157" s="15"/>
      <c r="H157" s="15"/>
    </row>
    <row r="158" spans="1:33" x14ac:dyDescent="0.2">
      <c r="B158" s="52"/>
      <c r="C158" s="56" t="s">
        <v>111</v>
      </c>
      <c r="D158" s="44"/>
      <c r="E158" s="86" t="s">
        <v>1034</v>
      </c>
      <c r="F158" s="28"/>
      <c r="G158" s="19"/>
      <c r="H158" s="21" t="b">
        <f>IF(D159="x",H$2,H$1)</f>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row>
    <row r="159" spans="1:33" x14ac:dyDescent="0.2">
      <c r="B159" s="48"/>
      <c r="C159" s="57" t="s">
        <v>112</v>
      </c>
      <c r="D159" s="44"/>
      <c r="E159" s="86" t="s">
        <v>1035</v>
      </c>
      <c r="F159" s="22" t="str">
        <f>IF(H160=1,IF(H158=H$2,H158,""),"")</f>
        <v/>
      </c>
      <c r="G159" s="19"/>
      <c r="H159" s="21" t="str">
        <f t="shared" ref="H159" si="9">IF(E$253="comprobar",COUNTIF(D158:D162,"x"),"")</f>
        <v/>
      </c>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row>
    <row r="160" spans="1:33" x14ac:dyDescent="0.2">
      <c r="B160" s="48"/>
      <c r="C160" s="57" t="s">
        <v>113</v>
      </c>
      <c r="D160" s="44"/>
      <c r="E160" s="86" t="s">
        <v>1036</v>
      </c>
      <c r="F160" s="23" t="str">
        <f>IF(H160=-0.33,IF(H158=H$1,H158,""),"")</f>
        <v/>
      </c>
      <c r="G160" s="19"/>
      <c r="H160" s="24">
        <f t="shared" ref="H160" si="10">IF(H159=1,IF(H158=H$2,1,-0.33),0)</f>
        <v>0</v>
      </c>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row>
    <row r="161" spans="1:33" x14ac:dyDescent="0.2">
      <c r="B161" s="48"/>
      <c r="C161" s="57"/>
      <c r="D161" s="44"/>
      <c r="E161" s="86" t="s">
        <v>1037</v>
      </c>
      <c r="F161" s="28"/>
      <c r="G161" s="19"/>
      <c r="H161" s="2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row>
    <row r="162" spans="1:33" x14ac:dyDescent="0.2">
      <c r="B162" s="48"/>
      <c r="C162" s="8"/>
      <c r="D162" s="44"/>
      <c r="E162" s="86" t="s">
        <v>1038</v>
      </c>
      <c r="F162" s="20"/>
      <c r="G162" s="19"/>
      <c r="H162" s="2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row>
    <row r="163" spans="1:33" s="17" customFormat="1" x14ac:dyDescent="0.2">
      <c r="A163" s="4"/>
      <c r="B163" s="49">
        <v>6</v>
      </c>
      <c r="C163" s="13" t="s">
        <v>114</v>
      </c>
      <c r="D163" s="45"/>
      <c r="E163" s="85"/>
      <c r="F163" s="30"/>
      <c r="G163" s="15"/>
      <c r="H163" s="15"/>
    </row>
    <row r="164" spans="1:33" x14ac:dyDescent="0.2">
      <c r="B164" s="52"/>
      <c r="C164" s="56" t="s">
        <v>115</v>
      </c>
      <c r="D164" s="44"/>
      <c r="E164" s="86" t="s">
        <v>1034</v>
      </c>
      <c r="F164" s="28"/>
      <c r="G164" s="19"/>
      <c r="H164" s="21" t="b">
        <f t="shared" ref="H164" si="11">IF(D166="x",H$2,H$1)</f>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row>
    <row r="165" spans="1:33" x14ac:dyDescent="0.2">
      <c r="B165" s="48"/>
      <c r="C165" s="57" t="s">
        <v>116</v>
      </c>
      <c r="D165" s="44"/>
      <c r="E165" s="86" t="s">
        <v>1035</v>
      </c>
      <c r="F165" s="22" t="str">
        <f>IF(H166=1,IF(H164=H$2,H164,""),"")</f>
        <v/>
      </c>
      <c r="G165" s="19"/>
      <c r="H165" s="21" t="str">
        <f t="shared" ref="H165" si="12">IF(E$253="comprobar",COUNTIF(D164:D168,"x"),"")</f>
        <v/>
      </c>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row>
    <row r="166" spans="1:33" x14ac:dyDescent="0.2">
      <c r="B166" s="48"/>
      <c r="C166" s="57" t="s">
        <v>117</v>
      </c>
      <c r="D166" s="44"/>
      <c r="E166" s="86" t="s">
        <v>1036</v>
      </c>
      <c r="F166" s="23" t="str">
        <f>IF(H166=-0.33,IF(H164=H$1,H164,""),"")</f>
        <v/>
      </c>
      <c r="G166" s="19"/>
      <c r="H166" s="24">
        <f t="shared" ref="H166" si="13">IF(H165=1,IF(H164=H$2,1,-0.33),0)</f>
        <v>0</v>
      </c>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row>
    <row r="167" spans="1:33" x14ac:dyDescent="0.2">
      <c r="B167" s="48"/>
      <c r="C167" s="57"/>
      <c r="D167" s="44"/>
      <c r="E167" s="86" t="s">
        <v>1037</v>
      </c>
      <c r="F167" s="28"/>
      <c r="G167" s="19"/>
      <c r="H167" s="2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row>
    <row r="168" spans="1:33" x14ac:dyDescent="0.2">
      <c r="B168" s="48"/>
      <c r="C168" s="8"/>
      <c r="D168" s="44"/>
      <c r="E168" s="86" t="s">
        <v>1038</v>
      </c>
      <c r="F168" s="20"/>
      <c r="G168" s="19"/>
      <c r="H168" s="2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row>
    <row r="169" spans="1:33" s="17" customFormat="1" x14ac:dyDescent="0.2">
      <c r="A169" s="4"/>
      <c r="B169" s="49">
        <v>7</v>
      </c>
      <c r="C169" s="13" t="s">
        <v>118</v>
      </c>
      <c r="D169" s="45"/>
      <c r="E169" s="85"/>
      <c r="F169" s="30"/>
      <c r="G169" s="15"/>
      <c r="H169" s="15"/>
    </row>
    <row r="170" spans="1:33" x14ac:dyDescent="0.2">
      <c r="B170" s="52"/>
      <c r="C170" s="56" t="s">
        <v>119</v>
      </c>
      <c r="D170" s="44"/>
      <c r="E170" s="86" t="s">
        <v>1034</v>
      </c>
      <c r="F170" s="28"/>
      <c r="G170" s="19"/>
      <c r="H170" s="21" t="b">
        <f>IF(D171="x",H$2,H$1)</f>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row>
    <row r="171" spans="1:33" x14ac:dyDescent="0.2">
      <c r="B171" s="48"/>
      <c r="C171" s="57" t="s">
        <v>120</v>
      </c>
      <c r="D171" s="44"/>
      <c r="E171" s="86" t="s">
        <v>1035</v>
      </c>
      <c r="F171" s="22" t="str">
        <f>IF(H172=1,IF(H170=H$2,H170,""),"")</f>
        <v/>
      </c>
      <c r="G171" s="19"/>
      <c r="H171" s="21" t="str">
        <f t="shared" ref="H171" si="14">IF(E$253="comprobar",COUNTIF(D170:D174,"x"),"")</f>
        <v/>
      </c>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row>
    <row r="172" spans="1:33" x14ac:dyDescent="0.2">
      <c r="B172" s="48"/>
      <c r="C172" s="57" t="s">
        <v>121</v>
      </c>
      <c r="D172" s="44"/>
      <c r="E172" s="86" t="s">
        <v>1036</v>
      </c>
      <c r="F172" s="23" t="str">
        <f>IF(H172=-0.33,IF(H170=H$1,H170,""),"")</f>
        <v/>
      </c>
      <c r="G172" s="19"/>
      <c r="H172" s="24">
        <f t="shared" ref="H172" si="15">IF(H171=1,IF(H170=H$2,1,-0.33),0)</f>
        <v>0</v>
      </c>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row>
    <row r="173" spans="1:33" x14ac:dyDescent="0.2">
      <c r="B173" s="48"/>
      <c r="C173" s="57"/>
      <c r="D173" s="44"/>
      <c r="E173" s="86" t="s">
        <v>1037</v>
      </c>
      <c r="F173" s="28"/>
      <c r="G173" s="19"/>
      <c r="H173" s="2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row>
    <row r="174" spans="1:33" x14ac:dyDescent="0.2">
      <c r="B174" s="48"/>
      <c r="C174" s="8"/>
      <c r="D174" s="44"/>
      <c r="E174" s="86" t="s">
        <v>1038</v>
      </c>
      <c r="F174" s="20"/>
      <c r="G174" s="19"/>
      <c r="H174" s="2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row>
    <row r="175" spans="1:33" s="17" customFormat="1" x14ac:dyDescent="0.2">
      <c r="A175" s="4"/>
      <c r="B175" s="49">
        <v>8</v>
      </c>
      <c r="C175" s="13" t="s">
        <v>122</v>
      </c>
      <c r="D175" s="45"/>
      <c r="E175" s="85"/>
      <c r="F175" s="30"/>
      <c r="G175" s="15"/>
      <c r="H175" s="15"/>
    </row>
    <row r="176" spans="1:33" x14ac:dyDescent="0.2">
      <c r="B176" s="52"/>
      <c r="C176" s="56" t="s">
        <v>123</v>
      </c>
      <c r="D176" s="44"/>
      <c r="E176" s="86" t="s">
        <v>1034</v>
      </c>
      <c r="F176" s="28"/>
      <c r="G176" s="19"/>
      <c r="H176" s="21" t="b">
        <f>IF(D176="x",H$2,H$1)</f>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row>
    <row r="177" spans="1:33" x14ac:dyDescent="0.2">
      <c r="B177" s="48"/>
      <c r="C177" s="57" t="s">
        <v>124</v>
      </c>
      <c r="D177" s="44"/>
      <c r="E177" s="86" t="s">
        <v>1035</v>
      </c>
      <c r="F177" s="22" t="str">
        <f>IF(H178=1,IF(H176=H$2,H176,""),"")</f>
        <v/>
      </c>
      <c r="G177" s="19"/>
      <c r="H177" s="21" t="str">
        <f t="shared" ref="H177" si="16">IF(E$253="comprobar",COUNTIF(D176:D180,"x"),"")</f>
        <v/>
      </c>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row>
    <row r="178" spans="1:33" x14ac:dyDescent="0.2">
      <c r="B178" s="48"/>
      <c r="C178" s="57" t="s">
        <v>125</v>
      </c>
      <c r="D178" s="44"/>
      <c r="E178" s="86" t="s">
        <v>1036</v>
      </c>
      <c r="F178" s="23" t="str">
        <f>IF(H178=-0.33,IF(H176=H$1,H176,""),"")</f>
        <v/>
      </c>
      <c r="G178" s="19"/>
      <c r="H178" s="24">
        <f t="shared" ref="H178" si="17">IF(H177=1,IF(H176=H$2,1,-0.33),0)</f>
        <v>0</v>
      </c>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row>
    <row r="179" spans="1:33" x14ac:dyDescent="0.2">
      <c r="B179" s="48"/>
      <c r="C179" s="57"/>
      <c r="D179" s="44"/>
      <c r="E179" s="86" t="s">
        <v>1037</v>
      </c>
      <c r="F179" s="28"/>
      <c r="G179" s="19"/>
      <c r="H179" s="2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row>
    <row r="180" spans="1:33" x14ac:dyDescent="0.2">
      <c r="B180" s="48"/>
      <c r="C180" s="8"/>
      <c r="D180" s="44"/>
      <c r="E180" s="86" t="s">
        <v>1038</v>
      </c>
      <c r="F180" s="20"/>
      <c r="G180" s="19"/>
      <c r="H180" s="2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row>
    <row r="181" spans="1:33" s="17" customFormat="1" x14ac:dyDescent="0.2">
      <c r="A181" s="4"/>
      <c r="B181" s="49">
        <v>9</v>
      </c>
      <c r="C181" s="13" t="s">
        <v>126</v>
      </c>
      <c r="D181" s="45"/>
      <c r="E181" s="85"/>
      <c r="F181" s="30"/>
      <c r="G181" s="15"/>
      <c r="H181" s="15"/>
    </row>
    <row r="182" spans="1:33" x14ac:dyDescent="0.2">
      <c r="B182" s="52"/>
      <c r="C182" s="56" t="s">
        <v>127</v>
      </c>
      <c r="D182" s="44"/>
      <c r="E182" s="86" t="s">
        <v>1034</v>
      </c>
      <c r="F182" s="28"/>
      <c r="G182" s="19"/>
      <c r="H182" s="21" t="b">
        <f t="shared" ref="H182" si="18">IF(D184="x",H$2,H$1)</f>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row>
    <row r="183" spans="1:33" x14ac:dyDescent="0.2">
      <c r="B183" s="48"/>
      <c r="C183" s="57" t="s">
        <v>128</v>
      </c>
      <c r="D183" s="44"/>
      <c r="E183" s="86" t="s">
        <v>1035</v>
      </c>
      <c r="F183" s="22" t="str">
        <f>IF(H184=1,IF(H182=H$2,H182,""),"")</f>
        <v/>
      </c>
      <c r="G183" s="19"/>
      <c r="H183" s="21" t="str">
        <f t="shared" ref="H183" si="19">IF(E$253="comprobar",COUNTIF(D182:D186,"x"),"")</f>
        <v/>
      </c>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row>
    <row r="184" spans="1:33" x14ac:dyDescent="0.2">
      <c r="B184" s="48"/>
      <c r="C184" s="57" t="s">
        <v>129</v>
      </c>
      <c r="D184" s="44"/>
      <c r="E184" s="86" t="s">
        <v>1036</v>
      </c>
      <c r="F184" s="23" t="str">
        <f>IF(H184=-0.33,IF(H182=H$1,H182,""),"")</f>
        <v/>
      </c>
      <c r="G184" s="19"/>
      <c r="H184" s="24">
        <f t="shared" ref="H184" si="20">IF(H183=1,IF(H182=H$2,1,-0.33),0)</f>
        <v>0</v>
      </c>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row>
    <row r="185" spans="1:33" x14ac:dyDescent="0.2">
      <c r="B185" s="48"/>
      <c r="C185" s="57"/>
      <c r="D185" s="44"/>
      <c r="E185" s="86" t="s">
        <v>1037</v>
      </c>
      <c r="F185" s="28"/>
      <c r="G185" s="19"/>
      <c r="H185" s="2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row>
    <row r="186" spans="1:33" x14ac:dyDescent="0.2">
      <c r="B186" s="48"/>
      <c r="C186" s="8"/>
      <c r="D186" s="44"/>
      <c r="E186" s="86" t="s">
        <v>1038</v>
      </c>
      <c r="F186" s="20"/>
      <c r="G186" s="19"/>
      <c r="H186" s="2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row>
    <row r="187" spans="1:33" s="17" customFormat="1" x14ac:dyDescent="0.2">
      <c r="A187" s="4"/>
      <c r="B187" s="49">
        <v>10</v>
      </c>
      <c r="C187" s="13" t="s">
        <v>130</v>
      </c>
      <c r="D187" s="45"/>
      <c r="E187" s="85"/>
      <c r="F187" s="30"/>
      <c r="G187" s="29"/>
      <c r="H187" s="15"/>
    </row>
    <row r="188" spans="1:33" x14ac:dyDescent="0.2">
      <c r="B188" s="52"/>
      <c r="C188" s="56" t="s">
        <v>100</v>
      </c>
      <c r="D188" s="44"/>
      <c r="E188" s="86" t="s">
        <v>1034</v>
      </c>
      <c r="F188" s="28"/>
      <c r="G188" s="26"/>
      <c r="H188" s="21" t="b">
        <f t="shared" ref="H188" si="21">IF(D190="x",H$2,H$1)</f>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row>
    <row r="189" spans="1:33" x14ac:dyDescent="0.2">
      <c r="B189" s="48"/>
      <c r="C189" s="57" t="s">
        <v>131</v>
      </c>
      <c r="D189" s="44"/>
      <c r="E189" s="86" t="s">
        <v>1035</v>
      </c>
      <c r="F189" s="22" t="str">
        <f>IF(H190=1,IF(H188=H$2,H188,""),"")</f>
        <v/>
      </c>
      <c r="G189" s="26"/>
      <c r="H189" s="21" t="str">
        <f t="shared" ref="H189" si="22">IF(E$253="comprobar",COUNTIF(D188:D192,"x"),"")</f>
        <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row>
    <row r="190" spans="1:33" x14ac:dyDescent="0.2">
      <c r="B190" s="48"/>
      <c r="C190" s="57" t="s">
        <v>132</v>
      </c>
      <c r="D190" s="44"/>
      <c r="E190" s="86" t="s">
        <v>1036</v>
      </c>
      <c r="F190" s="23" t="str">
        <f>IF(H190=-0.33,IF(H188=H$1,H188,""),"")</f>
        <v/>
      </c>
      <c r="G190" s="26"/>
      <c r="H190" s="24">
        <f t="shared" ref="H190" si="23">IF(H189=1,IF(H188=H$2,1,-0.33),0)</f>
        <v>0</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row>
    <row r="191" spans="1:33" x14ac:dyDescent="0.2">
      <c r="B191" s="48"/>
      <c r="C191" s="57" t="s">
        <v>133</v>
      </c>
      <c r="D191" s="44"/>
      <c r="E191" s="86" t="s">
        <v>1037</v>
      </c>
      <c r="F191" s="28"/>
      <c r="G191" s="26"/>
      <c r="H191" s="2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row>
    <row r="192" spans="1:33" x14ac:dyDescent="0.2">
      <c r="B192" s="48"/>
      <c r="C192" s="8"/>
      <c r="D192" s="44"/>
      <c r="E192" s="86" t="s">
        <v>1038</v>
      </c>
      <c r="F192" s="20"/>
      <c r="G192" s="26"/>
      <c r="H192" s="2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row>
    <row r="193" spans="1:33" s="17" customFormat="1" x14ac:dyDescent="0.2">
      <c r="A193" s="4"/>
      <c r="B193" s="49">
        <v>11</v>
      </c>
      <c r="C193" s="13" t="s">
        <v>134</v>
      </c>
      <c r="D193" s="45"/>
      <c r="E193" s="85"/>
      <c r="F193" s="30"/>
      <c r="G193" s="29"/>
      <c r="H193" s="15"/>
    </row>
    <row r="194" spans="1:33" x14ac:dyDescent="0.2">
      <c r="B194" s="52"/>
      <c r="C194" s="56" t="s">
        <v>135</v>
      </c>
      <c r="D194" s="44"/>
      <c r="E194" s="86" t="s">
        <v>1034</v>
      </c>
      <c r="F194" s="28"/>
      <c r="G194" s="26"/>
      <c r="H194" s="21" t="b">
        <f t="shared" ref="H194" si="24">IF(D196="x",H$2,H$1)</f>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row>
    <row r="195" spans="1:33" s="40" customFormat="1" x14ac:dyDescent="0.2">
      <c r="A195" s="4"/>
      <c r="B195" s="48"/>
      <c r="C195" s="57" t="s">
        <v>136</v>
      </c>
      <c r="D195" s="44"/>
      <c r="E195" s="86" t="s">
        <v>1035</v>
      </c>
      <c r="F195" s="22" t="str">
        <f>IF(H196=1,IF(H194=H$2,H194,""),"")</f>
        <v/>
      </c>
      <c r="G195" s="26"/>
      <c r="H195" s="21" t="str">
        <f t="shared" ref="H195" si="25">IF(E$253="comprobar",COUNTIF(D194:D198,"x"),"")</f>
        <v/>
      </c>
      <c r="I195" s="80"/>
      <c r="J195" s="80"/>
      <c r="K195" s="80"/>
      <c r="L195" s="80"/>
      <c r="M195" s="80"/>
      <c r="N195" s="80"/>
      <c r="O195" s="80"/>
      <c r="P195" s="80"/>
      <c r="Q195" s="80"/>
      <c r="R195" s="80"/>
      <c r="S195" s="80"/>
      <c r="T195" s="80"/>
      <c r="U195" s="80"/>
      <c r="V195" s="80"/>
      <c r="W195" s="80"/>
      <c r="X195" s="80"/>
      <c r="Y195" s="80"/>
      <c r="Z195" s="80"/>
      <c r="AA195" s="80"/>
      <c r="AB195" s="80"/>
      <c r="AC195" s="80"/>
      <c r="AD195" s="80"/>
      <c r="AE195" s="80"/>
      <c r="AF195" s="80"/>
      <c r="AG195" s="80"/>
    </row>
    <row r="196" spans="1:33" s="40" customFormat="1" x14ac:dyDescent="0.2">
      <c r="A196" s="4"/>
      <c r="B196" s="48"/>
      <c r="C196" s="57" t="s">
        <v>137</v>
      </c>
      <c r="D196" s="44"/>
      <c r="E196" s="86" t="s">
        <v>1036</v>
      </c>
      <c r="F196" s="23" t="str">
        <f>IF(H196=-0.33,IF(H194=H$1,H194,""),"")</f>
        <v/>
      </c>
      <c r="G196" s="26"/>
      <c r="H196" s="24">
        <f t="shared" ref="H196" si="26">IF(H195=1,IF(H194=H$2,1,-0.33),0)</f>
        <v>0</v>
      </c>
      <c r="I196" s="80"/>
      <c r="J196" s="80"/>
      <c r="K196" s="80"/>
      <c r="L196" s="80"/>
      <c r="M196" s="80"/>
      <c r="N196" s="80"/>
      <c r="O196" s="80"/>
      <c r="P196" s="80"/>
      <c r="Q196" s="80"/>
      <c r="R196" s="80"/>
      <c r="S196" s="80"/>
      <c r="T196" s="80"/>
      <c r="U196" s="80"/>
      <c r="V196" s="80"/>
      <c r="W196" s="80"/>
      <c r="X196" s="80"/>
      <c r="Y196" s="80"/>
      <c r="Z196" s="80"/>
      <c r="AA196" s="80"/>
      <c r="AB196" s="80"/>
      <c r="AC196" s="80"/>
      <c r="AD196" s="80"/>
      <c r="AE196" s="80"/>
      <c r="AF196" s="80"/>
      <c r="AG196" s="80"/>
    </row>
    <row r="197" spans="1:33" x14ac:dyDescent="0.2">
      <c r="B197" s="48"/>
      <c r="C197" s="57" t="s">
        <v>132</v>
      </c>
      <c r="D197" s="44"/>
      <c r="E197" s="86" t="s">
        <v>1037</v>
      </c>
      <c r="F197" s="28"/>
      <c r="G197" s="26"/>
      <c r="H197" s="2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row>
    <row r="198" spans="1:33" x14ac:dyDescent="0.2">
      <c r="B198" s="48"/>
      <c r="C198" s="8"/>
      <c r="D198" s="44"/>
      <c r="E198" s="86" t="s">
        <v>1038</v>
      </c>
      <c r="F198" s="20"/>
      <c r="G198" s="26"/>
      <c r="H198" s="2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row>
    <row r="199" spans="1:33" s="17" customFormat="1" x14ac:dyDescent="0.2">
      <c r="A199" s="4"/>
      <c r="B199" s="49">
        <v>12</v>
      </c>
      <c r="C199" s="13" t="s">
        <v>138</v>
      </c>
      <c r="D199" s="45"/>
      <c r="E199" s="85"/>
      <c r="F199" s="30"/>
      <c r="G199" s="29"/>
      <c r="H199" s="15"/>
    </row>
    <row r="200" spans="1:33" x14ac:dyDescent="0.2">
      <c r="B200" s="52"/>
      <c r="C200" s="56" t="s">
        <v>131</v>
      </c>
      <c r="D200" s="44"/>
      <c r="E200" s="86" t="s">
        <v>1034</v>
      </c>
      <c r="F200" s="28"/>
      <c r="G200" s="26"/>
      <c r="H200" s="21" t="b">
        <f t="shared" ref="H200" si="27">IF(D202="x",H$2,H$1)</f>
        <v>0</v>
      </c>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row>
    <row r="201" spans="1:33" x14ac:dyDescent="0.2">
      <c r="B201" s="48"/>
      <c r="C201" s="57" t="s">
        <v>139</v>
      </c>
      <c r="D201" s="44"/>
      <c r="E201" s="86" t="s">
        <v>1035</v>
      </c>
      <c r="F201" s="22" t="str">
        <f>IF(H202=1,IF(H200=H$2,H200,""),"")</f>
        <v/>
      </c>
      <c r="G201" s="26"/>
      <c r="H201" s="21" t="str">
        <f t="shared" ref="H201" si="28">IF(E$253="comprobar",COUNTIF(D200:D204,"x"),"")</f>
        <v/>
      </c>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row>
    <row r="202" spans="1:33" x14ac:dyDescent="0.2">
      <c r="B202" s="48"/>
      <c r="C202" s="57" t="s">
        <v>100</v>
      </c>
      <c r="D202" s="44"/>
      <c r="E202" s="86" t="s">
        <v>1036</v>
      </c>
      <c r="F202" s="23" t="str">
        <f>IF(H202=-0.33,IF(H200=H$1,H200,""),"")</f>
        <v/>
      </c>
      <c r="G202" s="26"/>
      <c r="H202" s="24">
        <f t="shared" ref="H202" si="29">IF(H201=1,IF(H200=H$2,1,-0.33),0)</f>
        <v>0</v>
      </c>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row>
    <row r="203" spans="1:33" x14ac:dyDescent="0.2">
      <c r="B203" s="48"/>
      <c r="C203" s="57"/>
      <c r="D203" s="44"/>
      <c r="E203" s="86" t="s">
        <v>1037</v>
      </c>
      <c r="F203" s="28"/>
      <c r="G203" s="26"/>
      <c r="H203" s="2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row>
    <row r="204" spans="1:33" x14ac:dyDescent="0.2">
      <c r="B204" s="48"/>
      <c r="C204" s="8"/>
      <c r="D204" s="44"/>
      <c r="E204" s="86" t="s">
        <v>1038</v>
      </c>
      <c r="F204" s="20"/>
      <c r="G204" s="26"/>
      <c r="H204" s="2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row>
    <row r="205" spans="1:33" s="17" customFormat="1" x14ac:dyDescent="0.2">
      <c r="A205" s="4"/>
      <c r="B205" s="49">
        <v>13</v>
      </c>
      <c r="C205" s="13" t="s">
        <v>140</v>
      </c>
      <c r="D205" s="45"/>
      <c r="E205" s="85"/>
      <c r="F205" s="30"/>
      <c r="G205" s="15"/>
      <c r="H205" s="15"/>
    </row>
    <row r="206" spans="1:33" x14ac:dyDescent="0.2">
      <c r="B206" s="52"/>
      <c r="C206" s="56" t="s">
        <v>141</v>
      </c>
      <c r="D206" s="44"/>
      <c r="E206" s="86" t="s">
        <v>1034</v>
      </c>
      <c r="F206" s="28"/>
      <c r="G206" s="19"/>
      <c r="H206" s="21" t="b">
        <f>IF(D206="x",H$2,H$1)</f>
        <v>0</v>
      </c>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row>
    <row r="207" spans="1:33" x14ac:dyDescent="0.2">
      <c r="B207" s="48"/>
      <c r="C207" s="57" t="s">
        <v>142</v>
      </c>
      <c r="D207" s="44"/>
      <c r="E207" s="86" t="s">
        <v>1035</v>
      </c>
      <c r="F207" s="22" t="str">
        <f>IF(H208=1,IF(H206=H$2,H206,""),"")</f>
        <v/>
      </c>
      <c r="G207" s="19"/>
      <c r="H207" s="21" t="str">
        <f t="shared" ref="H207" si="30">IF(E$253="comprobar",COUNTIF(D206:D210,"x"),"")</f>
        <v/>
      </c>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row>
    <row r="208" spans="1:33" x14ac:dyDescent="0.2">
      <c r="B208" s="48"/>
      <c r="C208" s="57" t="s">
        <v>143</v>
      </c>
      <c r="D208" s="44"/>
      <c r="E208" s="86" t="s">
        <v>1036</v>
      </c>
      <c r="F208" s="23" t="str">
        <f>IF(H208=-0.33,IF(H206=H$1,H206,""),"")</f>
        <v/>
      </c>
      <c r="G208" s="19"/>
      <c r="H208" s="24">
        <f t="shared" ref="H208" si="31">IF(H207=1,IF(H206=H$2,1,-0.33),0)</f>
        <v>0</v>
      </c>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row>
    <row r="209" spans="1:33" x14ac:dyDescent="0.2">
      <c r="B209" s="48"/>
      <c r="C209" s="57"/>
      <c r="D209" s="44"/>
      <c r="E209" s="86" t="s">
        <v>1037</v>
      </c>
      <c r="F209" s="28"/>
      <c r="G209" s="19"/>
      <c r="H209" s="2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row>
    <row r="210" spans="1:33" x14ac:dyDescent="0.2">
      <c r="B210" s="48"/>
      <c r="C210" s="8"/>
      <c r="D210" s="44"/>
      <c r="E210" s="86" t="s">
        <v>1038</v>
      </c>
      <c r="F210" s="20"/>
      <c r="G210" s="19"/>
      <c r="H210" s="2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row>
    <row r="211" spans="1:33" s="17" customFormat="1" x14ac:dyDescent="0.2">
      <c r="A211" s="4"/>
      <c r="B211" s="49">
        <v>14</v>
      </c>
      <c r="C211" s="13" t="s">
        <v>144</v>
      </c>
      <c r="D211" s="45"/>
      <c r="E211" s="85"/>
      <c r="F211" s="30"/>
      <c r="G211" s="29"/>
      <c r="H211" s="15"/>
    </row>
    <row r="212" spans="1:33" x14ac:dyDescent="0.2">
      <c r="B212" s="52"/>
      <c r="C212" s="56" t="s">
        <v>141</v>
      </c>
      <c r="D212" s="44"/>
      <c r="E212" s="86" t="s">
        <v>1034</v>
      </c>
      <c r="F212" s="28"/>
      <c r="G212" s="26"/>
      <c r="H212" s="21" t="b">
        <f t="shared" ref="H212" si="32">IF(D214="x",H$2,H$1)</f>
        <v>0</v>
      </c>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row>
    <row r="213" spans="1:33" x14ac:dyDescent="0.2">
      <c r="B213" s="48"/>
      <c r="C213" s="57" t="s">
        <v>142</v>
      </c>
      <c r="D213" s="44"/>
      <c r="E213" s="86" t="s">
        <v>1035</v>
      </c>
      <c r="F213" s="22" t="str">
        <f>IF(H214=1,IF(H212=H$2,H212,""),"")</f>
        <v/>
      </c>
      <c r="G213" s="26"/>
      <c r="H213" s="21" t="str">
        <f t="shared" ref="H213" si="33">IF(E$253="comprobar",COUNTIF(D212:D216,"x"),"")</f>
        <v/>
      </c>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row>
    <row r="214" spans="1:33" x14ac:dyDescent="0.2">
      <c r="B214" s="48"/>
      <c r="C214" s="57" t="s">
        <v>143</v>
      </c>
      <c r="D214" s="44"/>
      <c r="E214" s="86" t="s">
        <v>1036</v>
      </c>
      <c r="F214" s="23" t="str">
        <f>IF(H214=-0.33,IF(H212=H$1,H212,""),"")</f>
        <v/>
      </c>
      <c r="G214" s="26"/>
      <c r="H214" s="24">
        <f t="shared" ref="H214" si="34">IF(H213=1,IF(H212=H$2,1,-0.33),0)</f>
        <v>0</v>
      </c>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row>
    <row r="215" spans="1:33" x14ac:dyDescent="0.2">
      <c r="B215" s="48"/>
      <c r="C215" s="57"/>
      <c r="D215" s="44"/>
      <c r="E215" s="86" t="s">
        <v>1037</v>
      </c>
      <c r="F215" s="28"/>
      <c r="G215" s="26"/>
      <c r="H215" s="2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row>
    <row r="216" spans="1:33" x14ac:dyDescent="0.2">
      <c r="B216" s="48"/>
      <c r="C216" s="8"/>
      <c r="D216" s="44"/>
      <c r="E216" s="86" t="s">
        <v>1038</v>
      </c>
      <c r="F216" s="20"/>
      <c r="G216" s="26"/>
      <c r="H216" s="2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row>
    <row r="217" spans="1:33" s="38" customFormat="1" x14ac:dyDescent="0.2">
      <c r="A217" s="4"/>
      <c r="B217" s="49">
        <v>15</v>
      </c>
      <c r="C217" s="13" t="s">
        <v>145</v>
      </c>
      <c r="D217" s="45"/>
      <c r="E217" s="85"/>
      <c r="F217" s="30"/>
      <c r="G217" s="29"/>
      <c r="H217" s="15"/>
    </row>
    <row r="218" spans="1:33" x14ac:dyDescent="0.2">
      <c r="B218" s="52"/>
      <c r="C218" s="56" t="s">
        <v>146</v>
      </c>
      <c r="D218" s="44"/>
      <c r="E218" s="86" t="s">
        <v>1034</v>
      </c>
      <c r="F218" s="28"/>
      <c r="G218" s="26"/>
      <c r="H218" s="21" t="b">
        <f>IF(D219="x",H$2,H$1)</f>
        <v>0</v>
      </c>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row>
    <row r="219" spans="1:33" x14ac:dyDescent="0.2">
      <c r="B219" s="48"/>
      <c r="C219" s="57" t="s">
        <v>147</v>
      </c>
      <c r="D219" s="44"/>
      <c r="E219" s="86" t="s">
        <v>1035</v>
      </c>
      <c r="F219" s="22" t="str">
        <f>IF(H220=1,IF(H218=H$2,H218,""),"")</f>
        <v/>
      </c>
      <c r="G219" s="26"/>
      <c r="H219" s="21" t="str">
        <f t="shared" ref="H219" si="35">IF(E$253="comprobar",COUNTIF(D218:D222,"x"),"")</f>
        <v/>
      </c>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row>
    <row r="220" spans="1:33" x14ac:dyDescent="0.2">
      <c r="B220" s="48"/>
      <c r="C220" s="57" t="s">
        <v>148</v>
      </c>
      <c r="D220" s="44"/>
      <c r="E220" s="86" t="s">
        <v>1036</v>
      </c>
      <c r="F220" s="23" t="str">
        <f>IF(H220=-0.33,IF(H218=H$1,H218,""),"")</f>
        <v/>
      </c>
      <c r="G220" s="26"/>
      <c r="H220" s="24">
        <f t="shared" ref="H220" si="36">IF(H219=1,IF(H218=H$2,1,-0.33),0)</f>
        <v>0</v>
      </c>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row>
    <row r="221" spans="1:33" x14ac:dyDescent="0.2">
      <c r="B221" s="48"/>
      <c r="C221" s="57"/>
      <c r="D221" s="44"/>
      <c r="E221" s="86" t="s">
        <v>1037</v>
      </c>
      <c r="F221" s="28"/>
      <c r="G221" s="26"/>
      <c r="H221" s="2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row>
    <row r="222" spans="1:33" x14ac:dyDescent="0.2">
      <c r="B222" s="48"/>
      <c r="C222" s="8"/>
      <c r="D222" s="44"/>
      <c r="E222" s="86" t="s">
        <v>1038</v>
      </c>
      <c r="F222" s="20"/>
      <c r="G222" s="26"/>
      <c r="H222" s="2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row>
    <row r="223" spans="1:33" s="38" customFormat="1" x14ac:dyDescent="0.2">
      <c r="A223" s="4"/>
      <c r="B223" s="49">
        <v>16</v>
      </c>
      <c r="C223" s="13" t="s">
        <v>149</v>
      </c>
      <c r="D223" s="45"/>
      <c r="E223" s="85"/>
      <c r="F223" s="30"/>
      <c r="G223" s="29"/>
      <c r="H223" s="15"/>
    </row>
    <row r="224" spans="1:33" x14ac:dyDescent="0.2">
      <c r="B224" s="52"/>
      <c r="C224" s="56" t="s">
        <v>150</v>
      </c>
      <c r="D224" s="44"/>
      <c r="E224" s="86" t="s">
        <v>1034</v>
      </c>
      <c r="F224" s="28"/>
      <c r="G224" s="26"/>
      <c r="H224" s="21" t="b">
        <f>IF(D225="x",H$2,H$1)</f>
        <v>0</v>
      </c>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row>
    <row r="225" spans="1:33" x14ac:dyDescent="0.2">
      <c r="B225" s="48"/>
      <c r="C225" s="57" t="s">
        <v>151</v>
      </c>
      <c r="D225" s="44"/>
      <c r="E225" s="86" t="s">
        <v>1035</v>
      </c>
      <c r="F225" s="22" t="str">
        <f>IF(H226=1,IF(H224=H$2,H224,""),"")</f>
        <v/>
      </c>
      <c r="G225" s="26"/>
      <c r="H225" s="21" t="str">
        <f t="shared" ref="H225" si="37">IF(E$253="comprobar",COUNTIF(D224:D228,"x"),"")</f>
        <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row>
    <row r="226" spans="1:33" x14ac:dyDescent="0.2">
      <c r="B226" s="48"/>
      <c r="C226" s="57" t="s">
        <v>152</v>
      </c>
      <c r="D226" s="44"/>
      <c r="E226" s="86" t="s">
        <v>1036</v>
      </c>
      <c r="F226" s="23" t="str">
        <f>IF(H226=-0.33,IF(H224=H$1,H224,""),"")</f>
        <v/>
      </c>
      <c r="G226" s="26"/>
      <c r="H226" s="24">
        <f t="shared" ref="H226" si="38">IF(H225=1,IF(H224=H$2,1,-0.33),0)</f>
        <v>0</v>
      </c>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row>
    <row r="227" spans="1:33" x14ac:dyDescent="0.2">
      <c r="B227" s="48"/>
      <c r="C227" s="57" t="s">
        <v>153</v>
      </c>
      <c r="D227" s="44"/>
      <c r="E227" s="86" t="s">
        <v>1037</v>
      </c>
      <c r="F227" s="28"/>
      <c r="G227" s="26"/>
      <c r="H227" s="2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row>
    <row r="228" spans="1:33" x14ac:dyDescent="0.2">
      <c r="B228" s="48"/>
      <c r="C228" s="8"/>
      <c r="D228" s="44"/>
      <c r="E228" s="86" t="s">
        <v>1038</v>
      </c>
      <c r="F228" s="20"/>
      <c r="G228" s="26"/>
      <c r="H228" s="2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row>
    <row r="229" spans="1:33" s="17" customFormat="1" ht="32" x14ac:dyDescent="0.2">
      <c r="A229" s="4"/>
      <c r="B229" s="49">
        <v>17</v>
      </c>
      <c r="C229" s="70" t="s">
        <v>154</v>
      </c>
      <c r="D229" s="95"/>
      <c r="E229" s="81"/>
      <c r="F229" s="71"/>
      <c r="G229" s="29"/>
      <c r="H229" s="15"/>
    </row>
    <row r="230" spans="1:33" x14ac:dyDescent="0.2">
      <c r="B230" s="52"/>
      <c r="C230" s="56" t="s">
        <v>155</v>
      </c>
      <c r="D230" s="44"/>
      <c r="E230" s="86" t="s">
        <v>1034</v>
      </c>
      <c r="F230" s="28"/>
      <c r="G230" s="26"/>
      <c r="H230" s="21" t="b">
        <f>IF(D233="x",H$2,H$1)</f>
        <v>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row>
    <row r="231" spans="1:33" x14ac:dyDescent="0.2">
      <c r="B231" s="48"/>
      <c r="C231" s="57" t="s">
        <v>156</v>
      </c>
      <c r="D231" s="44"/>
      <c r="E231" s="86" t="s">
        <v>1035</v>
      </c>
      <c r="F231" s="22" t="str">
        <f>IF(H232=1,IF(H230=H$2,H230,""),"")</f>
        <v/>
      </c>
      <c r="G231" s="26"/>
      <c r="H231" s="21" t="str">
        <f t="shared" ref="H231" si="39">IF(E$253="comprobar",COUNTIF(D230:D234,"x"),"")</f>
        <v/>
      </c>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row>
    <row r="232" spans="1:33" x14ac:dyDescent="0.2">
      <c r="B232" s="48"/>
      <c r="C232" s="57" t="s">
        <v>157</v>
      </c>
      <c r="D232" s="44"/>
      <c r="E232" s="86" t="s">
        <v>1036</v>
      </c>
      <c r="F232" s="23" t="str">
        <f>IF(H232=-0.33,IF(H230=H$1,H230,""),"")</f>
        <v/>
      </c>
      <c r="G232" s="26"/>
      <c r="H232" s="24">
        <f t="shared" ref="H232" si="40">IF(H231=1,IF(H230=H$2,1,-0.33),0)</f>
        <v>0</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row>
    <row r="233" spans="1:33" x14ac:dyDescent="0.2">
      <c r="B233" s="48"/>
      <c r="C233" s="57" t="s">
        <v>158</v>
      </c>
      <c r="D233" s="44"/>
      <c r="E233" s="86" t="s">
        <v>1037</v>
      </c>
      <c r="F233" s="28"/>
      <c r="G233" s="26"/>
      <c r="H233" s="2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row>
    <row r="234" spans="1:33" x14ac:dyDescent="0.2">
      <c r="B234" s="48"/>
      <c r="C234" s="8"/>
      <c r="D234" s="44"/>
      <c r="E234" s="86" t="s">
        <v>1038</v>
      </c>
      <c r="F234" s="20"/>
      <c r="G234" s="26"/>
      <c r="H234" s="2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row>
    <row r="235" spans="1:33" s="17" customFormat="1" x14ac:dyDescent="0.2">
      <c r="A235" s="4"/>
      <c r="B235" s="49">
        <v>18</v>
      </c>
      <c r="C235" s="13" t="s">
        <v>159</v>
      </c>
      <c r="D235" s="45"/>
      <c r="E235" s="85"/>
      <c r="F235" s="30"/>
      <c r="G235" s="29"/>
      <c r="H235" s="15"/>
    </row>
    <row r="236" spans="1:33" x14ac:dyDescent="0.2">
      <c r="B236" s="52"/>
      <c r="C236" s="56" t="s">
        <v>131</v>
      </c>
      <c r="D236" s="44"/>
      <c r="E236" s="86" t="s">
        <v>1034</v>
      </c>
      <c r="F236" s="28"/>
      <c r="G236" s="26"/>
      <c r="H236" s="21" t="b">
        <f>IF(D239="x",H$2,H$1)</f>
        <v>0</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row>
    <row r="237" spans="1:33" x14ac:dyDescent="0.2">
      <c r="B237" s="48"/>
      <c r="C237" s="57" t="s">
        <v>101</v>
      </c>
      <c r="D237" s="44"/>
      <c r="E237" s="86" t="s">
        <v>1035</v>
      </c>
      <c r="F237" s="22" t="str">
        <f>IF(H238=1,IF(H236=H$2,H236,""),"")</f>
        <v/>
      </c>
      <c r="G237" s="26"/>
      <c r="H237" s="21" t="str">
        <f t="shared" ref="H237" si="41">IF(E$253="comprobar",COUNTIF(D236:D240,"x"),"")</f>
        <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row>
    <row r="238" spans="1:33" x14ac:dyDescent="0.2">
      <c r="B238" s="48"/>
      <c r="C238" s="57" t="s">
        <v>139</v>
      </c>
      <c r="D238" s="44"/>
      <c r="E238" s="86" t="s">
        <v>1036</v>
      </c>
      <c r="F238" s="23" t="str">
        <f>IF(H238=-0.33,IF(H236=H$1,H236,""),"")</f>
        <v/>
      </c>
      <c r="G238" s="26"/>
      <c r="H238" s="24">
        <f t="shared" ref="H238" si="42">IF(H237=1,IF(H236=H$2,1,-0.33),0)</f>
        <v>0</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row>
    <row r="239" spans="1:33" x14ac:dyDescent="0.2">
      <c r="B239" s="48"/>
      <c r="C239" s="57" t="s">
        <v>160</v>
      </c>
      <c r="D239" s="44"/>
      <c r="E239" s="86" t="s">
        <v>1037</v>
      </c>
      <c r="F239" s="28"/>
      <c r="G239" s="26"/>
      <c r="H239" s="2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row>
    <row r="240" spans="1:33" x14ac:dyDescent="0.2">
      <c r="B240" s="48"/>
      <c r="C240" s="8"/>
      <c r="D240" s="44"/>
      <c r="E240" s="86" t="s">
        <v>1038</v>
      </c>
      <c r="F240" s="20"/>
      <c r="G240" s="26"/>
      <c r="H240" s="2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row>
    <row r="241" spans="1:33" s="17" customFormat="1" x14ac:dyDescent="0.2">
      <c r="A241" s="4"/>
      <c r="B241" s="49">
        <v>19</v>
      </c>
      <c r="C241" s="13" t="s">
        <v>161</v>
      </c>
      <c r="D241" s="45"/>
      <c r="E241" s="85"/>
      <c r="F241" s="30"/>
      <c r="G241" s="29"/>
      <c r="H241" s="15"/>
    </row>
    <row r="242" spans="1:33" x14ac:dyDescent="0.2">
      <c r="B242" s="52"/>
      <c r="C242" s="56" t="s">
        <v>162</v>
      </c>
      <c r="D242" s="44"/>
      <c r="E242" s="86" t="s">
        <v>1034</v>
      </c>
      <c r="F242" s="28"/>
      <c r="G242" s="26"/>
      <c r="H242" s="21" t="b">
        <f>IF(D245="x",H$2,H$1)</f>
        <v>0</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row>
    <row r="243" spans="1:33" x14ac:dyDescent="0.2">
      <c r="B243" s="48"/>
      <c r="C243" s="57" t="s">
        <v>163</v>
      </c>
      <c r="D243" s="44"/>
      <c r="E243" s="86" t="s">
        <v>1035</v>
      </c>
      <c r="F243" s="22" t="str">
        <f>IF(H244=1,IF(H242=H$2,H242,""),"")</f>
        <v/>
      </c>
      <c r="G243" s="26"/>
      <c r="H243" s="21" t="str">
        <f t="shared" ref="H243" si="43">IF(E$253="comprobar",COUNTIF(D242:D246,"x"),"")</f>
        <v/>
      </c>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row>
    <row r="244" spans="1:33" x14ac:dyDescent="0.2">
      <c r="B244" s="48"/>
      <c r="C244" s="57" t="s">
        <v>164</v>
      </c>
      <c r="D244" s="44"/>
      <c r="E244" s="86" t="s">
        <v>1036</v>
      </c>
      <c r="F244" s="23" t="str">
        <f>IF(H244=-0.33,IF(H242=H$1,H242,""),"")</f>
        <v/>
      </c>
      <c r="G244" s="26"/>
      <c r="H244" s="24">
        <f t="shared" ref="H244" si="44">IF(H243=1,IF(H242=H$2,1,-0.33),0)</f>
        <v>0</v>
      </c>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row>
    <row r="245" spans="1:33" x14ac:dyDescent="0.2">
      <c r="B245" s="48"/>
      <c r="C245" s="57" t="s">
        <v>165</v>
      </c>
      <c r="D245" s="44"/>
      <c r="E245" s="86" t="s">
        <v>1037</v>
      </c>
      <c r="F245" s="28"/>
      <c r="G245" s="26"/>
      <c r="H245" s="2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row>
    <row r="246" spans="1:33" x14ac:dyDescent="0.2">
      <c r="B246" s="48"/>
      <c r="C246" s="8"/>
      <c r="D246" s="44"/>
      <c r="E246" s="86" t="s">
        <v>1038</v>
      </c>
      <c r="F246" s="20"/>
      <c r="G246" s="26"/>
      <c r="H246" s="2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row>
    <row r="247" spans="1:33" s="17" customFormat="1" x14ac:dyDescent="0.2">
      <c r="A247" s="4"/>
      <c r="B247" s="49">
        <v>20</v>
      </c>
      <c r="C247" s="13" t="s">
        <v>166</v>
      </c>
      <c r="D247" s="45"/>
      <c r="E247" s="85"/>
      <c r="F247" s="30"/>
      <c r="G247" s="29"/>
      <c r="H247" s="15"/>
    </row>
    <row r="248" spans="1:33" x14ac:dyDescent="0.2">
      <c r="B248" s="52"/>
      <c r="C248" s="56" t="s">
        <v>167</v>
      </c>
      <c r="D248" s="44"/>
      <c r="E248" s="86" t="s">
        <v>1034</v>
      </c>
      <c r="F248" s="28"/>
      <c r="G248" s="26"/>
      <c r="H248" s="21" t="b">
        <f>IF(D248="x",H$2,H$1)</f>
        <v>0</v>
      </c>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row>
    <row r="249" spans="1:33" x14ac:dyDescent="0.2">
      <c r="B249" s="48"/>
      <c r="C249" s="57" t="s">
        <v>168</v>
      </c>
      <c r="D249" s="44"/>
      <c r="E249" s="86" t="s">
        <v>1035</v>
      </c>
      <c r="F249" s="22" t="str">
        <f>IF(H250=1,IF(H248=H$2,H248,""),"")</f>
        <v/>
      </c>
      <c r="G249" s="26"/>
      <c r="H249" s="21" t="str">
        <f>IF(E253="comprobar",COUNTIF(D248:D252,"x"),"")</f>
        <v/>
      </c>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row>
    <row r="250" spans="1:33" x14ac:dyDescent="0.2">
      <c r="B250" s="48"/>
      <c r="C250" s="57" t="s">
        <v>169</v>
      </c>
      <c r="D250" s="44"/>
      <c r="E250" s="86" t="s">
        <v>1036</v>
      </c>
      <c r="F250" s="23" t="str">
        <f>IF(H250=-0.33,IF(H248=H$1,H248,""),"")</f>
        <v/>
      </c>
      <c r="G250" s="26"/>
      <c r="H250" s="24">
        <f t="shared" ref="H250" si="45">IF(H249=1,IF(H248=H$2,1,-0.33),0)</f>
        <v>0</v>
      </c>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row>
    <row r="251" spans="1:33" x14ac:dyDescent="0.2">
      <c r="B251" s="48"/>
      <c r="C251" s="57" t="s">
        <v>170</v>
      </c>
      <c r="D251" s="44"/>
      <c r="E251" s="86" t="s">
        <v>1037</v>
      </c>
      <c r="F251" s="28"/>
      <c r="G251" s="26"/>
      <c r="H251" s="2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row>
    <row r="252" spans="1:33" x14ac:dyDescent="0.2">
      <c r="B252" s="48"/>
      <c r="C252" s="8"/>
      <c r="D252" s="44"/>
      <c r="E252" s="86" t="s">
        <v>1038</v>
      </c>
      <c r="F252" s="20"/>
      <c r="G252" s="19"/>
      <c r="H252" s="2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row>
    <row r="253" spans="1:33" x14ac:dyDescent="0.2">
      <c r="B253" s="52"/>
      <c r="C253" s="47"/>
      <c r="D253" s="73"/>
      <c r="E253" s="87"/>
      <c r="F253" s="20"/>
      <c r="G253" s="19"/>
      <c r="H253" s="19"/>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row>
    <row r="254" spans="1:33" x14ac:dyDescent="0.2">
      <c r="B254" s="52"/>
      <c r="C254" s="18"/>
      <c r="D254" s="73"/>
      <c r="E254" s="93"/>
      <c r="F254" s="31" t="s">
        <v>93</v>
      </c>
      <c r="G254" s="19" t="s">
        <v>91</v>
      </c>
      <c r="H254" s="19" t="s">
        <v>92</v>
      </c>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row>
    <row r="255" spans="1:33" ht="20" x14ac:dyDescent="0.2">
      <c r="B255" s="52"/>
      <c r="C255" s="18"/>
      <c r="D255" s="69"/>
      <c r="E255" s="84"/>
      <c r="F255" s="32" t="str">
        <f>IF(E253="comprobar",H190+H184+H178+H172+H166+H160+H154+H148+H142+H136+H196+H202+H208+H214+H220+H226+H232+H238+H244+H250,"")</f>
        <v/>
      </c>
      <c r="G255" s="19">
        <f>B247/2</f>
        <v>10</v>
      </c>
      <c r="H255" s="19"/>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row>
    <row r="256" spans="1:33" ht="17" thickBot="1" x14ac:dyDescent="0.25">
      <c r="B256" s="53"/>
      <c r="C256" s="33"/>
      <c r="D256" s="34"/>
      <c r="E256" s="88"/>
      <c r="F256" s="35" t="str">
        <f>IF(F255&gt;G255,G254,H254)</f>
        <v>APROBADO</v>
      </c>
      <c r="G256" s="19"/>
      <c r="H256" s="19"/>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row>
    <row r="257" spans="1:33" ht="29" x14ac:dyDescent="0.35">
      <c r="B257" s="54" t="s">
        <v>0</v>
      </c>
      <c r="C257" s="67" t="s">
        <v>171</v>
      </c>
      <c r="D257" s="67"/>
      <c r="E257" s="67"/>
      <c r="F257" s="68"/>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row>
    <row r="258" spans="1:33" s="17" customFormat="1" x14ac:dyDescent="0.2">
      <c r="A258" s="4"/>
      <c r="B258" s="49">
        <v>1</v>
      </c>
      <c r="C258" s="13" t="s">
        <v>172</v>
      </c>
      <c r="D258" s="45"/>
      <c r="E258" s="85"/>
      <c r="F258" s="30"/>
      <c r="G258" s="15"/>
      <c r="H258" s="15"/>
    </row>
    <row r="259" spans="1:33" x14ac:dyDescent="0.2">
      <c r="B259" s="52"/>
      <c r="C259" s="56" t="s">
        <v>173</v>
      </c>
      <c r="D259" s="44"/>
      <c r="E259" s="86" t="s">
        <v>1034</v>
      </c>
      <c r="F259" s="28"/>
      <c r="G259" s="19"/>
      <c r="H259" s="21" t="b">
        <f t="shared" ref="H259:H319" si="46">IF(D261="x",H$2,H$1)</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row>
    <row r="260" spans="1:33" x14ac:dyDescent="0.2">
      <c r="B260" s="48"/>
      <c r="C260" s="57" t="s">
        <v>174</v>
      </c>
      <c r="D260" s="44"/>
      <c r="E260" s="86" t="s">
        <v>1035</v>
      </c>
      <c r="F260" s="22" t="str">
        <f>IF(H261=1,IF(H259=H$2,H259,""),"")</f>
        <v/>
      </c>
      <c r="G260" s="19"/>
      <c r="H260" s="21" t="str">
        <f>IF(E378="comprobar",COUNTIF(D259:D263,"x"),"")</f>
        <v/>
      </c>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row>
    <row r="261" spans="1:33" x14ac:dyDescent="0.2">
      <c r="B261" s="48"/>
      <c r="C261" s="57" t="s">
        <v>175</v>
      </c>
      <c r="D261" s="44"/>
      <c r="E261" s="86" t="s">
        <v>1036</v>
      </c>
      <c r="F261" s="23" t="str">
        <f>IF(H261=-0.33,IF(H259=H$1,H259,""),"")</f>
        <v/>
      </c>
      <c r="G261" s="19"/>
      <c r="H261" s="24">
        <f t="shared" ref="H261:H321" si="47">IF(H260=1,IF(H259=H$2,1,-0.33),0)</f>
        <v>0</v>
      </c>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row>
    <row r="262" spans="1:33" x14ac:dyDescent="0.2">
      <c r="B262" s="48"/>
      <c r="C262" s="57"/>
      <c r="D262" s="44"/>
      <c r="E262" s="86" t="s">
        <v>1037</v>
      </c>
      <c r="F262" s="28"/>
      <c r="G262" s="19"/>
      <c r="H262" s="2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row>
    <row r="263" spans="1:33" x14ac:dyDescent="0.2">
      <c r="B263" s="48"/>
      <c r="C263" s="8"/>
      <c r="D263" s="44"/>
      <c r="E263" s="86" t="s">
        <v>1038</v>
      </c>
      <c r="F263" s="20"/>
      <c r="G263" s="19"/>
      <c r="H263" s="2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row>
    <row r="264" spans="1:33" s="17" customFormat="1" x14ac:dyDescent="0.2">
      <c r="A264" s="4"/>
      <c r="B264" s="49">
        <v>2</v>
      </c>
      <c r="C264" s="13" t="s">
        <v>176</v>
      </c>
      <c r="D264" s="45"/>
      <c r="E264" s="85"/>
      <c r="F264" s="30"/>
      <c r="G264" s="15"/>
      <c r="H264" s="15"/>
    </row>
    <row r="265" spans="1:33" x14ac:dyDescent="0.2">
      <c r="B265" s="52"/>
      <c r="C265" s="116">
        <v>0.15</v>
      </c>
      <c r="D265" s="44"/>
      <c r="E265" s="86" t="s">
        <v>1034</v>
      </c>
      <c r="F265" s="28"/>
      <c r="G265" s="19"/>
      <c r="H265" s="21" t="b">
        <f t="shared" si="46"/>
        <v>0</v>
      </c>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row>
    <row r="266" spans="1:33" x14ac:dyDescent="0.2">
      <c r="B266" s="48"/>
      <c r="C266" s="117">
        <v>0.1</v>
      </c>
      <c r="D266" s="44"/>
      <c r="E266" s="86" t="s">
        <v>1035</v>
      </c>
      <c r="F266" s="22" t="str">
        <f>IF(H267=1,IF(H265=H$2,H265,""),"")</f>
        <v/>
      </c>
      <c r="G266" s="19"/>
      <c r="H266" s="21" t="str">
        <f t="shared" ref="H266" si="48">IF(E$378="comprobar",COUNTIF(D265:D269,"x"),"")</f>
        <v/>
      </c>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row>
    <row r="267" spans="1:33" x14ac:dyDescent="0.2">
      <c r="B267" s="48"/>
      <c r="C267" s="117">
        <v>0.05</v>
      </c>
      <c r="D267" s="44"/>
      <c r="E267" s="86" t="s">
        <v>1036</v>
      </c>
      <c r="F267" s="23" t="str">
        <f>IF(H267=-0.33,IF(H265=H$1,H265,""),"")</f>
        <v/>
      </c>
      <c r="G267" s="19"/>
      <c r="H267" s="24">
        <f t="shared" si="47"/>
        <v>0</v>
      </c>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row>
    <row r="268" spans="1:33" x14ac:dyDescent="0.2">
      <c r="B268" s="48"/>
      <c r="C268" s="57"/>
      <c r="D268" s="44"/>
      <c r="E268" s="86" t="s">
        <v>1037</v>
      </c>
      <c r="F268" s="28"/>
      <c r="G268" s="19"/>
      <c r="H268" s="2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row>
    <row r="269" spans="1:33" x14ac:dyDescent="0.2">
      <c r="B269" s="48"/>
      <c r="C269" s="8"/>
      <c r="D269" s="44"/>
      <c r="E269" s="86" t="s">
        <v>1038</v>
      </c>
      <c r="F269" s="20"/>
      <c r="G269" s="19"/>
      <c r="H269" s="2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row>
    <row r="270" spans="1:33" s="17" customFormat="1" x14ac:dyDescent="0.2">
      <c r="A270" s="4"/>
      <c r="B270" s="49">
        <v>3</v>
      </c>
      <c r="C270" s="13" t="s">
        <v>177</v>
      </c>
      <c r="D270" s="45"/>
      <c r="E270" s="85"/>
      <c r="F270" s="30"/>
      <c r="G270" s="15"/>
      <c r="H270" s="15"/>
    </row>
    <row r="271" spans="1:33" x14ac:dyDescent="0.2">
      <c r="B271" s="52"/>
      <c r="C271" s="56" t="s">
        <v>178</v>
      </c>
      <c r="D271" s="44"/>
      <c r="E271" s="86" t="s">
        <v>1034</v>
      </c>
      <c r="F271" s="28"/>
      <c r="G271" s="19"/>
      <c r="H271" s="21" t="b">
        <f t="shared" si="46"/>
        <v>0</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row>
    <row r="272" spans="1:33" x14ac:dyDescent="0.2">
      <c r="B272" s="48"/>
      <c r="C272" s="57" t="s">
        <v>179</v>
      </c>
      <c r="D272" s="44"/>
      <c r="E272" s="86" t="s">
        <v>1035</v>
      </c>
      <c r="F272" s="22" t="str">
        <f>IF(H273=1,IF(H271=H$2,H271,""),"")</f>
        <v/>
      </c>
      <c r="G272" s="19"/>
      <c r="H272" s="21" t="str">
        <f t="shared" ref="H272" si="49">IF(E$378="comprobar",COUNTIF(D271:D275,"x"),"")</f>
        <v/>
      </c>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row>
    <row r="273" spans="1:33" x14ac:dyDescent="0.2">
      <c r="B273" s="48"/>
      <c r="C273" s="57" t="s">
        <v>180</v>
      </c>
      <c r="D273" s="44"/>
      <c r="E273" s="86" t="s">
        <v>1036</v>
      </c>
      <c r="F273" s="23" t="str">
        <f>IF(H273=-0.33,IF(H271=H$1,H271,""),"")</f>
        <v/>
      </c>
      <c r="G273" s="19"/>
      <c r="H273" s="24">
        <f t="shared" si="47"/>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row>
    <row r="274" spans="1:33" x14ac:dyDescent="0.2">
      <c r="B274" s="48"/>
      <c r="C274" s="57"/>
      <c r="D274" s="44"/>
      <c r="E274" s="86" t="s">
        <v>1037</v>
      </c>
      <c r="F274" s="28"/>
      <c r="G274" s="19"/>
      <c r="H274" s="2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row>
    <row r="275" spans="1:33" x14ac:dyDescent="0.2">
      <c r="B275" s="48"/>
      <c r="C275" s="8"/>
      <c r="D275" s="44"/>
      <c r="E275" s="86" t="s">
        <v>1038</v>
      </c>
      <c r="F275" s="20"/>
      <c r="G275" s="19"/>
      <c r="H275" s="2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row>
    <row r="276" spans="1:33" s="17" customFormat="1" x14ac:dyDescent="0.2">
      <c r="A276" s="4"/>
      <c r="B276" s="49">
        <v>4</v>
      </c>
      <c r="C276" s="13" t="s">
        <v>181</v>
      </c>
      <c r="D276" s="45"/>
      <c r="E276" s="85"/>
      <c r="F276" s="30"/>
      <c r="G276" s="15"/>
      <c r="H276" s="15"/>
    </row>
    <row r="277" spans="1:33" x14ac:dyDescent="0.2">
      <c r="B277" s="52"/>
      <c r="C277" s="56" t="s">
        <v>182</v>
      </c>
      <c r="D277" s="44"/>
      <c r="E277" s="86" t="s">
        <v>1034</v>
      </c>
      <c r="F277" s="28"/>
      <c r="G277" s="19"/>
      <c r="H277" s="21" t="b">
        <f t="shared" si="46"/>
        <v>0</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row>
    <row r="278" spans="1:33" x14ac:dyDescent="0.2">
      <c r="B278" s="48"/>
      <c r="C278" s="57" t="s">
        <v>183</v>
      </c>
      <c r="D278" s="44"/>
      <c r="E278" s="86" t="s">
        <v>1035</v>
      </c>
      <c r="F278" s="22" t="str">
        <f>IF(H279=1,IF(H277=H$2,H277,""),"")</f>
        <v/>
      </c>
      <c r="G278" s="19"/>
      <c r="H278" s="21" t="str">
        <f t="shared" ref="H278" si="50">IF(E$378="comprobar",COUNTIF(D277:D281,"x"),"")</f>
        <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row>
    <row r="279" spans="1:33" x14ac:dyDescent="0.2">
      <c r="B279" s="48"/>
      <c r="C279" s="57" t="s">
        <v>184</v>
      </c>
      <c r="D279" s="44"/>
      <c r="E279" s="86" t="s">
        <v>1036</v>
      </c>
      <c r="F279" s="23" t="str">
        <f>IF(H279=-0.33,IF(H277=H$1,H277,""),"")</f>
        <v/>
      </c>
      <c r="G279" s="19"/>
      <c r="H279" s="24">
        <f t="shared" si="47"/>
        <v>0</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row>
    <row r="280" spans="1:33" x14ac:dyDescent="0.2">
      <c r="B280" s="48"/>
      <c r="C280" s="57"/>
      <c r="D280" s="44"/>
      <c r="E280" s="86" t="s">
        <v>1037</v>
      </c>
      <c r="F280" s="28"/>
      <c r="G280" s="19"/>
      <c r="H280" s="2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row>
    <row r="281" spans="1:33" x14ac:dyDescent="0.2">
      <c r="B281" s="48"/>
      <c r="C281" s="8"/>
      <c r="D281" s="44"/>
      <c r="E281" s="86" t="s">
        <v>1038</v>
      </c>
      <c r="F281" s="20"/>
      <c r="G281" s="19"/>
      <c r="H281" s="2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row>
    <row r="282" spans="1:33" s="17" customFormat="1" x14ac:dyDescent="0.2">
      <c r="A282" s="4"/>
      <c r="B282" s="49">
        <v>5</v>
      </c>
      <c r="C282" s="13" t="s">
        <v>185</v>
      </c>
      <c r="D282" s="45"/>
      <c r="E282" s="85"/>
      <c r="F282" s="30"/>
      <c r="G282" s="15"/>
      <c r="H282" s="15"/>
    </row>
    <row r="283" spans="1:33" x14ac:dyDescent="0.2">
      <c r="B283" s="52"/>
      <c r="C283" s="56" t="s">
        <v>186</v>
      </c>
      <c r="D283" s="44"/>
      <c r="E283" s="86" t="s">
        <v>1034</v>
      </c>
      <c r="F283" s="28"/>
      <c r="G283" s="19"/>
      <c r="H283" s="21" t="b">
        <f t="shared" si="46"/>
        <v>0</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row>
    <row r="284" spans="1:33" x14ac:dyDescent="0.2">
      <c r="B284" s="48"/>
      <c r="C284" s="57" t="s">
        <v>187</v>
      </c>
      <c r="D284" s="44"/>
      <c r="E284" s="86" t="s">
        <v>1035</v>
      </c>
      <c r="F284" s="22" t="str">
        <f>IF(H285=1,IF(H283=H$2,H283,""),"")</f>
        <v/>
      </c>
      <c r="G284" s="19"/>
      <c r="H284" s="21" t="str">
        <f t="shared" ref="H284" si="51">IF(E$378="comprobar",COUNTIF(D283:D287,"x"),"")</f>
        <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row>
    <row r="285" spans="1:33" x14ac:dyDescent="0.2">
      <c r="B285" s="48"/>
      <c r="C285" s="57" t="s">
        <v>188</v>
      </c>
      <c r="D285" s="44"/>
      <c r="E285" s="86" t="s">
        <v>1036</v>
      </c>
      <c r="F285" s="23" t="str">
        <f>IF(H285=-0.33,IF(H283=H$1,H283,""),"")</f>
        <v/>
      </c>
      <c r="G285" s="19"/>
      <c r="H285" s="24">
        <f t="shared" si="47"/>
        <v>0</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row>
    <row r="286" spans="1:33" x14ac:dyDescent="0.2">
      <c r="B286" s="48"/>
      <c r="C286" s="57"/>
      <c r="D286" s="44"/>
      <c r="E286" s="86" t="s">
        <v>1037</v>
      </c>
      <c r="F286" s="28"/>
      <c r="G286" s="19"/>
      <c r="H286" s="2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row>
    <row r="287" spans="1:33" x14ac:dyDescent="0.2">
      <c r="B287" s="48"/>
      <c r="C287" s="8"/>
      <c r="D287" s="44"/>
      <c r="E287" s="86" t="s">
        <v>1038</v>
      </c>
      <c r="F287" s="20"/>
      <c r="G287" s="19"/>
      <c r="H287" s="2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row>
    <row r="288" spans="1:33" s="17" customFormat="1" x14ac:dyDescent="0.2">
      <c r="A288" s="4"/>
      <c r="B288" s="49">
        <v>6</v>
      </c>
      <c r="C288" s="13" t="s">
        <v>189</v>
      </c>
      <c r="D288" s="45"/>
      <c r="E288" s="85"/>
      <c r="F288" s="30"/>
      <c r="G288" s="15"/>
      <c r="H288" s="15"/>
    </row>
    <row r="289" spans="1:33" x14ac:dyDescent="0.2">
      <c r="B289" s="52"/>
      <c r="C289" s="56" t="s">
        <v>190</v>
      </c>
      <c r="D289" s="44"/>
      <c r="E289" s="86" t="s">
        <v>1034</v>
      </c>
      <c r="F289" s="28"/>
      <c r="G289" s="19"/>
      <c r="H289" s="21" t="b">
        <f t="shared" si="46"/>
        <v>0</v>
      </c>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row>
    <row r="290" spans="1:33" x14ac:dyDescent="0.2">
      <c r="B290" s="48"/>
      <c r="C290" s="57" t="s">
        <v>191</v>
      </c>
      <c r="D290" s="44"/>
      <c r="E290" s="86" t="s">
        <v>1035</v>
      </c>
      <c r="F290" s="22" t="str">
        <f>IF(H291=1,IF(H289=H$2,H289,""),"")</f>
        <v/>
      </c>
      <c r="G290" s="19"/>
      <c r="H290" s="21" t="str">
        <f t="shared" ref="H290" si="52">IF(E$378="comprobar",COUNTIF(D289:D293,"x"),"")</f>
        <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row>
    <row r="291" spans="1:33" x14ac:dyDescent="0.2">
      <c r="B291" s="48"/>
      <c r="C291" s="57" t="s">
        <v>192</v>
      </c>
      <c r="D291" s="44"/>
      <c r="E291" s="86" t="s">
        <v>1036</v>
      </c>
      <c r="F291" s="23" t="str">
        <f>IF(H291=-0.33,IF(H289=H$1,H289,""),"")</f>
        <v/>
      </c>
      <c r="G291" s="19"/>
      <c r="H291" s="24">
        <f t="shared" si="47"/>
        <v>0</v>
      </c>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row>
    <row r="292" spans="1:33" x14ac:dyDescent="0.2">
      <c r="B292" s="48"/>
      <c r="C292" s="57"/>
      <c r="D292" s="44"/>
      <c r="E292" s="86" t="s">
        <v>1037</v>
      </c>
      <c r="F292" s="28"/>
      <c r="G292" s="19"/>
      <c r="H292" s="2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row>
    <row r="293" spans="1:33" x14ac:dyDescent="0.2">
      <c r="B293" s="48"/>
      <c r="C293" s="8"/>
      <c r="D293" s="44"/>
      <c r="E293" s="86" t="s">
        <v>1038</v>
      </c>
      <c r="F293" s="20"/>
      <c r="G293" s="19"/>
      <c r="H293" s="2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row>
    <row r="294" spans="1:33" s="17" customFormat="1" x14ac:dyDescent="0.2">
      <c r="A294" s="4"/>
      <c r="B294" s="49">
        <v>7</v>
      </c>
      <c r="C294" s="13" t="s">
        <v>193</v>
      </c>
      <c r="D294" s="45"/>
      <c r="E294" s="85"/>
      <c r="F294" s="30"/>
      <c r="G294" s="15"/>
      <c r="H294" s="15"/>
    </row>
    <row r="295" spans="1:33" s="40" customFormat="1" x14ac:dyDescent="0.2">
      <c r="A295" s="4"/>
      <c r="B295" s="52"/>
      <c r="C295" s="56" t="s">
        <v>194</v>
      </c>
      <c r="D295" s="44"/>
      <c r="E295" s="86" t="s">
        <v>1034</v>
      </c>
      <c r="F295" s="28"/>
      <c r="G295" s="19"/>
      <c r="H295" s="21" t="b">
        <f t="shared" si="46"/>
        <v>0</v>
      </c>
      <c r="I295" s="80"/>
      <c r="J295" s="80"/>
      <c r="K295" s="80"/>
      <c r="L295" s="80"/>
      <c r="M295" s="80"/>
      <c r="N295" s="80"/>
      <c r="O295" s="80"/>
      <c r="P295" s="80"/>
      <c r="Q295" s="80"/>
      <c r="R295" s="80"/>
      <c r="S295" s="80"/>
      <c r="T295" s="80"/>
      <c r="U295" s="80"/>
      <c r="V295" s="80"/>
      <c r="W295" s="80"/>
      <c r="X295" s="80"/>
      <c r="Y295" s="80"/>
      <c r="Z295" s="80"/>
      <c r="AA295" s="80"/>
      <c r="AB295" s="80"/>
      <c r="AC295" s="80"/>
      <c r="AD295" s="80"/>
      <c r="AE295" s="80"/>
      <c r="AF295" s="80"/>
      <c r="AG295" s="80"/>
    </row>
    <row r="296" spans="1:33" x14ac:dyDescent="0.2">
      <c r="B296" s="48"/>
      <c r="C296" s="57" t="s">
        <v>195</v>
      </c>
      <c r="D296" s="44"/>
      <c r="E296" s="86" t="s">
        <v>1035</v>
      </c>
      <c r="F296" s="22" t="str">
        <f>IF(H297=1,IF(H295=H$2,H295,""),"")</f>
        <v/>
      </c>
      <c r="G296" s="19"/>
      <c r="H296" s="21" t="str">
        <f t="shared" ref="H296" si="53">IF(E$378="comprobar",COUNTIF(D295:D299,"x"),"")</f>
        <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row>
    <row r="297" spans="1:33" x14ac:dyDescent="0.2">
      <c r="B297" s="48"/>
      <c r="C297" s="57" t="s">
        <v>196</v>
      </c>
      <c r="D297" s="44"/>
      <c r="E297" s="86" t="s">
        <v>1036</v>
      </c>
      <c r="F297" s="23" t="str">
        <f>IF(H297=-0.33,IF(H295=H$1,H295,""),"")</f>
        <v/>
      </c>
      <c r="G297" s="19"/>
      <c r="H297" s="24">
        <f t="shared" si="47"/>
        <v>0</v>
      </c>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row>
    <row r="298" spans="1:33" x14ac:dyDescent="0.2">
      <c r="B298" s="48"/>
      <c r="C298" s="57"/>
      <c r="D298" s="44"/>
      <c r="E298" s="86" t="s">
        <v>1037</v>
      </c>
      <c r="F298" s="28"/>
      <c r="G298" s="19"/>
      <c r="H298" s="2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row>
    <row r="299" spans="1:33" x14ac:dyDescent="0.2">
      <c r="B299" s="48"/>
      <c r="C299" s="8"/>
      <c r="D299" s="44"/>
      <c r="E299" s="86" t="s">
        <v>1038</v>
      </c>
      <c r="F299" s="20"/>
      <c r="G299" s="19"/>
      <c r="H299" s="2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row>
    <row r="300" spans="1:33" s="17" customFormat="1" x14ac:dyDescent="0.2">
      <c r="A300" s="4"/>
      <c r="B300" s="49">
        <v>8</v>
      </c>
      <c r="C300" s="13" t="s">
        <v>197</v>
      </c>
      <c r="D300" s="45"/>
      <c r="E300" s="85"/>
      <c r="F300" s="30"/>
      <c r="G300" s="15"/>
      <c r="H300" s="15"/>
    </row>
    <row r="301" spans="1:33" x14ac:dyDescent="0.2">
      <c r="B301" s="52"/>
      <c r="C301" s="56" t="s">
        <v>198</v>
      </c>
      <c r="D301" s="44"/>
      <c r="E301" s="86" t="s">
        <v>1034</v>
      </c>
      <c r="F301" s="28"/>
      <c r="G301" s="19"/>
      <c r="H301" s="21" t="b">
        <f>IF(D301="x",H$2,H$1)</f>
        <v>0</v>
      </c>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row>
    <row r="302" spans="1:33" x14ac:dyDescent="0.2">
      <c r="B302" s="48"/>
      <c r="C302" s="57" t="s">
        <v>199</v>
      </c>
      <c r="D302" s="44"/>
      <c r="E302" s="86" t="s">
        <v>1035</v>
      </c>
      <c r="F302" s="22" t="str">
        <f>IF(H303=1,IF(H301=H$2,H301,""),"")</f>
        <v/>
      </c>
      <c r="G302" s="19"/>
      <c r="H302" s="21" t="str">
        <f t="shared" ref="H302" si="54">IF(E$378="comprobar",COUNTIF(D301:D305,"x"),"")</f>
        <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row>
    <row r="303" spans="1:33" x14ac:dyDescent="0.2">
      <c r="B303" s="48"/>
      <c r="C303" s="57" t="s">
        <v>100</v>
      </c>
      <c r="D303" s="44"/>
      <c r="E303" s="86" t="s">
        <v>1036</v>
      </c>
      <c r="F303" s="23" t="str">
        <f>IF(H303=-0.33,IF(H301=H$1,H301,""),"")</f>
        <v/>
      </c>
      <c r="G303" s="19"/>
      <c r="H303" s="24">
        <f t="shared" si="47"/>
        <v>0</v>
      </c>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row>
    <row r="304" spans="1:33" x14ac:dyDescent="0.2">
      <c r="B304" s="48"/>
      <c r="C304" s="57"/>
      <c r="D304" s="44"/>
      <c r="E304" s="86" t="s">
        <v>1037</v>
      </c>
      <c r="F304" s="28"/>
      <c r="G304" s="19"/>
      <c r="H304" s="2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row>
    <row r="305" spans="1:33" x14ac:dyDescent="0.2">
      <c r="B305" s="48"/>
      <c r="C305" s="8"/>
      <c r="D305" s="44"/>
      <c r="E305" s="86" t="s">
        <v>1038</v>
      </c>
      <c r="F305" s="20"/>
      <c r="G305" s="19"/>
      <c r="H305" s="2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row>
    <row r="306" spans="1:33" s="17" customFormat="1" x14ac:dyDescent="0.2">
      <c r="A306" s="4"/>
      <c r="B306" s="49">
        <v>9</v>
      </c>
      <c r="C306" s="13" t="s">
        <v>200</v>
      </c>
      <c r="D306" s="45"/>
      <c r="E306" s="85"/>
      <c r="F306" s="30"/>
      <c r="G306" s="15"/>
      <c r="H306" s="15"/>
    </row>
    <row r="307" spans="1:33" x14ac:dyDescent="0.2">
      <c r="B307" s="52"/>
      <c r="C307" s="56" t="s">
        <v>201</v>
      </c>
      <c r="D307" s="44"/>
      <c r="E307" s="86" t="s">
        <v>1034</v>
      </c>
      <c r="F307" s="28"/>
      <c r="G307" s="19"/>
      <c r="H307" s="21" t="b">
        <f t="shared" si="46"/>
        <v>0</v>
      </c>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row>
    <row r="308" spans="1:33" x14ac:dyDescent="0.2">
      <c r="B308" s="48"/>
      <c r="C308" s="57" t="s">
        <v>202</v>
      </c>
      <c r="D308" s="44"/>
      <c r="E308" s="86" t="s">
        <v>1035</v>
      </c>
      <c r="F308" s="22" t="str">
        <f>IF(H309=1,IF(H307=H$2,H307,""),"")</f>
        <v/>
      </c>
      <c r="G308" s="19"/>
      <c r="H308" s="21" t="str">
        <f t="shared" ref="H308" si="55">IF(E$378="comprobar",COUNTIF(D307:D311,"x"),"")</f>
        <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row>
    <row r="309" spans="1:33" x14ac:dyDescent="0.2">
      <c r="B309" s="48"/>
      <c r="C309" s="57" t="s">
        <v>203</v>
      </c>
      <c r="D309" s="44"/>
      <c r="E309" s="86" t="s">
        <v>1036</v>
      </c>
      <c r="F309" s="23" t="str">
        <f>IF(H309=-0.33,IF(H307=H$1,H307,""),"")</f>
        <v/>
      </c>
      <c r="G309" s="19"/>
      <c r="H309" s="24">
        <f t="shared" si="47"/>
        <v>0</v>
      </c>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row>
    <row r="310" spans="1:33" x14ac:dyDescent="0.2">
      <c r="B310" s="48"/>
      <c r="C310" s="57"/>
      <c r="D310" s="44"/>
      <c r="E310" s="86" t="s">
        <v>1037</v>
      </c>
      <c r="F310" s="28"/>
      <c r="G310" s="19"/>
      <c r="H310" s="2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row>
    <row r="311" spans="1:33" x14ac:dyDescent="0.2">
      <c r="B311" s="48"/>
      <c r="C311" s="8"/>
      <c r="D311" s="44"/>
      <c r="E311" s="86" t="s">
        <v>1038</v>
      </c>
      <c r="F311" s="20"/>
      <c r="G311" s="19"/>
      <c r="H311" s="2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row>
    <row r="312" spans="1:33" s="17" customFormat="1" x14ac:dyDescent="0.2">
      <c r="A312" s="4"/>
      <c r="B312" s="49">
        <v>10</v>
      </c>
      <c r="C312" s="13" t="s">
        <v>204</v>
      </c>
      <c r="D312" s="45"/>
      <c r="E312" s="85"/>
      <c r="F312" s="30"/>
      <c r="G312" s="29"/>
      <c r="H312" s="15"/>
    </row>
    <row r="313" spans="1:33" x14ac:dyDescent="0.2">
      <c r="B313" s="52"/>
      <c r="C313" s="56" t="s">
        <v>205</v>
      </c>
      <c r="D313" s="44"/>
      <c r="E313" s="86" t="s">
        <v>1034</v>
      </c>
      <c r="F313" s="28"/>
      <c r="G313" s="26"/>
      <c r="H313" s="21" t="b">
        <f>IF(D314="x",H$2,H$1)</f>
        <v>0</v>
      </c>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row>
    <row r="314" spans="1:33" x14ac:dyDescent="0.2">
      <c r="B314" s="48"/>
      <c r="C314" s="57" t="s">
        <v>206</v>
      </c>
      <c r="D314" s="44"/>
      <c r="E314" s="86" t="s">
        <v>1035</v>
      </c>
      <c r="F314" s="22" t="str">
        <f>IF(H315=1,IF(H313=H$2,H313,""),"")</f>
        <v/>
      </c>
      <c r="G314" s="26"/>
      <c r="H314" s="21" t="str">
        <f t="shared" ref="H314" si="56">IF(E$378="comprobar",COUNTIF(D313:D317,"x"),"")</f>
        <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row>
    <row r="315" spans="1:33" x14ac:dyDescent="0.2">
      <c r="B315" s="48"/>
      <c r="C315" s="57" t="s">
        <v>207</v>
      </c>
      <c r="D315" s="44"/>
      <c r="E315" s="86" t="s">
        <v>1036</v>
      </c>
      <c r="F315" s="23" t="str">
        <f>IF(H315=-0.33,IF(H313=H$1,H313,""),"")</f>
        <v/>
      </c>
      <c r="G315" s="26"/>
      <c r="H315" s="24">
        <f t="shared" si="47"/>
        <v>0</v>
      </c>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row>
    <row r="316" spans="1:33" x14ac:dyDescent="0.2">
      <c r="B316" s="48"/>
      <c r="C316" s="57"/>
      <c r="D316" s="44"/>
      <c r="E316" s="86" t="s">
        <v>1037</v>
      </c>
      <c r="F316" s="28"/>
      <c r="G316" s="26"/>
      <c r="H316" s="2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row>
    <row r="317" spans="1:33" x14ac:dyDescent="0.2">
      <c r="B317" s="48"/>
      <c r="C317" s="8"/>
      <c r="D317" s="44"/>
      <c r="E317" s="86" t="s">
        <v>1038</v>
      </c>
      <c r="F317" s="20"/>
      <c r="G317" s="26"/>
      <c r="H317" s="2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row>
    <row r="318" spans="1:33" s="17" customFormat="1" x14ac:dyDescent="0.2">
      <c r="A318" s="4"/>
      <c r="B318" s="49">
        <v>11</v>
      </c>
      <c r="C318" s="13" t="s">
        <v>208</v>
      </c>
      <c r="D318" s="45"/>
      <c r="E318" s="85"/>
      <c r="F318" s="30"/>
      <c r="G318" s="29"/>
      <c r="H318" s="15"/>
    </row>
    <row r="319" spans="1:33" x14ac:dyDescent="0.2">
      <c r="B319" s="52"/>
      <c r="C319" s="56" t="s">
        <v>209</v>
      </c>
      <c r="D319" s="44"/>
      <c r="E319" s="86" t="s">
        <v>1034</v>
      </c>
      <c r="F319" s="28"/>
      <c r="G319" s="26"/>
      <c r="H319" s="21" t="b">
        <f t="shared" si="46"/>
        <v>0</v>
      </c>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row>
    <row r="320" spans="1:33" s="40" customFormat="1" x14ac:dyDescent="0.2">
      <c r="A320" s="4"/>
      <c r="B320" s="48"/>
      <c r="C320" s="57" t="s">
        <v>210</v>
      </c>
      <c r="D320" s="44"/>
      <c r="E320" s="86" t="s">
        <v>1035</v>
      </c>
      <c r="F320" s="22" t="str">
        <f>IF(H321=1,IF(H319=H$2,H319,""),"")</f>
        <v/>
      </c>
      <c r="G320" s="26"/>
      <c r="H320" s="21" t="str">
        <f t="shared" ref="H320" si="57">IF(E$378="comprobar",COUNTIF(D319:D323,"x"),"")</f>
        <v/>
      </c>
      <c r="I320" s="80"/>
      <c r="J320" s="80"/>
      <c r="K320" s="80"/>
      <c r="L320" s="80"/>
      <c r="M320" s="80"/>
      <c r="N320" s="80"/>
      <c r="O320" s="80"/>
      <c r="P320" s="80"/>
      <c r="Q320" s="80"/>
      <c r="R320" s="80"/>
      <c r="S320" s="80"/>
      <c r="T320" s="80"/>
      <c r="U320" s="80"/>
      <c r="V320" s="80"/>
      <c r="W320" s="80"/>
      <c r="X320" s="80"/>
      <c r="Y320" s="80"/>
      <c r="Z320" s="80"/>
      <c r="AA320" s="80"/>
      <c r="AB320" s="80"/>
      <c r="AC320" s="80"/>
      <c r="AD320" s="80"/>
      <c r="AE320" s="80"/>
      <c r="AF320" s="80"/>
      <c r="AG320" s="80"/>
    </row>
    <row r="321" spans="1:33" x14ac:dyDescent="0.2">
      <c r="B321" s="48"/>
      <c r="C321" s="57" t="s">
        <v>211</v>
      </c>
      <c r="D321" s="44"/>
      <c r="E321" s="86" t="s">
        <v>1036</v>
      </c>
      <c r="F321" s="23" t="str">
        <f>IF(H321=-0.33,IF(H319=H$1,H319,""),"")</f>
        <v/>
      </c>
      <c r="G321" s="26"/>
      <c r="H321" s="24">
        <f t="shared" si="47"/>
        <v>0</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row>
    <row r="322" spans="1:33" x14ac:dyDescent="0.2">
      <c r="B322" s="48"/>
      <c r="C322" s="57"/>
      <c r="D322" s="44"/>
      <c r="E322" s="86" t="s">
        <v>1037</v>
      </c>
      <c r="F322" s="28"/>
      <c r="G322" s="26"/>
      <c r="H322" s="2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row>
    <row r="323" spans="1:33" x14ac:dyDescent="0.2">
      <c r="B323" s="48"/>
      <c r="C323" s="8"/>
      <c r="D323" s="44"/>
      <c r="E323" s="86" t="s">
        <v>1038</v>
      </c>
      <c r="F323" s="20"/>
      <c r="G323" s="26"/>
      <c r="H323" s="2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row>
    <row r="324" spans="1:33" s="17" customFormat="1" x14ac:dyDescent="0.2">
      <c r="A324" s="4"/>
      <c r="B324" s="49">
        <v>12</v>
      </c>
      <c r="C324" s="13" t="s">
        <v>212</v>
      </c>
      <c r="D324" s="45"/>
      <c r="E324" s="85"/>
      <c r="F324" s="30"/>
      <c r="G324" s="29"/>
      <c r="H324" s="15"/>
    </row>
    <row r="325" spans="1:33" x14ac:dyDescent="0.2">
      <c r="B325" s="52"/>
      <c r="C325" s="60" t="s">
        <v>213</v>
      </c>
      <c r="D325" s="44"/>
      <c r="E325" s="86" t="s">
        <v>1034</v>
      </c>
      <c r="F325" s="28"/>
      <c r="G325" s="26"/>
      <c r="H325" s="21" t="b">
        <f t="shared" ref="H325:H367" si="58">IF(D327="x",H$2,H$1)</f>
        <v>0</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row>
    <row r="326" spans="1:33" x14ac:dyDescent="0.2">
      <c r="B326" s="48"/>
      <c r="C326" s="57" t="s">
        <v>214</v>
      </c>
      <c r="D326" s="44"/>
      <c r="E326" s="86" t="s">
        <v>1035</v>
      </c>
      <c r="F326" s="22" t="str">
        <f>IF(H327=1,IF(H325=H$2,H325,""),"")</f>
        <v/>
      </c>
      <c r="G326" s="26"/>
      <c r="H326" s="21" t="str">
        <f t="shared" ref="H326" si="59">IF(E$378="comprobar",COUNTIF(D325:D329,"x"),"")</f>
        <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row>
    <row r="327" spans="1:33" x14ac:dyDescent="0.2">
      <c r="B327" s="48"/>
      <c r="C327" s="57" t="s">
        <v>215</v>
      </c>
      <c r="D327" s="44"/>
      <c r="E327" s="86" t="s">
        <v>1036</v>
      </c>
      <c r="F327" s="23" t="str">
        <f>IF(H327=-0.33,IF(H325=H$1,H325,""),"")</f>
        <v/>
      </c>
      <c r="G327" s="26"/>
      <c r="H327" s="24">
        <f t="shared" ref="H327:H369" si="60">IF(H326=1,IF(H325=H$2,1,-0.33),0)</f>
        <v>0</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row>
    <row r="328" spans="1:33" x14ac:dyDescent="0.2">
      <c r="B328" s="48"/>
      <c r="C328" s="57"/>
      <c r="D328" s="44"/>
      <c r="E328" s="86" t="s">
        <v>1037</v>
      </c>
      <c r="F328" s="28"/>
      <c r="G328" s="26"/>
      <c r="H328" s="2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row>
    <row r="329" spans="1:33" x14ac:dyDescent="0.2">
      <c r="B329" s="48"/>
      <c r="C329" s="8"/>
      <c r="D329" s="44"/>
      <c r="E329" s="86" t="s">
        <v>1038</v>
      </c>
      <c r="F329" s="20"/>
      <c r="G329" s="26"/>
      <c r="H329" s="2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row>
    <row r="330" spans="1:33" s="17" customFormat="1" x14ac:dyDescent="0.2">
      <c r="A330" s="4"/>
      <c r="B330" s="49">
        <v>13</v>
      </c>
      <c r="C330" s="13" t="s">
        <v>216</v>
      </c>
      <c r="D330" s="45"/>
      <c r="E330" s="85"/>
      <c r="F330" s="30"/>
      <c r="G330" s="15"/>
      <c r="H330" s="15"/>
    </row>
    <row r="331" spans="1:33" x14ac:dyDescent="0.2">
      <c r="B331" s="52"/>
      <c r="C331" s="56" t="s">
        <v>217</v>
      </c>
      <c r="D331" s="44"/>
      <c r="E331" s="86" t="s">
        <v>1034</v>
      </c>
      <c r="F331" s="28"/>
      <c r="G331" s="19"/>
      <c r="H331" s="21" t="b">
        <f>IF(D331="x",H$2,H$1)</f>
        <v>0</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row>
    <row r="332" spans="1:33" x14ac:dyDescent="0.2">
      <c r="B332" s="48"/>
      <c r="C332" s="57" t="s">
        <v>218</v>
      </c>
      <c r="D332" s="44"/>
      <c r="E332" s="86" t="s">
        <v>1035</v>
      </c>
      <c r="F332" s="22" t="str">
        <f>IF(H333=1,IF(H331=H$2,H331,""),"")</f>
        <v/>
      </c>
      <c r="G332" s="19"/>
      <c r="H332" s="21" t="str">
        <f t="shared" ref="H332" si="61">IF(E$378="comprobar",COUNTIF(D331:D335,"x"),"")</f>
        <v/>
      </c>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row>
    <row r="333" spans="1:33" x14ac:dyDescent="0.2">
      <c r="B333" s="48"/>
      <c r="C333" s="57" t="s">
        <v>199</v>
      </c>
      <c r="D333" s="44"/>
      <c r="E333" s="86" t="s">
        <v>1036</v>
      </c>
      <c r="F333" s="23" t="str">
        <f>IF(H333=-0.33,IF(H331=H$1,H331,""),"")</f>
        <v/>
      </c>
      <c r="G333" s="19"/>
      <c r="H333" s="24">
        <f t="shared" si="60"/>
        <v>0</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row>
    <row r="334" spans="1:33" x14ac:dyDescent="0.2">
      <c r="B334" s="48"/>
      <c r="C334" s="57"/>
      <c r="D334" s="44"/>
      <c r="E334" s="86" t="s">
        <v>1037</v>
      </c>
      <c r="F334" s="28"/>
      <c r="G334" s="19"/>
      <c r="H334" s="2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row>
    <row r="335" spans="1:33" x14ac:dyDescent="0.2">
      <c r="B335" s="48"/>
      <c r="C335" s="8"/>
      <c r="D335" s="44"/>
      <c r="E335" s="86" t="s">
        <v>1038</v>
      </c>
      <c r="F335" s="20"/>
      <c r="G335" s="19"/>
      <c r="H335" s="2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row>
    <row r="336" spans="1:33" s="17" customFormat="1" x14ac:dyDescent="0.2">
      <c r="A336" s="4"/>
      <c r="B336" s="49">
        <v>14</v>
      </c>
      <c r="C336" s="13" t="s">
        <v>219</v>
      </c>
      <c r="D336" s="45"/>
      <c r="E336" s="85"/>
      <c r="F336" s="30"/>
      <c r="G336" s="29"/>
      <c r="H336" s="15"/>
    </row>
    <row r="337" spans="1:33" x14ac:dyDescent="0.2">
      <c r="B337" s="52"/>
      <c r="C337" s="56" t="s">
        <v>220</v>
      </c>
      <c r="D337" s="44"/>
      <c r="E337" s="86" t="s">
        <v>1034</v>
      </c>
      <c r="F337" s="28"/>
      <c r="G337" s="26"/>
      <c r="H337" s="21" t="b">
        <f>IF(D338="x",H$2,H$1)</f>
        <v>0</v>
      </c>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row>
    <row r="338" spans="1:33" x14ac:dyDescent="0.2">
      <c r="B338" s="48"/>
      <c r="C338" s="57" t="s">
        <v>221</v>
      </c>
      <c r="D338" s="44"/>
      <c r="E338" s="86" t="s">
        <v>1035</v>
      </c>
      <c r="F338" s="22" t="str">
        <f>IF(H339=1,IF(H337=H$2,H337,""),"")</f>
        <v/>
      </c>
      <c r="G338" s="26"/>
      <c r="H338" s="21" t="str">
        <f t="shared" ref="H338" si="62">IF(E$378="comprobar",COUNTIF(D337:D341,"x"),"")</f>
        <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row>
    <row r="339" spans="1:33" x14ac:dyDescent="0.2">
      <c r="B339" s="48"/>
      <c r="C339" s="57" t="s">
        <v>222</v>
      </c>
      <c r="D339" s="44"/>
      <c r="E339" s="86" t="s">
        <v>1036</v>
      </c>
      <c r="F339" s="23" t="str">
        <f>IF(H339=-0.33,IF(H337=H$1,H337,""),"")</f>
        <v/>
      </c>
      <c r="G339" s="26"/>
      <c r="H339" s="24">
        <f t="shared" si="60"/>
        <v>0</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row>
    <row r="340" spans="1:33" x14ac:dyDescent="0.2">
      <c r="B340" s="48"/>
      <c r="C340" s="57" t="s">
        <v>223</v>
      </c>
      <c r="D340" s="44"/>
      <c r="E340" s="86" t="s">
        <v>1037</v>
      </c>
      <c r="F340" s="28"/>
      <c r="G340" s="26"/>
      <c r="H340" s="2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row>
    <row r="341" spans="1:33" x14ac:dyDescent="0.2">
      <c r="B341" s="48"/>
      <c r="C341" s="8"/>
      <c r="D341" s="44"/>
      <c r="E341" s="86" t="s">
        <v>1038</v>
      </c>
      <c r="F341" s="20"/>
      <c r="G341" s="26"/>
      <c r="H341" s="2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row>
    <row r="342" spans="1:33" s="17" customFormat="1" x14ac:dyDescent="0.2">
      <c r="A342" s="4"/>
      <c r="B342" s="49">
        <v>15</v>
      </c>
      <c r="C342" s="13" t="s">
        <v>224</v>
      </c>
      <c r="D342" s="45"/>
      <c r="E342" s="85"/>
      <c r="F342" s="30"/>
      <c r="G342" s="29"/>
      <c r="H342" s="15"/>
    </row>
    <row r="343" spans="1:33" x14ac:dyDescent="0.2">
      <c r="B343" s="52"/>
      <c r="C343" s="56" t="s">
        <v>225</v>
      </c>
      <c r="D343" s="44"/>
      <c r="E343" s="86" t="s">
        <v>1034</v>
      </c>
      <c r="F343" s="28"/>
      <c r="G343" s="26"/>
      <c r="H343" s="21" t="b">
        <f t="shared" si="58"/>
        <v>0</v>
      </c>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row>
    <row r="344" spans="1:33" x14ac:dyDescent="0.2">
      <c r="B344" s="48"/>
      <c r="C344" s="57" t="s">
        <v>226</v>
      </c>
      <c r="D344" s="44"/>
      <c r="E344" s="86" t="s">
        <v>1035</v>
      </c>
      <c r="F344" s="22" t="str">
        <f>IF(H345=1,IF(H343=H$2,H343,""),"")</f>
        <v/>
      </c>
      <c r="G344" s="26"/>
      <c r="H344" s="21" t="str">
        <f t="shared" ref="H344" si="63">IF(E$378="comprobar",COUNTIF(D343:D347,"x"),"")</f>
        <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row>
    <row r="345" spans="1:33" x14ac:dyDescent="0.2">
      <c r="B345" s="48"/>
      <c r="C345" s="57" t="s">
        <v>227</v>
      </c>
      <c r="D345" s="44"/>
      <c r="E345" s="86" t="s">
        <v>1036</v>
      </c>
      <c r="F345" s="23" t="str">
        <f>IF(H345=-0.33,IF(H343=H$1,H343,""),"")</f>
        <v/>
      </c>
      <c r="G345" s="26"/>
      <c r="H345" s="24">
        <f t="shared" si="60"/>
        <v>0</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row>
    <row r="346" spans="1:33" x14ac:dyDescent="0.2">
      <c r="B346" s="48"/>
      <c r="C346" s="57" t="s">
        <v>217</v>
      </c>
      <c r="D346" s="44"/>
      <c r="E346" s="86" t="s">
        <v>1037</v>
      </c>
      <c r="F346" s="28"/>
      <c r="G346" s="26"/>
      <c r="H346" s="2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row>
    <row r="347" spans="1:33" x14ac:dyDescent="0.2">
      <c r="B347" s="48"/>
      <c r="C347" s="8"/>
      <c r="D347" s="44"/>
      <c r="E347" s="86" t="s">
        <v>1038</v>
      </c>
      <c r="F347" s="20"/>
      <c r="G347" s="26"/>
      <c r="H347" s="2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row>
    <row r="348" spans="1:33" s="17" customFormat="1" x14ac:dyDescent="0.2">
      <c r="A348" s="4"/>
      <c r="B348" s="49">
        <v>16</v>
      </c>
      <c r="C348" s="13" t="s">
        <v>228</v>
      </c>
      <c r="D348" s="45"/>
      <c r="E348" s="85"/>
      <c r="F348" s="30"/>
      <c r="G348" s="29"/>
      <c r="H348" s="15"/>
    </row>
    <row r="349" spans="1:33" x14ac:dyDescent="0.2">
      <c r="B349" s="52"/>
      <c r="C349" s="56" t="s">
        <v>229</v>
      </c>
      <c r="D349" s="44"/>
      <c r="E349" s="86" t="s">
        <v>1034</v>
      </c>
      <c r="F349" s="28"/>
      <c r="G349" s="26"/>
      <c r="H349" s="21" t="b">
        <f>IF(D350="x",H$2,H$1)</f>
        <v>0</v>
      </c>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row>
    <row r="350" spans="1:33" x14ac:dyDescent="0.2">
      <c r="B350" s="48"/>
      <c r="C350" s="57" t="s">
        <v>230</v>
      </c>
      <c r="D350" s="44"/>
      <c r="E350" s="86" t="s">
        <v>1035</v>
      </c>
      <c r="F350" s="22" t="str">
        <f>IF(H351=1,IF(H349=H$2,H349,""),"")</f>
        <v/>
      </c>
      <c r="G350" s="26"/>
      <c r="H350" s="21" t="str">
        <f t="shared" ref="H350" si="64">IF(E$378="comprobar",COUNTIF(D349:D353,"x"),"")</f>
        <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row>
    <row r="351" spans="1:33" x14ac:dyDescent="0.2">
      <c r="B351" s="48"/>
      <c r="C351" s="57" t="s">
        <v>231</v>
      </c>
      <c r="D351" s="44"/>
      <c r="E351" s="86" t="s">
        <v>1036</v>
      </c>
      <c r="F351" s="23" t="str">
        <f>IF(H351=-0.33,IF(H349=H$1,H349,""),"")</f>
        <v/>
      </c>
      <c r="G351" s="26"/>
      <c r="H351" s="24">
        <f t="shared" si="60"/>
        <v>0</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row>
    <row r="352" spans="1:33" x14ac:dyDescent="0.2">
      <c r="B352" s="48"/>
      <c r="C352" s="57" t="s">
        <v>232</v>
      </c>
      <c r="D352" s="44"/>
      <c r="E352" s="86" t="s">
        <v>1037</v>
      </c>
      <c r="F352" s="28"/>
      <c r="G352" s="26"/>
      <c r="H352" s="2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row>
    <row r="353" spans="1:33" x14ac:dyDescent="0.2">
      <c r="B353" s="48"/>
      <c r="C353" s="8"/>
      <c r="D353" s="44"/>
      <c r="E353" s="86" t="s">
        <v>1038</v>
      </c>
      <c r="F353" s="20"/>
      <c r="G353" s="26"/>
      <c r="H353" s="2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row>
    <row r="354" spans="1:33" s="17" customFormat="1" x14ac:dyDescent="0.2">
      <c r="A354" s="4"/>
      <c r="B354" s="49">
        <v>17</v>
      </c>
      <c r="C354" s="13" t="s">
        <v>233</v>
      </c>
      <c r="D354" s="45"/>
      <c r="E354" s="85"/>
      <c r="F354" s="30"/>
      <c r="G354" s="29"/>
      <c r="H354" s="15"/>
    </row>
    <row r="355" spans="1:33" x14ac:dyDescent="0.2">
      <c r="B355" s="52"/>
      <c r="C355" s="56" t="s">
        <v>234</v>
      </c>
      <c r="D355" s="44"/>
      <c r="E355" s="86" t="s">
        <v>1034</v>
      </c>
      <c r="F355" s="28"/>
      <c r="G355" s="26"/>
      <c r="H355" s="21" t="b">
        <f>IF(D355="x",H$2,H$1)</f>
        <v>0</v>
      </c>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row>
    <row r="356" spans="1:33" x14ac:dyDescent="0.2">
      <c r="B356" s="48"/>
      <c r="C356" s="57" t="s">
        <v>235</v>
      </c>
      <c r="D356" s="44"/>
      <c r="E356" s="86" t="s">
        <v>1035</v>
      </c>
      <c r="F356" s="22" t="str">
        <f>IF(H357=1,IF(H355=H$2,H355,""),"")</f>
        <v/>
      </c>
      <c r="G356" s="26"/>
      <c r="H356" s="21" t="str">
        <f t="shared" ref="H356" si="65">IF(E$378="comprobar",COUNTIF(D355:D359,"x"),"")</f>
        <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row>
    <row r="357" spans="1:33" x14ac:dyDescent="0.2">
      <c r="B357" s="48"/>
      <c r="C357" s="57" t="s">
        <v>236</v>
      </c>
      <c r="D357" s="44"/>
      <c r="E357" s="86" t="s">
        <v>1036</v>
      </c>
      <c r="F357" s="23" t="str">
        <f>IF(H357=-0.33,IF(H355=H$1,H355,""),"")</f>
        <v/>
      </c>
      <c r="G357" s="26"/>
      <c r="H357" s="24">
        <f t="shared" si="60"/>
        <v>0</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row>
    <row r="358" spans="1:33" x14ac:dyDescent="0.2">
      <c r="B358" s="48"/>
      <c r="C358" s="57"/>
      <c r="D358" s="44"/>
      <c r="E358" s="86" t="s">
        <v>1037</v>
      </c>
      <c r="F358" s="28"/>
      <c r="G358" s="26"/>
      <c r="H358" s="2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row>
    <row r="359" spans="1:33" x14ac:dyDescent="0.2">
      <c r="B359" s="48"/>
      <c r="C359" s="8"/>
      <c r="D359" s="44"/>
      <c r="E359" s="86" t="s">
        <v>1038</v>
      </c>
      <c r="F359" s="20"/>
      <c r="G359" s="26"/>
      <c r="H359" s="2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row>
    <row r="360" spans="1:33" s="17" customFormat="1" x14ac:dyDescent="0.2">
      <c r="A360" s="4"/>
      <c r="B360" s="49">
        <v>18</v>
      </c>
      <c r="C360" s="13" t="s">
        <v>237</v>
      </c>
      <c r="D360" s="45"/>
      <c r="E360" s="85"/>
      <c r="F360" s="30"/>
      <c r="G360" s="29"/>
      <c r="H360" s="15"/>
    </row>
    <row r="361" spans="1:33" x14ac:dyDescent="0.2">
      <c r="B361" s="52"/>
      <c r="C361" s="56" t="s">
        <v>238</v>
      </c>
      <c r="D361" s="44"/>
      <c r="E361" s="86" t="s">
        <v>1034</v>
      </c>
      <c r="F361" s="28"/>
      <c r="G361" s="26"/>
      <c r="H361" s="21" t="b">
        <f t="shared" si="58"/>
        <v>0</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row>
    <row r="362" spans="1:33" x14ac:dyDescent="0.2">
      <c r="B362" s="48"/>
      <c r="C362" s="57" t="s">
        <v>239</v>
      </c>
      <c r="D362" s="44"/>
      <c r="E362" s="86" t="s">
        <v>1035</v>
      </c>
      <c r="F362" s="22" t="str">
        <f>IF(H363=1,IF(H361=H$2,H361,""),"")</f>
        <v/>
      </c>
      <c r="G362" s="26"/>
      <c r="H362" s="21" t="str">
        <f t="shared" ref="H362" si="66">IF(E$378="comprobar",COUNTIF(D361:D365,"x"),"")</f>
        <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row>
    <row r="363" spans="1:33" x14ac:dyDescent="0.2">
      <c r="B363" s="48"/>
      <c r="C363" s="57" t="s">
        <v>195</v>
      </c>
      <c r="D363" s="44"/>
      <c r="E363" s="86" t="s">
        <v>1036</v>
      </c>
      <c r="F363" s="23" t="str">
        <f>IF(H363=-0.33,IF(H361=H$1,H361,""),"")</f>
        <v/>
      </c>
      <c r="G363" s="26"/>
      <c r="H363" s="24">
        <f t="shared" si="60"/>
        <v>0</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row>
    <row r="364" spans="1:33" x14ac:dyDescent="0.2">
      <c r="B364" s="48"/>
      <c r="C364" s="57"/>
      <c r="D364" s="44"/>
      <c r="E364" s="86" t="s">
        <v>1037</v>
      </c>
      <c r="F364" s="28"/>
      <c r="G364" s="26"/>
      <c r="H364" s="2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row>
    <row r="365" spans="1:33" x14ac:dyDescent="0.2">
      <c r="B365" s="48"/>
      <c r="C365" s="8"/>
      <c r="D365" s="44"/>
      <c r="E365" s="86" t="s">
        <v>1038</v>
      </c>
      <c r="F365" s="20"/>
      <c r="G365" s="26"/>
      <c r="H365" s="2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row>
    <row r="366" spans="1:33" s="17" customFormat="1" x14ac:dyDescent="0.2">
      <c r="A366" s="4"/>
      <c r="B366" s="49">
        <v>19</v>
      </c>
      <c r="C366" s="13" t="s">
        <v>240</v>
      </c>
      <c r="D366" s="45"/>
      <c r="E366" s="85"/>
      <c r="F366" s="30"/>
      <c r="G366" s="29"/>
      <c r="H366" s="15"/>
    </row>
    <row r="367" spans="1:33" x14ac:dyDescent="0.2">
      <c r="B367" s="52"/>
      <c r="C367" s="56" t="s">
        <v>241</v>
      </c>
      <c r="D367" s="44"/>
      <c r="E367" s="86" t="s">
        <v>1034</v>
      </c>
      <c r="F367" s="28"/>
      <c r="G367" s="26"/>
      <c r="H367" s="21" t="b">
        <f t="shared" si="58"/>
        <v>0</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row>
    <row r="368" spans="1:33" x14ac:dyDescent="0.2">
      <c r="B368" s="48"/>
      <c r="C368" s="57" t="s">
        <v>242</v>
      </c>
      <c r="D368" s="44"/>
      <c r="E368" s="86" t="s">
        <v>1035</v>
      </c>
      <c r="F368" s="22" t="str">
        <f>IF(H369=1,IF(H367=H$2,H367,""),"")</f>
        <v/>
      </c>
      <c r="G368" s="26"/>
      <c r="H368" s="21" t="str">
        <f t="shared" ref="H368" si="67">IF(E$378="comprobar",COUNTIF(D367:D371,"x"),"")</f>
        <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row>
    <row r="369" spans="1:33" x14ac:dyDescent="0.2">
      <c r="B369" s="48"/>
      <c r="C369" s="61" t="s">
        <v>243</v>
      </c>
      <c r="D369" s="44"/>
      <c r="E369" s="86" t="s">
        <v>1036</v>
      </c>
      <c r="F369" s="23" t="str">
        <f>IF(H369=-0.33,IF(H367=H$1,H367,""),"")</f>
        <v/>
      </c>
      <c r="G369" s="26"/>
      <c r="H369" s="24">
        <f t="shared" si="60"/>
        <v>0</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row>
    <row r="370" spans="1:33" x14ac:dyDescent="0.2">
      <c r="B370" s="48"/>
      <c r="C370" s="57"/>
      <c r="D370" s="44"/>
      <c r="E370" s="86" t="s">
        <v>1037</v>
      </c>
      <c r="F370" s="28"/>
      <c r="G370" s="26"/>
      <c r="H370" s="2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row>
    <row r="371" spans="1:33" x14ac:dyDescent="0.2">
      <c r="B371" s="48"/>
      <c r="C371" s="8"/>
      <c r="D371" s="44"/>
      <c r="E371" s="86" t="s">
        <v>1038</v>
      </c>
      <c r="F371" s="20"/>
      <c r="G371" s="26"/>
      <c r="H371" s="2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row>
    <row r="372" spans="1:33" s="17" customFormat="1" x14ac:dyDescent="0.2">
      <c r="A372" s="4"/>
      <c r="B372" s="49">
        <v>20</v>
      </c>
      <c r="C372" s="13" t="s">
        <v>244</v>
      </c>
      <c r="D372" s="45"/>
      <c r="E372" s="85"/>
      <c r="F372" s="30"/>
      <c r="G372" s="29"/>
      <c r="H372" s="15"/>
    </row>
    <row r="373" spans="1:33" x14ac:dyDescent="0.2">
      <c r="B373" s="52"/>
      <c r="C373" s="56" t="s">
        <v>245</v>
      </c>
      <c r="D373" s="44"/>
      <c r="E373" s="86" t="s">
        <v>1034</v>
      </c>
      <c r="F373" s="28"/>
      <c r="G373" s="26"/>
      <c r="H373" s="21" t="b">
        <f>IF(D374="x",H$2,H$1)</f>
        <v>0</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row>
    <row r="374" spans="1:33" x14ac:dyDescent="0.2">
      <c r="B374" s="48"/>
      <c r="C374" s="57" t="s">
        <v>246</v>
      </c>
      <c r="D374" s="44"/>
      <c r="E374" s="86" t="s">
        <v>1035</v>
      </c>
      <c r="F374" s="22" t="str">
        <f>IF(H375=1,IF(H373=H$2,H373,""),"")</f>
        <v/>
      </c>
      <c r="G374" s="26"/>
      <c r="H374" s="21" t="str">
        <f>IF(E$378="comprobar",COUNTIF(D373:D377,"x"),"")</f>
        <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row>
    <row r="375" spans="1:33" x14ac:dyDescent="0.2">
      <c r="B375" s="48"/>
      <c r="C375" s="57" t="s">
        <v>247</v>
      </c>
      <c r="D375" s="44"/>
      <c r="E375" s="86" t="s">
        <v>1036</v>
      </c>
      <c r="F375" s="23" t="str">
        <f>IF(H375=-0.33,IF(H373=H$1,H373,""),"")</f>
        <v/>
      </c>
      <c r="G375" s="26"/>
      <c r="H375" s="24">
        <f t="shared" ref="H375" si="68">IF(H374=1,IF(H373=H$2,1,-0.33),0)</f>
        <v>0</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row>
    <row r="376" spans="1:33" x14ac:dyDescent="0.2">
      <c r="B376" s="48"/>
      <c r="C376" s="57" t="s">
        <v>248</v>
      </c>
      <c r="D376" s="44"/>
      <c r="E376" s="86" t="s">
        <v>1037</v>
      </c>
      <c r="F376" s="28"/>
      <c r="G376" s="26"/>
      <c r="H376" s="2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row>
    <row r="377" spans="1:33" x14ac:dyDescent="0.2">
      <c r="B377" s="48"/>
      <c r="C377" s="8"/>
      <c r="D377" s="44"/>
      <c r="E377" s="86" t="s">
        <v>1038</v>
      </c>
      <c r="F377" s="20"/>
      <c r="G377" s="19"/>
      <c r="H377" s="2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row>
    <row r="378" spans="1:33" x14ac:dyDescent="0.2">
      <c r="B378" s="52"/>
      <c r="C378" s="47"/>
      <c r="D378" s="73"/>
      <c r="E378" s="87"/>
      <c r="F378" s="20"/>
      <c r="G378" s="19"/>
      <c r="H378" s="19"/>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row>
    <row r="379" spans="1:33" x14ac:dyDescent="0.2">
      <c r="B379" s="52"/>
      <c r="C379" s="18"/>
      <c r="D379" s="73"/>
      <c r="E379" s="93"/>
      <c r="F379" s="31" t="s">
        <v>93</v>
      </c>
      <c r="G379" s="19" t="s">
        <v>91</v>
      </c>
      <c r="H379" s="19" t="s">
        <v>92</v>
      </c>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row>
    <row r="380" spans="1:33" ht="20" x14ac:dyDescent="0.2">
      <c r="B380" s="52"/>
      <c r="C380" s="18"/>
      <c r="D380" s="69"/>
      <c r="E380" s="84"/>
      <c r="F380" s="32" t="str">
        <f>IF(E378="comprobar",H315+H309+H303+H297+H291+H285+H279+H273+H267+H261+H321+H327+H333+H339+H345+H351+H357+H363+H369+H375,"")</f>
        <v/>
      </c>
      <c r="G380" s="19">
        <f>B$372/2</f>
        <v>10</v>
      </c>
      <c r="H380" s="19"/>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row>
    <row r="381" spans="1:33" ht="17" thickBot="1" x14ac:dyDescent="0.25">
      <c r="B381" s="53"/>
      <c r="C381" s="33"/>
      <c r="D381" s="34"/>
      <c r="E381" s="88"/>
      <c r="F381" s="35" t="str">
        <f>IF(F380&gt;G380,G379,H379)</f>
        <v>APROBADO</v>
      </c>
      <c r="G381" s="19"/>
      <c r="H381" s="19"/>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row>
    <row r="382" spans="1:33" ht="29" x14ac:dyDescent="0.35">
      <c r="B382" s="54" t="s">
        <v>0</v>
      </c>
      <c r="C382" s="67" t="s">
        <v>249</v>
      </c>
      <c r="D382" s="67"/>
      <c r="E382" s="67"/>
      <c r="F382" s="68"/>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row>
    <row r="383" spans="1:33" s="17" customFormat="1" x14ac:dyDescent="0.2">
      <c r="A383" s="4"/>
      <c r="B383" s="49">
        <v>1</v>
      </c>
      <c r="C383" s="13" t="s">
        <v>250</v>
      </c>
      <c r="D383" s="45"/>
      <c r="E383" s="85"/>
      <c r="F383" s="30"/>
      <c r="G383" s="15"/>
      <c r="H383" s="15"/>
    </row>
    <row r="384" spans="1:33" x14ac:dyDescent="0.2">
      <c r="B384" s="52"/>
      <c r="C384" s="56" t="s">
        <v>251</v>
      </c>
      <c r="D384" s="44"/>
      <c r="E384" s="86" t="s">
        <v>1034</v>
      </c>
      <c r="F384" s="28"/>
      <c r="G384" s="19"/>
      <c r="H384" s="21" t="b">
        <f>IF(D386="x",H$2,H$1)</f>
        <v>0</v>
      </c>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row>
    <row r="385" spans="1:33" x14ac:dyDescent="0.2">
      <c r="B385" s="48"/>
      <c r="C385" s="57" t="s">
        <v>252</v>
      </c>
      <c r="D385" s="44"/>
      <c r="E385" s="86" t="s">
        <v>1035</v>
      </c>
      <c r="F385" s="22" t="str">
        <f>IF(H386=1,IF(H384=H$2,H384,""),"")</f>
        <v/>
      </c>
      <c r="G385" s="19"/>
      <c r="H385" s="21" t="str">
        <f>IF(E503="comprobar",COUNTIF(D384:D388,"x"),"")</f>
        <v/>
      </c>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row>
    <row r="386" spans="1:33" x14ac:dyDescent="0.2">
      <c r="B386" s="48"/>
      <c r="C386" s="57" t="s">
        <v>253</v>
      </c>
      <c r="D386" s="44"/>
      <c r="E386" s="86" t="s">
        <v>1036</v>
      </c>
      <c r="F386" s="23" t="str">
        <f>IF(H386=-0.33,IF(H384=H$1,H384,""),"")</f>
        <v/>
      </c>
      <c r="G386" s="19"/>
      <c r="H386" s="24">
        <f>IF(H385=1,IF(H384=H$2,1,-0.33),0)</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row>
    <row r="387" spans="1:33" x14ac:dyDescent="0.2">
      <c r="B387" s="48"/>
      <c r="C387" s="57"/>
      <c r="D387" s="44"/>
      <c r="E387" s="86" t="s">
        <v>1037</v>
      </c>
      <c r="F387" s="28"/>
      <c r="G387" s="19"/>
      <c r="H387" s="2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row>
    <row r="388" spans="1:33" x14ac:dyDescent="0.2">
      <c r="B388" s="48"/>
      <c r="C388" s="8"/>
      <c r="D388" s="44"/>
      <c r="E388" s="86" t="s">
        <v>1038</v>
      </c>
      <c r="F388" s="20"/>
      <c r="G388" s="19"/>
      <c r="H388" s="2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row>
    <row r="389" spans="1:33" s="17" customFormat="1" x14ac:dyDescent="0.2">
      <c r="A389" s="4"/>
      <c r="B389" s="49">
        <v>2</v>
      </c>
      <c r="C389" s="13" t="s">
        <v>254</v>
      </c>
      <c r="D389" s="45"/>
      <c r="E389" s="85"/>
      <c r="F389" s="30"/>
      <c r="G389" s="15"/>
      <c r="H389" s="15"/>
    </row>
    <row r="390" spans="1:33" x14ac:dyDescent="0.2">
      <c r="B390" s="52"/>
      <c r="C390" s="56" t="s">
        <v>255</v>
      </c>
      <c r="D390" s="44"/>
      <c r="E390" s="86" t="s">
        <v>1034</v>
      </c>
      <c r="F390" s="28"/>
      <c r="G390" s="19"/>
      <c r="H390" s="21" t="b">
        <f>IF(D391="x",H$2,H$1)</f>
        <v>0</v>
      </c>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row>
    <row r="391" spans="1:33" x14ac:dyDescent="0.2">
      <c r="B391" s="48"/>
      <c r="C391" s="57" t="s">
        <v>256</v>
      </c>
      <c r="D391" s="44"/>
      <c r="E391" s="86" t="s">
        <v>1035</v>
      </c>
      <c r="F391" s="22" t="str">
        <f>IF(H392=1,IF(H390=H$2,H390,""),"")</f>
        <v/>
      </c>
      <c r="G391" s="19"/>
      <c r="H391" s="21" t="str">
        <f t="shared" ref="H391" si="69">IF(E$503="comprobar",COUNTIF(D390:D394,"x"),"")</f>
        <v/>
      </c>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row>
    <row r="392" spans="1:33" x14ac:dyDescent="0.2">
      <c r="B392" s="48"/>
      <c r="C392" s="57" t="s">
        <v>257</v>
      </c>
      <c r="D392" s="44"/>
      <c r="E392" s="86" t="s">
        <v>1036</v>
      </c>
      <c r="F392" s="23" t="str">
        <f>IF(H392=-0.33,IF(H390=H$1,H390,""),"")</f>
        <v/>
      </c>
      <c r="G392" s="19"/>
      <c r="H392" s="24">
        <f t="shared" ref="H392" si="70">IF(H391=1,IF(H390=H$2,1,-0.33),0)</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row>
    <row r="393" spans="1:33" x14ac:dyDescent="0.2">
      <c r="B393" s="48"/>
      <c r="C393" s="57" t="s">
        <v>258</v>
      </c>
      <c r="D393" s="44"/>
      <c r="E393" s="86" t="s">
        <v>1037</v>
      </c>
      <c r="F393" s="28"/>
      <c r="G393" s="19"/>
      <c r="H393" s="2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row>
    <row r="394" spans="1:33" x14ac:dyDescent="0.2">
      <c r="B394" s="48"/>
      <c r="C394" s="8"/>
      <c r="D394" s="44"/>
      <c r="E394" s="86" t="s">
        <v>1038</v>
      </c>
      <c r="F394" s="20"/>
      <c r="G394" s="19"/>
      <c r="H394" s="2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row>
    <row r="395" spans="1:33" s="17" customFormat="1" x14ac:dyDescent="0.2">
      <c r="A395" s="4"/>
      <c r="B395" s="49">
        <v>3</v>
      </c>
      <c r="C395" s="13" t="s">
        <v>259</v>
      </c>
      <c r="D395" s="45"/>
      <c r="E395" s="85"/>
      <c r="F395" s="30"/>
      <c r="G395" s="15"/>
      <c r="H395" s="15"/>
    </row>
    <row r="396" spans="1:33" x14ac:dyDescent="0.2">
      <c r="B396" s="52"/>
      <c r="C396" s="116">
        <v>0.25</v>
      </c>
      <c r="D396" s="44"/>
      <c r="E396" s="86" t="s">
        <v>1034</v>
      </c>
      <c r="F396" s="28"/>
      <c r="G396" s="19"/>
      <c r="H396" s="21" t="b">
        <f>IF(D397="x",H$2,H$1)</f>
        <v>0</v>
      </c>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row>
    <row r="397" spans="1:33" x14ac:dyDescent="0.2">
      <c r="B397" s="48"/>
      <c r="C397" s="117">
        <v>0.3</v>
      </c>
      <c r="D397" s="44"/>
      <c r="E397" s="86" t="s">
        <v>1035</v>
      </c>
      <c r="F397" s="22" t="str">
        <f>IF(H398=1,IF(H396=H$2,H396,""),"")</f>
        <v/>
      </c>
      <c r="G397" s="19"/>
      <c r="H397" s="21" t="str">
        <f t="shared" ref="H397" si="71">IF(E$503="comprobar",COUNTIF(D396:D400,"x"),"")</f>
        <v/>
      </c>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row>
    <row r="398" spans="1:33" x14ac:dyDescent="0.2">
      <c r="B398" s="48"/>
      <c r="C398" s="117">
        <v>0.4</v>
      </c>
      <c r="D398" s="44"/>
      <c r="E398" s="86" t="s">
        <v>1036</v>
      </c>
      <c r="F398" s="23" t="str">
        <f>IF(H398=-0.33,IF(H396=H$1,H396,""),"")</f>
        <v/>
      </c>
      <c r="G398" s="19"/>
      <c r="H398" s="24">
        <f t="shared" ref="H398" si="72">IF(H397=1,IF(H396=H$2,1,-0.33),0)</f>
        <v>0</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row>
    <row r="399" spans="1:33" x14ac:dyDescent="0.2">
      <c r="B399" s="48"/>
      <c r="C399" s="57"/>
      <c r="D399" s="44"/>
      <c r="E399" s="86" t="s">
        <v>1037</v>
      </c>
      <c r="F399" s="28"/>
      <c r="G399" s="19"/>
      <c r="H399" s="2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row>
    <row r="400" spans="1:33" x14ac:dyDescent="0.2">
      <c r="B400" s="48"/>
      <c r="C400" s="8"/>
      <c r="D400" s="44"/>
      <c r="E400" s="86" t="s">
        <v>1038</v>
      </c>
      <c r="F400" s="20"/>
      <c r="G400" s="19"/>
      <c r="H400" s="2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row>
    <row r="401" spans="1:33" s="17" customFormat="1" x14ac:dyDescent="0.2">
      <c r="A401" s="4"/>
      <c r="B401" s="49">
        <v>4</v>
      </c>
      <c r="C401" s="13" t="s">
        <v>260</v>
      </c>
      <c r="D401" s="45"/>
      <c r="E401" s="85"/>
      <c r="F401" s="30"/>
      <c r="G401" s="15"/>
      <c r="H401" s="15"/>
    </row>
    <row r="402" spans="1:33" x14ac:dyDescent="0.2">
      <c r="B402" s="52"/>
      <c r="C402" s="56" t="s">
        <v>261</v>
      </c>
      <c r="D402" s="44"/>
      <c r="E402" s="86" t="s">
        <v>1034</v>
      </c>
      <c r="F402" s="28"/>
      <c r="G402" s="19"/>
      <c r="H402" s="21" t="b">
        <f>IF(D403="x",H$2,H$1)</f>
        <v>0</v>
      </c>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row>
    <row r="403" spans="1:33" x14ac:dyDescent="0.2">
      <c r="B403" s="48"/>
      <c r="C403" s="57" t="s">
        <v>262</v>
      </c>
      <c r="D403" s="44"/>
      <c r="E403" s="86" t="s">
        <v>1035</v>
      </c>
      <c r="F403" s="22" t="str">
        <f>IF(H404=1,IF(H402=H$2,H402,""),"")</f>
        <v/>
      </c>
      <c r="G403" s="19"/>
      <c r="H403" s="21" t="str">
        <f t="shared" ref="H403" si="73">IF(E$503="comprobar",COUNTIF(D402:D406,"x"),"")</f>
        <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row>
    <row r="404" spans="1:33" x14ac:dyDescent="0.2">
      <c r="B404" s="48"/>
      <c r="C404" s="57" t="s">
        <v>263</v>
      </c>
      <c r="D404" s="44"/>
      <c r="E404" s="86" t="s">
        <v>1036</v>
      </c>
      <c r="F404" s="23" t="str">
        <f>IF(H404=-0.33,IF(H402=H$1,H402,""),"")</f>
        <v/>
      </c>
      <c r="G404" s="19"/>
      <c r="H404" s="24">
        <f t="shared" ref="H404" si="74">IF(H403=1,IF(H402=H$2,1,-0.33),0)</f>
        <v>0</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row>
    <row r="405" spans="1:33" x14ac:dyDescent="0.2">
      <c r="B405" s="48"/>
      <c r="C405" s="57"/>
      <c r="D405" s="44"/>
      <c r="E405" s="86" t="s">
        <v>1037</v>
      </c>
      <c r="F405" s="28"/>
      <c r="G405" s="19"/>
      <c r="H405" s="2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row>
    <row r="406" spans="1:33" x14ac:dyDescent="0.2">
      <c r="B406" s="48"/>
      <c r="C406" s="8"/>
      <c r="D406" s="44"/>
      <c r="E406" s="86" t="s">
        <v>1038</v>
      </c>
      <c r="F406" s="20"/>
      <c r="G406" s="19"/>
      <c r="H406" s="2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row>
    <row r="407" spans="1:33" s="17" customFormat="1" x14ac:dyDescent="0.2">
      <c r="A407" s="4"/>
      <c r="B407" s="49">
        <v>5</v>
      </c>
      <c r="C407" s="13" t="s">
        <v>264</v>
      </c>
      <c r="D407" s="45"/>
      <c r="E407" s="85"/>
      <c r="F407" s="30"/>
      <c r="G407" s="15"/>
      <c r="H407" s="15"/>
    </row>
    <row r="408" spans="1:33" x14ac:dyDescent="0.2">
      <c r="B408" s="52"/>
      <c r="C408" s="56" t="s">
        <v>265</v>
      </c>
      <c r="D408" s="44"/>
      <c r="E408" s="86" t="s">
        <v>1034</v>
      </c>
      <c r="F408" s="28"/>
      <c r="G408" s="19"/>
      <c r="H408" s="21" t="b">
        <f t="shared" ref="H408" si="75">IF(D410="x",H$2,H$1)</f>
        <v>0</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row>
    <row r="409" spans="1:33" x14ac:dyDescent="0.2">
      <c r="B409" s="48"/>
      <c r="C409" s="57" t="s">
        <v>266</v>
      </c>
      <c r="D409" s="44"/>
      <c r="E409" s="86" t="s">
        <v>1035</v>
      </c>
      <c r="F409" s="22" t="str">
        <f>IF(H410=1,IF(H408=H$2,H408,""),"")</f>
        <v/>
      </c>
      <c r="G409" s="19"/>
      <c r="H409" s="21" t="str">
        <f t="shared" ref="H409" si="76">IF(E$503="comprobar",COUNTIF(D408:D412,"x"),"")</f>
        <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row>
    <row r="410" spans="1:33" x14ac:dyDescent="0.2">
      <c r="B410" s="48"/>
      <c r="C410" s="57" t="s">
        <v>267</v>
      </c>
      <c r="D410" s="44"/>
      <c r="E410" s="86" t="s">
        <v>1036</v>
      </c>
      <c r="F410" s="23" t="str">
        <f>IF(H410=-0.33,IF(H408=H$1,H408,""),"")</f>
        <v/>
      </c>
      <c r="G410" s="19"/>
      <c r="H410" s="24">
        <f t="shared" ref="H410" si="77">IF(H409=1,IF(H408=H$2,1,-0.33),0)</f>
        <v>0</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row>
    <row r="411" spans="1:33" x14ac:dyDescent="0.2">
      <c r="B411" s="48"/>
      <c r="C411" s="57"/>
      <c r="D411" s="44"/>
      <c r="E411" s="86" t="s">
        <v>1037</v>
      </c>
      <c r="F411" s="28"/>
      <c r="G411" s="19"/>
      <c r="H411" s="2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row>
    <row r="412" spans="1:33" x14ac:dyDescent="0.2">
      <c r="B412" s="48"/>
      <c r="C412" s="8"/>
      <c r="D412" s="44"/>
      <c r="E412" s="86" t="s">
        <v>1038</v>
      </c>
      <c r="F412" s="20"/>
      <c r="G412" s="19"/>
      <c r="H412" s="2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row>
    <row r="413" spans="1:33" s="17" customFormat="1" x14ac:dyDescent="0.2">
      <c r="A413" s="4"/>
      <c r="B413" s="49">
        <v>6</v>
      </c>
      <c r="C413" s="13" t="s">
        <v>268</v>
      </c>
      <c r="D413" s="45"/>
      <c r="E413" s="85"/>
      <c r="F413" s="30"/>
      <c r="G413" s="15"/>
      <c r="H413" s="15"/>
    </row>
    <row r="414" spans="1:33" x14ac:dyDescent="0.2">
      <c r="B414" s="52"/>
      <c r="C414" s="56" t="s">
        <v>269</v>
      </c>
      <c r="D414" s="44"/>
      <c r="E414" s="86" t="s">
        <v>1034</v>
      </c>
      <c r="F414" s="28"/>
      <c r="G414" s="19"/>
      <c r="H414" s="21" t="b">
        <f>IF(D414="x",H$2,H$1)</f>
        <v>0</v>
      </c>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row>
    <row r="415" spans="1:33" x14ac:dyDescent="0.2">
      <c r="B415" s="48"/>
      <c r="C415" s="57" t="s">
        <v>270</v>
      </c>
      <c r="D415" s="44"/>
      <c r="E415" s="86" t="s">
        <v>1035</v>
      </c>
      <c r="F415" s="22" t="str">
        <f>IF(H416=1,IF(H414=H$2,H414,""),"")</f>
        <v/>
      </c>
      <c r="G415" s="19"/>
      <c r="H415" s="21" t="str">
        <f t="shared" ref="H415" si="78">IF(E$503="comprobar",COUNTIF(D414:D418,"x"),"")</f>
        <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row>
    <row r="416" spans="1:33" x14ac:dyDescent="0.2">
      <c r="B416" s="48"/>
      <c r="C416" s="57" t="s">
        <v>271</v>
      </c>
      <c r="D416" s="44"/>
      <c r="E416" s="86" t="s">
        <v>1036</v>
      </c>
      <c r="F416" s="23" t="str">
        <f>IF(H416=-0.33,IF(H414=H$1,H414,""),"")</f>
        <v/>
      </c>
      <c r="G416" s="19"/>
      <c r="H416" s="24">
        <f t="shared" ref="H416" si="79">IF(H415=1,IF(H414=H$2,1,-0.33),0)</f>
        <v>0</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row>
    <row r="417" spans="1:33" x14ac:dyDescent="0.2">
      <c r="B417" s="48"/>
      <c r="C417" s="57"/>
      <c r="D417" s="44"/>
      <c r="E417" s="86" t="s">
        <v>1037</v>
      </c>
      <c r="F417" s="28"/>
      <c r="G417" s="19"/>
      <c r="H417" s="2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row>
    <row r="418" spans="1:33" x14ac:dyDescent="0.2">
      <c r="B418" s="48"/>
      <c r="C418" s="8"/>
      <c r="D418" s="44"/>
      <c r="E418" s="86" t="s">
        <v>1038</v>
      </c>
      <c r="F418" s="20"/>
      <c r="G418" s="19"/>
      <c r="H418" s="2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row>
    <row r="419" spans="1:33" s="17" customFormat="1" x14ac:dyDescent="0.2">
      <c r="A419" s="4"/>
      <c r="B419" s="49">
        <v>7</v>
      </c>
      <c r="C419" s="13" t="s">
        <v>272</v>
      </c>
      <c r="D419" s="45"/>
      <c r="E419" s="85"/>
      <c r="F419" s="30"/>
      <c r="G419" s="15"/>
      <c r="H419" s="15"/>
    </row>
    <row r="420" spans="1:33" x14ac:dyDescent="0.2">
      <c r="B420" s="52"/>
      <c r="C420" s="56" t="s">
        <v>273</v>
      </c>
      <c r="D420" s="44"/>
      <c r="E420" s="86" t="s">
        <v>1034</v>
      </c>
      <c r="F420" s="28"/>
      <c r="G420" s="19"/>
      <c r="H420" s="21" t="b">
        <f>IF(D420="x",H$2,H$1)</f>
        <v>0</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row>
    <row r="421" spans="1:33" x14ac:dyDescent="0.2">
      <c r="B421" s="48"/>
      <c r="C421" s="57" t="s">
        <v>274</v>
      </c>
      <c r="D421" s="44"/>
      <c r="E421" s="86" t="s">
        <v>1035</v>
      </c>
      <c r="F421" s="22" t="str">
        <f>IF(H422=1,IF(H420=H$2,H420,""),"")</f>
        <v/>
      </c>
      <c r="G421" s="19"/>
      <c r="H421" s="21" t="str">
        <f t="shared" ref="H421" si="80">IF(E$503="comprobar",COUNTIF(D420:D424,"x"),"")</f>
        <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row>
    <row r="422" spans="1:33" x14ac:dyDescent="0.2">
      <c r="B422" s="48"/>
      <c r="C422" s="57" t="s">
        <v>275</v>
      </c>
      <c r="D422" s="44"/>
      <c r="E422" s="86" t="s">
        <v>1036</v>
      </c>
      <c r="F422" s="23" t="str">
        <f>IF(H422=-0.33,IF(H420=H$1,H420,""),"")</f>
        <v/>
      </c>
      <c r="G422" s="19"/>
      <c r="H422" s="24">
        <f t="shared" ref="H422" si="81">IF(H421=1,IF(H420=H$2,1,-0.33),0)</f>
        <v>0</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row>
    <row r="423" spans="1:33" x14ac:dyDescent="0.2">
      <c r="B423" s="48"/>
      <c r="C423" s="57"/>
      <c r="D423" s="44"/>
      <c r="E423" s="86" t="s">
        <v>1037</v>
      </c>
      <c r="F423" s="28"/>
      <c r="G423" s="19"/>
      <c r="H423" s="2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row>
    <row r="424" spans="1:33" x14ac:dyDescent="0.2">
      <c r="B424" s="48"/>
      <c r="C424" s="8"/>
      <c r="D424" s="44"/>
      <c r="E424" s="86" t="s">
        <v>1038</v>
      </c>
      <c r="F424" s="20"/>
      <c r="G424" s="19"/>
      <c r="H424" s="2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row>
    <row r="425" spans="1:33" s="17" customFormat="1" x14ac:dyDescent="0.2">
      <c r="A425" s="4"/>
      <c r="B425" s="49">
        <v>8</v>
      </c>
      <c r="C425" s="13" t="s">
        <v>276</v>
      </c>
      <c r="D425" s="45"/>
      <c r="E425" s="85"/>
      <c r="F425" s="30"/>
      <c r="G425" s="15"/>
      <c r="H425" s="15"/>
    </row>
    <row r="426" spans="1:33" x14ac:dyDescent="0.2">
      <c r="B426" s="52"/>
      <c r="C426" s="56" t="s">
        <v>277</v>
      </c>
      <c r="D426" s="44"/>
      <c r="E426" s="86" t="s">
        <v>1034</v>
      </c>
      <c r="F426" s="28"/>
      <c r="G426" s="19"/>
      <c r="H426" s="21" t="b">
        <f>IF(D429="x",H$2,H$1)</f>
        <v>0</v>
      </c>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row>
    <row r="427" spans="1:33" x14ac:dyDescent="0.2">
      <c r="B427" s="48"/>
      <c r="C427" s="57" t="s">
        <v>278</v>
      </c>
      <c r="D427" s="44"/>
      <c r="E427" s="86" t="s">
        <v>1035</v>
      </c>
      <c r="F427" s="22" t="str">
        <f>IF(H428=1,IF(H426=H$2,H426,""),"")</f>
        <v/>
      </c>
      <c r="G427" s="19"/>
      <c r="H427" s="21" t="str">
        <f t="shared" ref="H427" si="82">IF(E$503="comprobar",COUNTIF(D426:D430,"x"),"")</f>
        <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row>
    <row r="428" spans="1:33" x14ac:dyDescent="0.2">
      <c r="B428" s="48"/>
      <c r="C428" s="57" t="s">
        <v>279</v>
      </c>
      <c r="D428" s="44"/>
      <c r="E428" s="86" t="s">
        <v>1036</v>
      </c>
      <c r="F428" s="23" t="str">
        <f>IF(H428=-0.33,IF(H426=H$1,H426,""),"")</f>
        <v/>
      </c>
      <c r="G428" s="19"/>
      <c r="H428" s="24">
        <f t="shared" ref="H428" si="83">IF(H427=1,IF(H426=H$2,1,-0.33),0)</f>
        <v>0</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row>
    <row r="429" spans="1:33" x14ac:dyDescent="0.2">
      <c r="B429" s="48"/>
      <c r="C429" s="57" t="s">
        <v>280</v>
      </c>
      <c r="D429" s="44"/>
      <c r="E429" s="86" t="s">
        <v>1037</v>
      </c>
      <c r="F429" s="28"/>
      <c r="G429" s="19"/>
      <c r="H429" s="2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row>
    <row r="430" spans="1:33" x14ac:dyDescent="0.2">
      <c r="B430" s="48"/>
      <c r="C430" s="8"/>
      <c r="D430" s="44"/>
      <c r="E430" s="86" t="s">
        <v>1038</v>
      </c>
      <c r="F430" s="20"/>
      <c r="G430" s="19"/>
      <c r="H430" s="2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row>
    <row r="431" spans="1:33" s="17" customFormat="1" x14ac:dyDescent="0.2">
      <c r="A431" s="4"/>
      <c r="B431" s="49">
        <v>9</v>
      </c>
      <c r="C431" s="13" t="s">
        <v>281</v>
      </c>
      <c r="D431" s="45"/>
      <c r="E431" s="85"/>
      <c r="F431" s="30"/>
      <c r="G431" s="15"/>
      <c r="H431" s="15"/>
    </row>
    <row r="432" spans="1:33" x14ac:dyDescent="0.2">
      <c r="B432" s="52"/>
      <c r="C432" s="56" t="s">
        <v>282</v>
      </c>
      <c r="D432" s="44"/>
      <c r="E432" s="86" t="s">
        <v>1034</v>
      </c>
      <c r="F432" s="28"/>
      <c r="G432" s="19"/>
      <c r="H432" s="21" t="b">
        <f>IF(D433="x",H$2,H$1)</f>
        <v>0</v>
      </c>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row>
    <row r="433" spans="1:33" x14ac:dyDescent="0.2">
      <c r="B433" s="48"/>
      <c r="C433" s="57" t="s">
        <v>283</v>
      </c>
      <c r="D433" s="44"/>
      <c r="E433" s="86" t="s">
        <v>1035</v>
      </c>
      <c r="F433" s="22" t="str">
        <f>IF(H434=1,IF(H432=H$2,H432,""),"")</f>
        <v/>
      </c>
      <c r="G433" s="19"/>
      <c r="H433" s="21" t="str">
        <f t="shared" ref="H433" si="84">IF(E$503="comprobar",COUNTIF(D432:D436,"x"),"")</f>
        <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row>
    <row r="434" spans="1:33" x14ac:dyDescent="0.2">
      <c r="B434" s="48"/>
      <c r="C434" s="57" t="s">
        <v>284</v>
      </c>
      <c r="D434" s="44"/>
      <c r="E434" s="86" t="s">
        <v>1036</v>
      </c>
      <c r="F434" s="23" t="str">
        <f>IF(H434=-0.33,IF(H432=H$1,H432,""),"")</f>
        <v/>
      </c>
      <c r="G434" s="19"/>
      <c r="H434" s="24">
        <f t="shared" ref="H434" si="85">IF(H433=1,IF(H432=H$2,1,-0.33),0)</f>
        <v>0</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row>
    <row r="435" spans="1:33" x14ac:dyDescent="0.2">
      <c r="B435" s="48"/>
      <c r="C435" s="57" t="s">
        <v>285</v>
      </c>
      <c r="D435" s="44"/>
      <c r="E435" s="86" t="s">
        <v>1037</v>
      </c>
      <c r="F435" s="28"/>
      <c r="G435" s="19"/>
      <c r="H435" s="2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row>
    <row r="436" spans="1:33" x14ac:dyDescent="0.2">
      <c r="B436" s="48"/>
      <c r="C436" s="8"/>
      <c r="D436" s="44"/>
      <c r="E436" s="86" t="s">
        <v>1038</v>
      </c>
      <c r="F436" s="20"/>
      <c r="G436" s="19"/>
      <c r="H436" s="2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row>
    <row r="437" spans="1:33" s="17" customFormat="1" x14ac:dyDescent="0.2">
      <c r="A437" s="4"/>
      <c r="B437" s="49">
        <v>10</v>
      </c>
      <c r="C437" s="13" t="s">
        <v>286</v>
      </c>
      <c r="D437" s="45"/>
      <c r="E437" s="85"/>
      <c r="F437" s="30"/>
      <c r="G437" s="29"/>
      <c r="H437" s="15"/>
    </row>
    <row r="438" spans="1:33" x14ac:dyDescent="0.2">
      <c r="B438" s="52"/>
      <c r="C438" s="56" t="s">
        <v>287</v>
      </c>
      <c r="D438" s="44"/>
      <c r="E438" s="86" t="s">
        <v>1034</v>
      </c>
      <c r="F438" s="28"/>
      <c r="G438" s="26"/>
      <c r="H438" s="21" t="b">
        <f>IF(D439="x",H$2,H$1)</f>
        <v>0</v>
      </c>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row>
    <row r="439" spans="1:33" x14ac:dyDescent="0.2">
      <c r="B439" s="48"/>
      <c r="C439" s="57" t="s">
        <v>288</v>
      </c>
      <c r="D439" s="44"/>
      <c r="E439" s="86" t="s">
        <v>1035</v>
      </c>
      <c r="F439" s="22" t="str">
        <f>IF(H440=1,IF(H438=H$2,H438,""),"")</f>
        <v/>
      </c>
      <c r="G439" s="26"/>
      <c r="H439" s="21" t="str">
        <f t="shared" ref="H439" si="86">IF(E$503="comprobar",COUNTIF(D438:D442,"x"),"")</f>
        <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row>
    <row r="440" spans="1:33" x14ac:dyDescent="0.2">
      <c r="B440" s="48"/>
      <c r="C440" s="57" t="s">
        <v>289</v>
      </c>
      <c r="D440" s="44"/>
      <c r="E440" s="86" t="s">
        <v>1036</v>
      </c>
      <c r="F440" s="23" t="str">
        <f>IF(H440=-0.33,IF(H438=H$1,H438,""),"")</f>
        <v/>
      </c>
      <c r="G440" s="26"/>
      <c r="H440" s="24">
        <f t="shared" ref="H440" si="87">IF(H439=1,IF(H438=H$2,1,-0.33),0)</f>
        <v>0</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row>
    <row r="441" spans="1:33" x14ac:dyDescent="0.2">
      <c r="B441" s="48"/>
      <c r="C441" s="57"/>
      <c r="D441" s="44"/>
      <c r="E441" s="86" t="s">
        <v>1037</v>
      </c>
      <c r="F441" s="28"/>
      <c r="G441" s="26"/>
      <c r="H441" s="2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row>
    <row r="442" spans="1:33" x14ac:dyDescent="0.2">
      <c r="B442" s="48"/>
      <c r="C442" s="8"/>
      <c r="D442" s="44"/>
      <c r="E442" s="86" t="s">
        <v>1038</v>
      </c>
      <c r="F442" s="20"/>
      <c r="G442" s="26"/>
      <c r="H442" s="2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row>
    <row r="443" spans="1:33" s="17" customFormat="1" x14ac:dyDescent="0.2">
      <c r="A443" s="4"/>
      <c r="B443" s="49">
        <v>11</v>
      </c>
      <c r="C443" s="13" t="s">
        <v>290</v>
      </c>
      <c r="D443" s="45"/>
      <c r="E443" s="85"/>
      <c r="F443" s="30"/>
      <c r="G443" s="29"/>
      <c r="H443" s="15"/>
    </row>
    <row r="444" spans="1:33" x14ac:dyDescent="0.2">
      <c r="B444" s="52"/>
      <c r="C444" s="56" t="s">
        <v>291</v>
      </c>
      <c r="D444" s="44"/>
      <c r="E444" s="86" t="s">
        <v>1034</v>
      </c>
      <c r="F444" s="28"/>
      <c r="G444" s="26"/>
      <c r="H444" s="21" t="b">
        <f>IF(D445="x",H$2,H$1)</f>
        <v>0</v>
      </c>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row>
    <row r="445" spans="1:33" x14ac:dyDescent="0.2">
      <c r="B445" s="48"/>
      <c r="C445" s="57" t="s">
        <v>292</v>
      </c>
      <c r="D445" s="44"/>
      <c r="E445" s="86" t="s">
        <v>1035</v>
      </c>
      <c r="F445" s="22" t="str">
        <f>IF(H446=1,IF(H444=H$2,H444,""),"")</f>
        <v/>
      </c>
      <c r="G445" s="26"/>
      <c r="H445" s="21" t="str">
        <f t="shared" ref="H445" si="88">IF(E$503="comprobar",COUNTIF(D444:D448,"x"),"")</f>
        <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row>
    <row r="446" spans="1:33" x14ac:dyDescent="0.2">
      <c r="B446" s="48"/>
      <c r="C446" s="57" t="s">
        <v>293</v>
      </c>
      <c r="D446" s="44"/>
      <c r="E446" s="86" t="s">
        <v>1036</v>
      </c>
      <c r="F446" s="23" t="str">
        <f>IF(H446=-0.33,IF(H444=H$1,H444,""),"")</f>
        <v/>
      </c>
      <c r="G446" s="26"/>
      <c r="H446" s="24">
        <f t="shared" ref="H446" si="89">IF(H445=1,IF(H444=H$2,1,-0.33),0)</f>
        <v>0</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row>
    <row r="447" spans="1:33" x14ac:dyDescent="0.2">
      <c r="B447" s="48"/>
      <c r="C447" s="57" t="s">
        <v>294</v>
      </c>
      <c r="D447" s="44"/>
      <c r="E447" s="86" t="s">
        <v>1037</v>
      </c>
      <c r="F447" s="28"/>
      <c r="G447" s="26"/>
      <c r="H447" s="2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row>
    <row r="448" spans="1:33" x14ac:dyDescent="0.2">
      <c r="B448" s="48"/>
      <c r="C448" s="8"/>
      <c r="D448" s="44"/>
      <c r="E448" s="86" t="s">
        <v>1038</v>
      </c>
      <c r="F448" s="20"/>
      <c r="G448" s="26"/>
      <c r="H448" s="2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row>
    <row r="449" spans="1:33" s="17" customFormat="1" x14ac:dyDescent="0.2">
      <c r="A449" s="4"/>
      <c r="B449" s="49">
        <v>12</v>
      </c>
      <c r="C449" s="13" t="s">
        <v>295</v>
      </c>
      <c r="D449" s="45"/>
      <c r="E449" s="85"/>
      <c r="F449" s="30"/>
      <c r="G449" s="29"/>
      <c r="H449" s="15"/>
    </row>
    <row r="450" spans="1:33" x14ac:dyDescent="0.2">
      <c r="B450" s="52"/>
      <c r="C450" s="56" t="s">
        <v>296</v>
      </c>
      <c r="D450" s="44"/>
      <c r="E450" s="86" t="s">
        <v>1034</v>
      </c>
      <c r="F450" s="28"/>
      <c r="G450" s="26"/>
      <c r="H450" s="21" t="b">
        <f>IF(D450="x",H$2,H$1)</f>
        <v>0</v>
      </c>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row>
    <row r="451" spans="1:33" s="40" customFormat="1" x14ac:dyDescent="0.2">
      <c r="A451" s="4"/>
      <c r="B451" s="48"/>
      <c r="C451" s="57" t="s">
        <v>297</v>
      </c>
      <c r="D451" s="44"/>
      <c r="E451" s="86" t="s">
        <v>1035</v>
      </c>
      <c r="F451" s="22" t="str">
        <f>IF(H452=1,IF(H450=H$2,H450,""),"")</f>
        <v/>
      </c>
      <c r="G451" s="26"/>
      <c r="H451" s="21" t="str">
        <f t="shared" ref="H451" si="90">IF(E$503="comprobar",COUNTIF(D450:D454,"x"),"")</f>
        <v/>
      </c>
      <c r="I451" s="80"/>
      <c r="J451" s="80"/>
      <c r="K451" s="80"/>
      <c r="L451" s="80"/>
      <c r="M451" s="80"/>
      <c r="N451" s="80"/>
      <c r="O451" s="80"/>
      <c r="P451" s="80"/>
      <c r="Q451" s="80"/>
      <c r="R451" s="80"/>
      <c r="S451" s="80"/>
      <c r="T451" s="80"/>
      <c r="U451" s="80"/>
      <c r="V451" s="80"/>
      <c r="W451" s="80"/>
      <c r="X451" s="80"/>
      <c r="Y451" s="80"/>
      <c r="Z451" s="80"/>
      <c r="AA451" s="80"/>
      <c r="AB451" s="80"/>
      <c r="AC451" s="80"/>
      <c r="AD451" s="80"/>
      <c r="AE451" s="80"/>
      <c r="AF451" s="80"/>
      <c r="AG451" s="80"/>
    </row>
    <row r="452" spans="1:33" x14ac:dyDescent="0.2">
      <c r="B452" s="48"/>
      <c r="C452" s="57" t="s">
        <v>298</v>
      </c>
      <c r="D452" s="44"/>
      <c r="E452" s="86" t="s">
        <v>1036</v>
      </c>
      <c r="F452" s="23" t="str">
        <f>IF(H452=-0.33,IF(H450=H$1,H450,""),"")</f>
        <v/>
      </c>
      <c r="G452" s="26"/>
      <c r="H452" s="24">
        <f t="shared" ref="H452" si="91">IF(H451=1,IF(H450=H$2,1,-0.33),0)</f>
        <v>0</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row>
    <row r="453" spans="1:33" x14ac:dyDescent="0.2">
      <c r="B453" s="48"/>
      <c r="C453" s="57"/>
      <c r="D453" s="44"/>
      <c r="E453" s="86" t="s">
        <v>1037</v>
      </c>
      <c r="F453" s="28"/>
      <c r="G453" s="26"/>
      <c r="H453" s="2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row>
    <row r="454" spans="1:33" x14ac:dyDescent="0.2">
      <c r="B454" s="48"/>
      <c r="C454" s="8"/>
      <c r="D454" s="44"/>
      <c r="E454" s="86" t="s">
        <v>1038</v>
      </c>
      <c r="F454" s="20"/>
      <c r="G454" s="26"/>
      <c r="H454" s="2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row>
    <row r="455" spans="1:33" s="17" customFormat="1" x14ac:dyDescent="0.2">
      <c r="A455" s="4"/>
      <c r="B455" s="49">
        <v>13</v>
      </c>
      <c r="C455" s="13" t="s">
        <v>299</v>
      </c>
      <c r="D455" s="45"/>
      <c r="E455" s="85"/>
      <c r="F455" s="30"/>
      <c r="G455" s="15"/>
      <c r="H455" s="15"/>
    </row>
    <row r="456" spans="1:33" x14ac:dyDescent="0.2">
      <c r="B456" s="52"/>
      <c r="C456" s="56" t="s">
        <v>300</v>
      </c>
      <c r="D456" s="44"/>
      <c r="E456" s="86" t="s">
        <v>1034</v>
      </c>
      <c r="F456" s="28"/>
      <c r="G456" s="19"/>
      <c r="H456" s="21" t="b">
        <f>IF(D457="x",H$2,H$1)</f>
        <v>0</v>
      </c>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row>
    <row r="457" spans="1:33" x14ac:dyDescent="0.2">
      <c r="B457" s="48"/>
      <c r="C457" s="57" t="s">
        <v>301</v>
      </c>
      <c r="D457" s="44"/>
      <c r="E457" s="86" t="s">
        <v>1035</v>
      </c>
      <c r="F457" s="22" t="str">
        <f>IF(H458=1,IF(H456=H$2,H456,""),"")</f>
        <v/>
      </c>
      <c r="G457" s="19"/>
      <c r="H457" s="21" t="str">
        <f t="shared" ref="H457" si="92">IF(E$503="comprobar",COUNTIF(D456:D460,"x"),"")</f>
        <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row>
    <row r="458" spans="1:33" x14ac:dyDescent="0.2">
      <c r="B458" s="48"/>
      <c r="C458" s="57" t="s">
        <v>302</v>
      </c>
      <c r="D458" s="44"/>
      <c r="E458" s="86" t="s">
        <v>1036</v>
      </c>
      <c r="F458" s="23" t="str">
        <f>IF(H458=-0.33,IF(H456=H$1,H456,""),"")</f>
        <v/>
      </c>
      <c r="G458" s="19"/>
      <c r="H458" s="24">
        <f t="shared" ref="H458" si="93">IF(H457=1,IF(H456=H$2,1,-0.33),0)</f>
        <v>0</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row>
    <row r="459" spans="1:33" x14ac:dyDescent="0.2">
      <c r="B459" s="48"/>
      <c r="C459" s="57" t="s">
        <v>303</v>
      </c>
      <c r="D459" s="44"/>
      <c r="E459" s="86" t="s">
        <v>1037</v>
      </c>
      <c r="F459" s="28"/>
      <c r="G459" s="19"/>
      <c r="H459" s="2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row>
    <row r="460" spans="1:33" x14ac:dyDescent="0.2">
      <c r="B460" s="48"/>
      <c r="C460" s="8"/>
      <c r="D460" s="44"/>
      <c r="E460" s="86" t="s">
        <v>1038</v>
      </c>
      <c r="F460" s="20"/>
      <c r="G460" s="19"/>
      <c r="H460" s="2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row>
    <row r="461" spans="1:33" s="17" customFormat="1" x14ac:dyDescent="0.2">
      <c r="A461" s="4"/>
      <c r="B461" s="49">
        <v>14</v>
      </c>
      <c r="C461" s="13" t="s">
        <v>304</v>
      </c>
      <c r="D461" s="45"/>
      <c r="E461" s="85"/>
      <c r="F461" s="30"/>
      <c r="G461" s="29"/>
      <c r="H461" s="15"/>
    </row>
    <row r="462" spans="1:33" x14ac:dyDescent="0.2">
      <c r="B462" s="52"/>
      <c r="C462" s="56" t="s">
        <v>305</v>
      </c>
      <c r="D462" s="44"/>
      <c r="E462" s="86" t="s">
        <v>1034</v>
      </c>
      <c r="F462" s="28"/>
      <c r="G462" s="26"/>
      <c r="H462" s="21" t="b">
        <f t="shared" ref="H462" si="94">IF(D464="x",H$2,H$1)</f>
        <v>0</v>
      </c>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row>
    <row r="463" spans="1:33" x14ac:dyDescent="0.2">
      <c r="B463" s="48"/>
      <c r="C463" s="57" t="s">
        <v>306</v>
      </c>
      <c r="D463" s="44"/>
      <c r="E463" s="86" t="s">
        <v>1035</v>
      </c>
      <c r="F463" s="22" t="str">
        <f>IF(H464=1,IF(H462=H$2,H462,""),"")</f>
        <v/>
      </c>
      <c r="G463" s="26"/>
      <c r="H463" s="21" t="str">
        <f t="shared" ref="H463" si="95">IF(E$503="comprobar",COUNTIF(D462:D466,"x"),"")</f>
        <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row>
    <row r="464" spans="1:33" x14ac:dyDescent="0.2">
      <c r="B464" s="48"/>
      <c r="C464" s="57" t="s">
        <v>307</v>
      </c>
      <c r="D464" s="44"/>
      <c r="E464" s="86" t="s">
        <v>1036</v>
      </c>
      <c r="F464" s="23" t="str">
        <f>IF(H464=-0.33,IF(H462=H$1,H462,""),"")</f>
        <v/>
      </c>
      <c r="G464" s="26"/>
      <c r="H464" s="24">
        <f t="shared" ref="H464" si="96">IF(H463=1,IF(H462=H$2,1,-0.33),0)</f>
        <v>0</v>
      </c>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row>
    <row r="465" spans="1:33" x14ac:dyDescent="0.2">
      <c r="B465" s="48"/>
      <c r="C465" s="57" t="s">
        <v>308</v>
      </c>
      <c r="D465" s="44"/>
      <c r="E465" s="86" t="s">
        <v>1037</v>
      </c>
      <c r="F465" s="28"/>
      <c r="G465" s="26"/>
      <c r="H465" s="2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row>
    <row r="466" spans="1:33" x14ac:dyDescent="0.2">
      <c r="B466" s="48"/>
      <c r="C466" s="8"/>
      <c r="D466" s="44"/>
      <c r="E466" s="86" t="s">
        <v>1038</v>
      </c>
      <c r="F466" s="20"/>
      <c r="G466" s="26"/>
      <c r="H466" s="2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row>
    <row r="467" spans="1:33" s="17" customFormat="1" x14ac:dyDescent="0.2">
      <c r="A467" s="4"/>
      <c r="B467" s="49">
        <v>15</v>
      </c>
      <c r="C467" s="13" t="s">
        <v>309</v>
      </c>
      <c r="D467" s="45"/>
      <c r="E467" s="85"/>
      <c r="F467" s="30"/>
      <c r="G467" s="29"/>
      <c r="H467" s="15"/>
    </row>
    <row r="468" spans="1:33" x14ac:dyDescent="0.2">
      <c r="B468" s="52"/>
      <c r="C468" s="56" t="s">
        <v>310</v>
      </c>
      <c r="D468" s="44"/>
      <c r="E468" s="86" t="s">
        <v>1034</v>
      </c>
      <c r="F468" s="28"/>
      <c r="G468" s="26"/>
      <c r="H468" s="21" t="b">
        <f t="shared" ref="H468" si="97">IF(D470="x",H$2,H$1)</f>
        <v>0</v>
      </c>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row>
    <row r="469" spans="1:33" x14ac:dyDescent="0.2">
      <c r="B469" s="48"/>
      <c r="C469" s="57" t="s">
        <v>311</v>
      </c>
      <c r="D469" s="44"/>
      <c r="E469" s="86" t="s">
        <v>1035</v>
      </c>
      <c r="F469" s="22" t="str">
        <f>IF(H470=1,IF(H468=H$2,H468,""),"")</f>
        <v/>
      </c>
      <c r="G469" s="26"/>
      <c r="H469" s="21" t="str">
        <f t="shared" ref="H469" si="98">IF(E$503="comprobar",COUNTIF(D468:D472,"x"),"")</f>
        <v/>
      </c>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row>
    <row r="470" spans="1:33" x14ac:dyDescent="0.2">
      <c r="B470" s="48"/>
      <c r="C470" s="57" t="s">
        <v>312</v>
      </c>
      <c r="D470" s="44"/>
      <c r="E470" s="86" t="s">
        <v>1036</v>
      </c>
      <c r="F470" s="23" t="str">
        <f>IF(H470=-0.33,IF(H468=H$1,H468,""),"")</f>
        <v/>
      </c>
      <c r="G470" s="26"/>
      <c r="H470" s="24">
        <f t="shared" ref="H470" si="99">IF(H469=1,IF(H468=H$2,1,-0.33),0)</f>
        <v>0</v>
      </c>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row>
    <row r="471" spans="1:33" x14ac:dyDescent="0.2">
      <c r="B471" s="48"/>
      <c r="C471" s="57"/>
      <c r="D471" s="44"/>
      <c r="E471" s="86" t="s">
        <v>1037</v>
      </c>
      <c r="F471" s="28"/>
      <c r="G471" s="26"/>
      <c r="H471" s="2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row>
    <row r="472" spans="1:33" x14ac:dyDescent="0.2">
      <c r="B472" s="48"/>
      <c r="C472" s="8"/>
      <c r="D472" s="44"/>
      <c r="E472" s="86" t="s">
        <v>1038</v>
      </c>
      <c r="F472" s="20"/>
      <c r="G472" s="26"/>
      <c r="H472" s="2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row>
    <row r="473" spans="1:33" s="17" customFormat="1" x14ac:dyDescent="0.2">
      <c r="A473" s="4"/>
      <c r="B473" s="49">
        <v>16</v>
      </c>
      <c r="C473" s="13" t="s">
        <v>313</v>
      </c>
      <c r="D473" s="45"/>
      <c r="E473" s="85"/>
      <c r="F473" s="30"/>
      <c r="G473" s="29"/>
      <c r="H473" s="15"/>
    </row>
    <row r="474" spans="1:33" x14ac:dyDescent="0.2">
      <c r="B474" s="52"/>
      <c r="C474" s="56" t="s">
        <v>314</v>
      </c>
      <c r="D474" s="44"/>
      <c r="E474" s="86" t="s">
        <v>1034</v>
      </c>
      <c r="F474" s="28"/>
      <c r="G474" s="26"/>
      <c r="H474" s="21" t="b">
        <f t="shared" ref="H474" si="100">IF(D476="x",H$2,H$1)</f>
        <v>0</v>
      </c>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row>
    <row r="475" spans="1:33" x14ac:dyDescent="0.2">
      <c r="B475" s="48"/>
      <c r="C475" s="57" t="s">
        <v>315</v>
      </c>
      <c r="D475" s="44"/>
      <c r="E475" s="86" t="s">
        <v>1035</v>
      </c>
      <c r="F475" s="22" t="str">
        <f>IF(H476=1,IF(H474=H$2,H474,""),"")</f>
        <v/>
      </c>
      <c r="G475" s="26"/>
      <c r="H475" s="21" t="str">
        <f t="shared" ref="H475" si="101">IF(E$503="comprobar",COUNTIF(D474:D478,"x"),"")</f>
        <v/>
      </c>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row>
    <row r="476" spans="1:33" x14ac:dyDescent="0.2">
      <c r="B476" s="48"/>
      <c r="C476" s="57" t="s">
        <v>316</v>
      </c>
      <c r="D476" s="44"/>
      <c r="E476" s="86" t="s">
        <v>1036</v>
      </c>
      <c r="F476" s="23" t="str">
        <f>IF(H476=-0.33,IF(H474=H$1,H474,""),"")</f>
        <v/>
      </c>
      <c r="G476" s="26"/>
      <c r="H476" s="24">
        <f t="shared" ref="H476" si="102">IF(H475=1,IF(H474=H$2,1,-0.33),0)</f>
        <v>0</v>
      </c>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row>
    <row r="477" spans="1:33" x14ac:dyDescent="0.2">
      <c r="B477" s="48"/>
      <c r="C477" s="57"/>
      <c r="D477" s="44"/>
      <c r="E477" s="86" t="s">
        <v>1037</v>
      </c>
      <c r="F477" s="28"/>
      <c r="G477" s="26"/>
      <c r="H477" s="2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row>
    <row r="478" spans="1:33" x14ac:dyDescent="0.2">
      <c r="B478" s="48"/>
      <c r="C478" s="8"/>
      <c r="D478" s="44"/>
      <c r="E478" s="86" t="s">
        <v>1038</v>
      </c>
      <c r="F478" s="20"/>
      <c r="G478" s="26"/>
      <c r="H478" s="2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row>
    <row r="479" spans="1:33" s="17" customFormat="1" x14ac:dyDescent="0.2">
      <c r="A479" s="4"/>
      <c r="B479" s="49">
        <v>17</v>
      </c>
      <c r="C479" s="13" t="s">
        <v>317</v>
      </c>
      <c r="D479" s="45"/>
      <c r="E479" s="85"/>
      <c r="F479" s="30"/>
      <c r="G479" s="29"/>
      <c r="H479" s="15"/>
    </row>
    <row r="480" spans="1:33" x14ac:dyDescent="0.2">
      <c r="B480" s="52"/>
      <c r="C480" s="56" t="s">
        <v>318</v>
      </c>
      <c r="D480" s="44"/>
      <c r="E480" s="86" t="s">
        <v>1034</v>
      </c>
      <c r="F480" s="28"/>
      <c r="G480" s="26"/>
      <c r="H480" s="21" t="b">
        <f>IF(D480="x",H$2,H$1)</f>
        <v>0</v>
      </c>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row>
    <row r="481" spans="1:33" x14ac:dyDescent="0.2">
      <c r="B481" s="48"/>
      <c r="C481" s="57" t="s">
        <v>319</v>
      </c>
      <c r="D481" s="44"/>
      <c r="E481" s="86" t="s">
        <v>1035</v>
      </c>
      <c r="F481" s="22" t="str">
        <f>IF(H482=1,IF(H480=H$2,H480,""),"")</f>
        <v/>
      </c>
      <c r="G481" s="26"/>
      <c r="H481" s="21" t="str">
        <f t="shared" ref="H481" si="103">IF(E$503="comprobar",COUNTIF(D480:D484,"x"),"")</f>
        <v/>
      </c>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row>
    <row r="482" spans="1:33" x14ac:dyDescent="0.2">
      <c r="B482" s="48"/>
      <c r="C482" s="57" t="s">
        <v>320</v>
      </c>
      <c r="D482" s="44"/>
      <c r="E482" s="86" t="s">
        <v>1036</v>
      </c>
      <c r="F482" s="23" t="str">
        <f>IF(H482=-0.33,IF(H480=H$1,H480,""),"")</f>
        <v/>
      </c>
      <c r="G482" s="26"/>
      <c r="H482" s="24">
        <f t="shared" ref="H482" si="104">IF(H481=1,IF(H480=H$2,1,-0.33),0)</f>
        <v>0</v>
      </c>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row>
    <row r="483" spans="1:33" x14ac:dyDescent="0.2">
      <c r="B483" s="48"/>
      <c r="C483" s="57"/>
      <c r="D483" s="44"/>
      <c r="E483" s="86" t="s">
        <v>1037</v>
      </c>
      <c r="F483" s="28"/>
      <c r="G483" s="26"/>
      <c r="H483" s="2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row>
    <row r="484" spans="1:33" x14ac:dyDescent="0.2">
      <c r="B484" s="48"/>
      <c r="C484" s="8"/>
      <c r="D484" s="44"/>
      <c r="E484" s="86" t="s">
        <v>1038</v>
      </c>
      <c r="F484" s="20"/>
      <c r="G484" s="26"/>
      <c r="H484" s="2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row>
    <row r="485" spans="1:33" s="17" customFormat="1" x14ac:dyDescent="0.2">
      <c r="A485" s="4"/>
      <c r="B485" s="49">
        <v>18</v>
      </c>
      <c r="C485" s="13" t="s">
        <v>321</v>
      </c>
      <c r="D485" s="45"/>
      <c r="E485" s="85"/>
      <c r="F485" s="30"/>
      <c r="G485" s="29"/>
      <c r="H485" s="15"/>
    </row>
    <row r="486" spans="1:33" x14ac:dyDescent="0.2">
      <c r="B486" s="52"/>
      <c r="C486" s="56" t="s">
        <v>322</v>
      </c>
      <c r="D486" s="44"/>
      <c r="E486" s="86" t="s">
        <v>1034</v>
      </c>
      <c r="F486" s="28"/>
      <c r="G486" s="26"/>
      <c r="H486" s="21" t="b">
        <f t="shared" ref="H486" si="105">IF(D488="x",H$2,H$1)</f>
        <v>0</v>
      </c>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row>
    <row r="487" spans="1:33" x14ac:dyDescent="0.2">
      <c r="B487" s="48"/>
      <c r="C487" s="57" t="s">
        <v>312</v>
      </c>
      <c r="D487" s="44"/>
      <c r="E487" s="86" t="s">
        <v>1035</v>
      </c>
      <c r="F487" s="22" t="str">
        <f>IF(H488=1,IF(H486=H$2,H486,""),"")</f>
        <v/>
      </c>
      <c r="G487" s="26"/>
      <c r="H487" s="21" t="str">
        <f t="shared" ref="H487" si="106">IF(E$503="comprobar",COUNTIF(D486:D490,"x"),"")</f>
        <v/>
      </c>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row>
    <row r="488" spans="1:33" x14ac:dyDescent="0.2">
      <c r="B488" s="48"/>
      <c r="C488" s="57" t="s">
        <v>323</v>
      </c>
      <c r="D488" s="44"/>
      <c r="E488" s="86" t="s">
        <v>1036</v>
      </c>
      <c r="F488" s="23" t="str">
        <f>IF(H488=-0.33,IF(H486=H$1,H486,""),"")</f>
        <v/>
      </c>
      <c r="G488" s="26"/>
      <c r="H488" s="24">
        <f t="shared" ref="H488" si="107">IF(H487=1,IF(H486=H$2,1,-0.33),0)</f>
        <v>0</v>
      </c>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row>
    <row r="489" spans="1:33" x14ac:dyDescent="0.2">
      <c r="B489" s="48"/>
      <c r="C489" s="57"/>
      <c r="D489" s="44"/>
      <c r="E489" s="86" t="s">
        <v>1037</v>
      </c>
      <c r="F489" s="28"/>
      <c r="G489" s="26"/>
      <c r="H489" s="2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row>
    <row r="490" spans="1:33" x14ac:dyDescent="0.2">
      <c r="B490" s="48"/>
      <c r="C490" s="8"/>
      <c r="D490" s="44"/>
      <c r="E490" s="86" t="s">
        <v>1038</v>
      </c>
      <c r="F490" s="20"/>
      <c r="G490" s="26"/>
      <c r="H490" s="2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row>
    <row r="491" spans="1:33" s="17" customFormat="1" x14ac:dyDescent="0.2">
      <c r="A491" s="4"/>
      <c r="B491" s="49">
        <v>19</v>
      </c>
      <c r="C491" s="13" t="s">
        <v>324</v>
      </c>
      <c r="D491" s="45"/>
      <c r="E491" s="85"/>
      <c r="F491" s="30"/>
      <c r="G491" s="29"/>
      <c r="H491" s="15"/>
    </row>
    <row r="492" spans="1:33" x14ac:dyDescent="0.2">
      <c r="B492" s="52"/>
      <c r="C492" s="56" t="s">
        <v>325</v>
      </c>
      <c r="D492" s="44"/>
      <c r="E492" s="86" t="s">
        <v>1034</v>
      </c>
      <c r="F492" s="28"/>
      <c r="G492" s="26"/>
      <c r="H492" s="21" t="b">
        <f>IF(D492="x",H$2,H$1)</f>
        <v>0</v>
      </c>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row>
    <row r="493" spans="1:33" x14ac:dyDescent="0.2">
      <c r="B493" s="48"/>
      <c r="C493" s="57" t="s">
        <v>326</v>
      </c>
      <c r="D493" s="44"/>
      <c r="E493" s="86" t="s">
        <v>1035</v>
      </c>
      <c r="F493" s="22" t="str">
        <f>IF(H494=1,IF(H492=H$2,H492,""),"")</f>
        <v/>
      </c>
      <c r="G493" s="26"/>
      <c r="H493" s="21" t="str">
        <f t="shared" ref="H493" si="108">IF(E$503="comprobar",COUNTIF(D492:D496,"x"),"")</f>
        <v/>
      </c>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row>
    <row r="494" spans="1:33" x14ac:dyDescent="0.2">
      <c r="B494" s="48"/>
      <c r="C494" s="57" t="s">
        <v>327</v>
      </c>
      <c r="D494" s="44"/>
      <c r="E494" s="86" t="s">
        <v>1036</v>
      </c>
      <c r="F494" s="23" t="str">
        <f>IF(H494=-0.33,IF(H492=H$1,H492,""),"")</f>
        <v/>
      </c>
      <c r="G494" s="26"/>
      <c r="H494" s="24">
        <f t="shared" ref="H494" si="109">IF(H493=1,IF(H492=H$2,1,-0.33),0)</f>
        <v>0</v>
      </c>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row>
    <row r="495" spans="1:33" x14ac:dyDescent="0.2">
      <c r="B495" s="48"/>
      <c r="C495" s="57" t="s">
        <v>328</v>
      </c>
      <c r="D495" s="44"/>
      <c r="E495" s="86" t="s">
        <v>1037</v>
      </c>
      <c r="F495" s="28"/>
      <c r="G495" s="26"/>
      <c r="H495" s="2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row>
    <row r="496" spans="1:33" x14ac:dyDescent="0.2">
      <c r="B496" s="48"/>
      <c r="C496" s="8"/>
      <c r="D496" s="44"/>
      <c r="E496" s="86" t="s">
        <v>1038</v>
      </c>
      <c r="F496" s="20"/>
      <c r="G496" s="26"/>
      <c r="H496" s="2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row>
    <row r="497" spans="1:33" s="17" customFormat="1" x14ac:dyDescent="0.2">
      <c r="A497" s="4"/>
      <c r="B497" s="49">
        <v>20</v>
      </c>
      <c r="C497" s="13" t="s">
        <v>329</v>
      </c>
      <c r="D497" s="45"/>
      <c r="E497" s="85"/>
      <c r="F497" s="30"/>
      <c r="G497" s="29"/>
      <c r="H497" s="15"/>
    </row>
    <row r="498" spans="1:33" x14ac:dyDescent="0.2">
      <c r="B498" s="52"/>
      <c r="C498" s="56" t="s">
        <v>330</v>
      </c>
      <c r="D498" s="44"/>
      <c r="E498" s="86" t="s">
        <v>1034</v>
      </c>
      <c r="F498" s="28"/>
      <c r="G498" s="26"/>
      <c r="H498" s="21" t="b">
        <f t="shared" ref="H498" si="110">IF(D500="x",H$2,H$1)</f>
        <v>0</v>
      </c>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row>
    <row r="499" spans="1:33" x14ac:dyDescent="0.2">
      <c r="B499" s="48"/>
      <c r="C499" s="57" t="s">
        <v>328</v>
      </c>
      <c r="D499" s="44"/>
      <c r="E499" s="86" t="s">
        <v>1035</v>
      </c>
      <c r="F499" s="22" t="str">
        <f>IF(H500=1,IF(H498=H$2,H498,""),"")</f>
        <v/>
      </c>
      <c r="G499" s="26"/>
      <c r="H499" s="21" t="str">
        <f t="shared" ref="H499" si="111">IF(E$503="comprobar",COUNTIF(D498:D502,"x"),"")</f>
        <v/>
      </c>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row>
    <row r="500" spans="1:33" s="40" customFormat="1" x14ac:dyDescent="0.2">
      <c r="A500" s="4"/>
      <c r="B500" s="48"/>
      <c r="C500" s="57" t="s">
        <v>331</v>
      </c>
      <c r="D500" s="44"/>
      <c r="E500" s="86" t="s">
        <v>1036</v>
      </c>
      <c r="F500" s="23" t="str">
        <f>IF(H500=-0.33,IF(H498=H$1,H498,""),"")</f>
        <v/>
      </c>
      <c r="G500" s="26"/>
      <c r="H500" s="24">
        <f t="shared" ref="H500" si="112">IF(H499=1,IF(H498=H$2,1,-0.33),0)</f>
        <v>0</v>
      </c>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row>
    <row r="501" spans="1:33" x14ac:dyDescent="0.2">
      <c r="B501" s="48"/>
      <c r="C501" s="57" t="s">
        <v>326</v>
      </c>
      <c r="D501" s="44"/>
      <c r="E501" s="86" t="s">
        <v>1037</v>
      </c>
      <c r="F501" s="28"/>
      <c r="G501" s="26"/>
      <c r="H501" s="2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row>
    <row r="502" spans="1:33" x14ac:dyDescent="0.2">
      <c r="B502" s="48"/>
      <c r="C502" s="8"/>
      <c r="D502" s="44"/>
      <c r="E502" s="86" t="s">
        <v>1038</v>
      </c>
      <c r="F502" s="20"/>
      <c r="G502" s="19"/>
      <c r="H502" s="2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row>
    <row r="503" spans="1:33" x14ac:dyDescent="0.2">
      <c r="B503" s="52"/>
      <c r="C503" s="47"/>
      <c r="D503" s="73"/>
      <c r="E503" s="87"/>
      <c r="F503" s="20"/>
      <c r="G503" s="19"/>
      <c r="H503" s="19"/>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row>
    <row r="504" spans="1:33" x14ac:dyDescent="0.2">
      <c r="B504" s="52"/>
      <c r="C504" s="18"/>
      <c r="D504" s="73"/>
      <c r="E504" s="93"/>
      <c r="F504" s="31" t="s">
        <v>93</v>
      </c>
      <c r="G504" s="19" t="s">
        <v>91</v>
      </c>
      <c r="H504" s="19" t="s">
        <v>92</v>
      </c>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row>
    <row r="505" spans="1:33" ht="20" x14ac:dyDescent="0.2">
      <c r="B505" s="52"/>
      <c r="C505" s="18"/>
      <c r="D505" s="69"/>
      <c r="E505" s="84"/>
      <c r="F505" s="32" t="str">
        <f>IF(E503="comprobar",H440+H434+H428+H422+H416+H410+H404+H398+H392+H386+H446+H452+H458+H464+H470+H476+H482+H488+H494+H500,"")</f>
        <v/>
      </c>
      <c r="G505" s="19">
        <f>B497/2</f>
        <v>10</v>
      </c>
      <c r="H505" s="19"/>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row>
    <row r="506" spans="1:33" ht="17" thickBot="1" x14ac:dyDescent="0.25">
      <c r="B506" s="53"/>
      <c r="C506" s="33"/>
      <c r="D506" s="34"/>
      <c r="E506" s="88"/>
      <c r="F506" s="35" t="str">
        <f>IF(F505&gt;G505,G504,H504)</f>
        <v>APROBADO</v>
      </c>
      <c r="G506" s="19"/>
      <c r="H506" s="19"/>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row>
    <row r="507" spans="1:33" ht="29" x14ac:dyDescent="0.35">
      <c r="B507" s="54" t="s">
        <v>0</v>
      </c>
      <c r="C507" s="67" t="s">
        <v>332</v>
      </c>
      <c r="D507" s="67"/>
      <c r="E507" s="67"/>
      <c r="F507" s="68"/>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row>
    <row r="508" spans="1:33" s="17" customFormat="1" x14ac:dyDescent="0.2">
      <c r="A508" s="4"/>
      <c r="B508" s="49">
        <v>1</v>
      </c>
      <c r="C508" s="13" t="s">
        <v>333</v>
      </c>
      <c r="D508" s="45"/>
      <c r="E508" s="85"/>
      <c r="F508" s="30"/>
      <c r="G508" s="15"/>
      <c r="H508" s="15"/>
    </row>
    <row r="509" spans="1:33" x14ac:dyDescent="0.2">
      <c r="B509" s="52"/>
      <c r="C509" s="56" t="s">
        <v>334</v>
      </c>
      <c r="D509" s="44"/>
      <c r="E509" s="86" t="s">
        <v>1034</v>
      </c>
      <c r="F509" s="28"/>
      <c r="G509" s="19"/>
      <c r="H509" s="21" t="b">
        <f>IF(D511="x",H$2,H$1)</f>
        <v>0</v>
      </c>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row>
    <row r="510" spans="1:33" x14ac:dyDescent="0.2">
      <c r="B510" s="48"/>
      <c r="C510" s="57" t="s">
        <v>335</v>
      </c>
      <c r="D510" s="44"/>
      <c r="E510" s="86" t="s">
        <v>1035</v>
      </c>
      <c r="F510" s="22" t="str">
        <f>IF(H511=1,IF(H509=H$2,H509,""),"")</f>
        <v/>
      </c>
      <c r="G510" s="19"/>
      <c r="H510" s="21" t="str">
        <f>IF(E628="comprobar",COUNTIF(D509:D513,"x"),"")</f>
        <v/>
      </c>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row>
    <row r="511" spans="1:33" x14ac:dyDescent="0.2">
      <c r="B511" s="48"/>
      <c r="C511" s="57" t="s">
        <v>336</v>
      </c>
      <c r="D511" s="44"/>
      <c r="E511" s="86" t="s">
        <v>1036</v>
      </c>
      <c r="F511" s="23" t="str">
        <f>IF(H511=-0.33,IF(H509=H$1,H509,""),"")</f>
        <v/>
      </c>
      <c r="G511" s="19"/>
      <c r="H511" s="24">
        <f>IF(H510=1,IF(H509=H$2,1,-0.33),0)</f>
        <v>0</v>
      </c>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row>
    <row r="512" spans="1:33" x14ac:dyDescent="0.2">
      <c r="B512" s="48"/>
      <c r="C512" s="57"/>
      <c r="D512" s="44"/>
      <c r="E512" s="86" t="s">
        <v>1037</v>
      </c>
      <c r="F512" s="28"/>
      <c r="G512" s="19"/>
      <c r="H512" s="2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row>
    <row r="513" spans="1:33" x14ac:dyDescent="0.2">
      <c r="B513" s="48"/>
      <c r="C513" s="8"/>
      <c r="D513" s="44"/>
      <c r="E513" s="86" t="s">
        <v>1038</v>
      </c>
      <c r="F513" s="20"/>
      <c r="G513" s="19"/>
      <c r="H513" s="2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row>
    <row r="514" spans="1:33" s="17" customFormat="1" ht="32" x14ac:dyDescent="0.2">
      <c r="A514" s="4"/>
      <c r="B514" s="49">
        <v>2</v>
      </c>
      <c r="C514" s="70" t="s">
        <v>337</v>
      </c>
      <c r="D514" s="95"/>
      <c r="E514" s="81"/>
      <c r="F514" s="71"/>
      <c r="G514" s="15"/>
      <c r="H514" s="15"/>
    </row>
    <row r="515" spans="1:33" x14ac:dyDescent="0.2">
      <c r="B515" s="52"/>
      <c r="C515" s="56" t="s">
        <v>338</v>
      </c>
      <c r="D515" s="44"/>
      <c r="E515" s="86" t="s">
        <v>1034</v>
      </c>
      <c r="F515" s="28"/>
      <c r="G515" s="19"/>
      <c r="H515" s="21" t="b">
        <f t="shared" ref="H515" si="113">IF(D517="x",H$2,H$1)</f>
        <v>0</v>
      </c>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row>
    <row r="516" spans="1:33" x14ac:dyDescent="0.2">
      <c r="B516" s="48"/>
      <c r="C516" s="57" t="s">
        <v>339</v>
      </c>
      <c r="D516" s="44"/>
      <c r="E516" s="86" t="s">
        <v>1035</v>
      </c>
      <c r="F516" s="22" t="str">
        <f>IF(H517=1,IF(H515=H$2,H515,""),"")</f>
        <v/>
      </c>
      <c r="G516" s="19"/>
      <c r="H516" s="21" t="str">
        <f t="shared" ref="H516" si="114">IF(E$628="comprobar",COUNTIF(D515:D519,"x"),"")</f>
        <v/>
      </c>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row>
    <row r="517" spans="1:33" x14ac:dyDescent="0.2">
      <c r="B517" s="48"/>
      <c r="C517" s="57" t="s">
        <v>340</v>
      </c>
      <c r="D517" s="44"/>
      <c r="E517" s="86" t="s">
        <v>1036</v>
      </c>
      <c r="F517" s="23" t="str">
        <f>IF(H517=-0.33,IF(H515=H$1,H515,""),"")</f>
        <v/>
      </c>
      <c r="G517" s="19"/>
      <c r="H517" s="24">
        <f t="shared" ref="H517" si="115">IF(H516=1,IF(H515=H$2,1,-0.33),0)</f>
        <v>0</v>
      </c>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row>
    <row r="518" spans="1:33" x14ac:dyDescent="0.2">
      <c r="B518" s="48"/>
      <c r="C518" s="57"/>
      <c r="D518" s="44"/>
      <c r="E518" s="86" t="s">
        <v>1037</v>
      </c>
      <c r="F518" s="28"/>
      <c r="G518" s="19"/>
      <c r="H518" s="2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row>
    <row r="519" spans="1:33" x14ac:dyDescent="0.2">
      <c r="B519" s="48"/>
      <c r="C519" s="8"/>
      <c r="D519" s="44"/>
      <c r="E519" s="86" t="s">
        <v>1038</v>
      </c>
      <c r="F519" s="20"/>
      <c r="G519" s="19"/>
      <c r="H519" s="2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row>
    <row r="520" spans="1:33" s="17" customFormat="1" x14ac:dyDescent="0.2">
      <c r="A520" s="4"/>
      <c r="B520" s="49">
        <v>3</v>
      </c>
      <c r="C520" s="13" t="s">
        <v>341</v>
      </c>
      <c r="D520" s="45"/>
      <c r="E520" s="85"/>
      <c r="F520" s="30"/>
      <c r="G520" s="15"/>
      <c r="H520" s="15"/>
    </row>
    <row r="521" spans="1:33" x14ac:dyDescent="0.2">
      <c r="B521" s="52"/>
      <c r="C521" s="56" t="s">
        <v>342</v>
      </c>
      <c r="D521" s="44"/>
      <c r="E521" s="86" t="s">
        <v>1034</v>
      </c>
      <c r="F521" s="28"/>
      <c r="G521" s="19"/>
      <c r="H521" s="21" t="b">
        <f t="shared" ref="H521" si="116">IF(D523="x",H$2,H$1)</f>
        <v>0</v>
      </c>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row>
    <row r="522" spans="1:33" x14ac:dyDescent="0.2">
      <c r="B522" s="48"/>
      <c r="C522" s="57" t="s">
        <v>343</v>
      </c>
      <c r="D522" s="44"/>
      <c r="E522" s="86" t="s">
        <v>1035</v>
      </c>
      <c r="F522" s="22" t="str">
        <f>IF(H523=1,IF(H521=H$2,H521,""),"")</f>
        <v/>
      </c>
      <c r="G522" s="19"/>
      <c r="H522" s="21" t="str">
        <f t="shared" ref="H522" si="117">IF(E$628="comprobar",COUNTIF(D521:D525,"x"),"")</f>
        <v/>
      </c>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row>
    <row r="523" spans="1:33" x14ac:dyDescent="0.2">
      <c r="B523" s="48"/>
      <c r="C523" s="57" t="s">
        <v>344</v>
      </c>
      <c r="D523" s="44"/>
      <c r="E523" s="86" t="s">
        <v>1036</v>
      </c>
      <c r="F523" s="23" t="str">
        <f>IF(H523=-0.33,IF(H521=H$1,H521,""),"")</f>
        <v/>
      </c>
      <c r="G523" s="19"/>
      <c r="H523" s="24">
        <f t="shared" ref="H523" si="118">IF(H522=1,IF(H521=H$2,1,-0.33),0)</f>
        <v>0</v>
      </c>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row>
    <row r="524" spans="1:33" x14ac:dyDescent="0.2">
      <c r="B524" s="48"/>
      <c r="C524" s="57"/>
      <c r="D524" s="44"/>
      <c r="E524" s="86" t="s">
        <v>1037</v>
      </c>
      <c r="F524" s="28"/>
      <c r="G524" s="19"/>
      <c r="H524" s="2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row>
    <row r="525" spans="1:33" x14ac:dyDescent="0.2">
      <c r="B525" s="48"/>
      <c r="C525" s="8"/>
      <c r="D525" s="44"/>
      <c r="E525" s="86" t="s">
        <v>1038</v>
      </c>
      <c r="F525" s="20"/>
      <c r="G525" s="19"/>
      <c r="H525" s="2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row>
    <row r="526" spans="1:33" s="17" customFormat="1" x14ac:dyDescent="0.2">
      <c r="A526" s="4"/>
      <c r="B526" s="49">
        <v>4</v>
      </c>
      <c r="C526" s="13" t="s">
        <v>345</v>
      </c>
      <c r="D526" s="45"/>
      <c r="E526" s="85"/>
      <c r="F526" s="30"/>
      <c r="G526" s="15"/>
      <c r="H526" s="15"/>
    </row>
    <row r="527" spans="1:33" x14ac:dyDescent="0.2">
      <c r="B527" s="52"/>
      <c r="C527" s="56" t="s">
        <v>346</v>
      </c>
      <c r="D527" s="44"/>
      <c r="E527" s="86" t="s">
        <v>1034</v>
      </c>
      <c r="F527" s="28"/>
      <c r="G527" s="19"/>
      <c r="H527" s="21" t="b">
        <f>IF(D527="x",H$2,H$1)</f>
        <v>0</v>
      </c>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row>
    <row r="528" spans="1:33" x14ac:dyDescent="0.2">
      <c r="B528" s="48"/>
      <c r="C528" s="57" t="s">
        <v>347</v>
      </c>
      <c r="D528" s="44"/>
      <c r="E528" s="86" t="s">
        <v>1035</v>
      </c>
      <c r="F528" s="22" t="str">
        <f>IF(H529=1,IF(H527=H$2,H527,""),"")</f>
        <v/>
      </c>
      <c r="G528" s="19"/>
      <c r="H528" s="21" t="str">
        <f t="shared" ref="H528" si="119">IF(E$628="comprobar",COUNTIF(D527:D531,"x"),"")</f>
        <v/>
      </c>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row>
    <row r="529" spans="1:33" x14ac:dyDescent="0.2">
      <c r="B529" s="48"/>
      <c r="C529" s="57" t="s">
        <v>348</v>
      </c>
      <c r="D529" s="44"/>
      <c r="E529" s="86" t="s">
        <v>1036</v>
      </c>
      <c r="F529" s="23" t="str">
        <f>IF(H529=-0.33,IF(H527=H$1,H527,""),"")</f>
        <v/>
      </c>
      <c r="G529" s="19"/>
      <c r="H529" s="24">
        <f t="shared" ref="H529" si="120">IF(H528=1,IF(H527=H$2,1,-0.33),0)</f>
        <v>0</v>
      </c>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row>
    <row r="530" spans="1:33" x14ac:dyDescent="0.2">
      <c r="B530" s="48"/>
      <c r="C530" s="57"/>
      <c r="D530" s="44"/>
      <c r="E530" s="86" t="s">
        <v>1037</v>
      </c>
      <c r="F530" s="28"/>
      <c r="G530" s="19"/>
      <c r="H530" s="2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row>
    <row r="531" spans="1:33" x14ac:dyDescent="0.2">
      <c r="B531" s="48"/>
      <c r="C531" s="8"/>
      <c r="D531" s="44"/>
      <c r="E531" s="86" t="s">
        <v>1038</v>
      </c>
      <c r="F531" s="20"/>
      <c r="G531" s="19"/>
      <c r="H531" s="2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row>
    <row r="532" spans="1:33" s="17" customFormat="1" x14ac:dyDescent="0.2">
      <c r="A532" s="4"/>
      <c r="B532" s="49">
        <v>5</v>
      </c>
      <c r="C532" s="13" t="s">
        <v>349</v>
      </c>
      <c r="D532" s="45"/>
      <c r="E532" s="85"/>
      <c r="F532" s="30"/>
      <c r="G532" s="15"/>
      <c r="H532" s="15"/>
    </row>
    <row r="533" spans="1:33" x14ac:dyDescent="0.2">
      <c r="B533" s="52"/>
      <c r="C533" s="56" t="s">
        <v>350</v>
      </c>
      <c r="D533" s="44"/>
      <c r="E533" s="86" t="s">
        <v>1034</v>
      </c>
      <c r="F533" s="28"/>
      <c r="G533" s="19"/>
      <c r="H533" s="21" t="b">
        <f>IF(D534="x",H$2,H$1)</f>
        <v>0</v>
      </c>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row>
    <row r="534" spans="1:33" x14ac:dyDescent="0.2">
      <c r="B534" s="48"/>
      <c r="C534" s="57" t="s">
        <v>351</v>
      </c>
      <c r="D534" s="44"/>
      <c r="E534" s="86" t="s">
        <v>1035</v>
      </c>
      <c r="F534" s="22" t="str">
        <f>IF(H535=1,IF(H533=H$2,H533,""),"")</f>
        <v/>
      </c>
      <c r="G534" s="19"/>
      <c r="H534" s="21" t="str">
        <f t="shared" ref="H534" si="121">IF(E$628="comprobar",COUNTIF(D533:D537,"x"),"")</f>
        <v/>
      </c>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row>
    <row r="535" spans="1:33" x14ac:dyDescent="0.2">
      <c r="B535" s="48"/>
      <c r="C535" s="57" t="s">
        <v>346</v>
      </c>
      <c r="D535" s="44"/>
      <c r="E535" s="86" t="s">
        <v>1036</v>
      </c>
      <c r="F535" s="23" t="str">
        <f>IF(H535=-0.33,IF(H533=H$1,H533,""),"")</f>
        <v/>
      </c>
      <c r="G535" s="19"/>
      <c r="H535" s="24">
        <f t="shared" ref="H535" si="122">IF(H534=1,IF(H533=H$2,1,-0.33),0)</f>
        <v>0</v>
      </c>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row>
    <row r="536" spans="1:33" x14ac:dyDescent="0.2">
      <c r="B536" s="48"/>
      <c r="C536" s="57"/>
      <c r="D536" s="44"/>
      <c r="E536" s="86" t="s">
        <v>1037</v>
      </c>
      <c r="F536" s="28"/>
      <c r="G536" s="19"/>
      <c r="H536" s="2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row>
    <row r="537" spans="1:33" x14ac:dyDescent="0.2">
      <c r="B537" s="48"/>
      <c r="C537" s="8"/>
      <c r="D537" s="44"/>
      <c r="E537" s="86" t="s">
        <v>1038</v>
      </c>
      <c r="F537" s="20"/>
      <c r="G537" s="19"/>
      <c r="H537" s="2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row>
    <row r="538" spans="1:33" s="17" customFormat="1" x14ac:dyDescent="0.2">
      <c r="A538" s="4"/>
      <c r="B538" s="49">
        <v>6</v>
      </c>
      <c r="C538" s="13" t="s">
        <v>352</v>
      </c>
      <c r="D538" s="45"/>
      <c r="E538" s="85"/>
      <c r="F538" s="30"/>
      <c r="G538" s="15"/>
      <c r="H538" s="15"/>
    </row>
    <row r="539" spans="1:33" x14ac:dyDescent="0.2">
      <c r="B539" s="52"/>
      <c r="C539" s="56" t="s">
        <v>353</v>
      </c>
      <c r="D539" s="44"/>
      <c r="E539" s="86" t="s">
        <v>1034</v>
      </c>
      <c r="F539" s="28"/>
      <c r="G539" s="19"/>
      <c r="H539" s="21" t="b">
        <f>IF(D539="x",H$2,H$1)</f>
        <v>0</v>
      </c>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row>
    <row r="540" spans="1:33" x14ac:dyDescent="0.2">
      <c r="B540" s="48"/>
      <c r="C540" s="57" t="s">
        <v>354</v>
      </c>
      <c r="D540" s="44"/>
      <c r="E540" s="86" t="s">
        <v>1035</v>
      </c>
      <c r="F540" s="22" t="str">
        <f>IF(H541=1,IF(H539=H$2,H539,""),"")</f>
        <v/>
      </c>
      <c r="G540" s="19"/>
      <c r="H540" s="21" t="str">
        <f t="shared" ref="H540" si="123">IF(E$628="comprobar",COUNTIF(D539:D543,"x"),"")</f>
        <v/>
      </c>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row>
    <row r="541" spans="1:33" x14ac:dyDescent="0.2">
      <c r="B541" s="48"/>
      <c r="C541" s="57" t="s">
        <v>355</v>
      </c>
      <c r="D541" s="44"/>
      <c r="E541" s="86" t="s">
        <v>1036</v>
      </c>
      <c r="F541" s="23" t="str">
        <f>IF(H541=-0.33,IF(H539=H$1,H539,""),"")</f>
        <v/>
      </c>
      <c r="G541" s="19"/>
      <c r="H541" s="24">
        <f t="shared" ref="H541" si="124">IF(H540=1,IF(H539=H$2,1,-0.33),0)</f>
        <v>0</v>
      </c>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row>
    <row r="542" spans="1:33" x14ac:dyDescent="0.2">
      <c r="B542" s="48"/>
      <c r="C542" s="57" t="s">
        <v>356</v>
      </c>
      <c r="D542" s="44"/>
      <c r="E542" s="86" t="s">
        <v>1037</v>
      </c>
      <c r="F542" s="28"/>
      <c r="G542" s="19"/>
      <c r="H542" s="2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row>
    <row r="543" spans="1:33" x14ac:dyDescent="0.2">
      <c r="B543" s="48"/>
      <c r="C543" s="8"/>
      <c r="D543" s="44"/>
      <c r="E543" s="86" t="s">
        <v>1038</v>
      </c>
      <c r="F543" s="20"/>
      <c r="G543" s="19"/>
      <c r="H543" s="2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row>
    <row r="544" spans="1:33" s="17" customFormat="1" x14ac:dyDescent="0.2">
      <c r="A544" s="4"/>
      <c r="B544" s="49">
        <v>7</v>
      </c>
      <c r="C544" s="13" t="s">
        <v>357</v>
      </c>
      <c r="D544" s="45"/>
      <c r="E544" s="85"/>
      <c r="F544" s="30"/>
      <c r="G544" s="15"/>
      <c r="H544" s="15"/>
    </row>
    <row r="545" spans="1:33" x14ac:dyDescent="0.2">
      <c r="B545" s="52"/>
      <c r="C545" s="56" t="s">
        <v>358</v>
      </c>
      <c r="D545" s="44"/>
      <c r="E545" s="86" t="s">
        <v>1034</v>
      </c>
      <c r="F545" s="28"/>
      <c r="G545" s="19"/>
      <c r="H545" s="21" t="b">
        <f>IF(D546="x",H$2,H$1)</f>
        <v>0</v>
      </c>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row>
    <row r="546" spans="1:33" x14ac:dyDescent="0.2">
      <c r="B546" s="48"/>
      <c r="C546" s="57" t="s">
        <v>359</v>
      </c>
      <c r="D546" s="44"/>
      <c r="E546" s="86" t="s">
        <v>1035</v>
      </c>
      <c r="F546" s="22" t="str">
        <f>IF(H547=1,IF(H545=H$2,H545,""),"")</f>
        <v/>
      </c>
      <c r="G546" s="19"/>
      <c r="H546" s="21" t="str">
        <f t="shared" ref="H546" si="125">IF(E$628="comprobar",COUNTIF(D545:D549,"x"),"")</f>
        <v/>
      </c>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row>
    <row r="547" spans="1:33" x14ac:dyDescent="0.2">
      <c r="B547" s="48"/>
      <c r="C547" s="57" t="s">
        <v>360</v>
      </c>
      <c r="D547" s="44"/>
      <c r="E547" s="86" t="s">
        <v>1036</v>
      </c>
      <c r="F547" s="23" t="str">
        <f>IF(H547=-0.33,IF(H545=H$1,H545,""),"")</f>
        <v/>
      </c>
      <c r="G547" s="19"/>
      <c r="H547" s="24">
        <f t="shared" ref="H547" si="126">IF(H546=1,IF(H545=H$2,1,-0.33),0)</f>
        <v>0</v>
      </c>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row>
    <row r="548" spans="1:33" x14ac:dyDescent="0.2">
      <c r="B548" s="48"/>
      <c r="C548" s="57" t="s">
        <v>361</v>
      </c>
      <c r="D548" s="44"/>
      <c r="E548" s="86" t="s">
        <v>1037</v>
      </c>
      <c r="F548" s="28"/>
      <c r="G548" s="19"/>
      <c r="H548" s="2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row>
    <row r="549" spans="1:33" x14ac:dyDescent="0.2">
      <c r="B549" s="48"/>
      <c r="C549" s="8"/>
      <c r="D549" s="44"/>
      <c r="E549" s="86" t="s">
        <v>1038</v>
      </c>
      <c r="F549" s="20"/>
      <c r="G549" s="19"/>
      <c r="H549" s="2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row>
    <row r="550" spans="1:33" s="17" customFormat="1" x14ac:dyDescent="0.2">
      <c r="A550" s="4"/>
      <c r="B550" s="49">
        <v>8</v>
      </c>
      <c r="C550" s="13" t="s">
        <v>362</v>
      </c>
      <c r="D550" s="45"/>
      <c r="E550" s="85"/>
      <c r="F550" s="30"/>
      <c r="G550" s="15"/>
      <c r="H550" s="15"/>
    </row>
    <row r="551" spans="1:33" x14ac:dyDescent="0.2">
      <c r="B551" s="52"/>
      <c r="C551" s="56" t="s">
        <v>363</v>
      </c>
      <c r="D551" s="44"/>
      <c r="E551" s="86" t="s">
        <v>1034</v>
      </c>
      <c r="F551" s="28"/>
      <c r="G551" s="19"/>
      <c r="H551" s="21" t="b">
        <f>IF(D551="x",H$2,H$1)</f>
        <v>0</v>
      </c>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row>
    <row r="552" spans="1:33" x14ac:dyDescent="0.2">
      <c r="B552" s="48"/>
      <c r="C552" s="57" t="s">
        <v>364</v>
      </c>
      <c r="D552" s="44"/>
      <c r="E552" s="86" t="s">
        <v>1035</v>
      </c>
      <c r="F552" s="22" t="str">
        <f>IF(H553=1,IF(H551=H$2,H551,""),"")</f>
        <v/>
      </c>
      <c r="G552" s="19"/>
      <c r="H552" s="21" t="str">
        <f t="shared" ref="H552" si="127">IF(E$628="comprobar",COUNTIF(D551:D555,"x"),"")</f>
        <v/>
      </c>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row>
    <row r="553" spans="1:33" x14ac:dyDescent="0.2">
      <c r="B553" s="48"/>
      <c r="C553" s="57" t="s">
        <v>365</v>
      </c>
      <c r="D553" s="44"/>
      <c r="E553" s="86" t="s">
        <v>1036</v>
      </c>
      <c r="F553" s="23" t="str">
        <f>IF(H553=-0.33,IF(H551=H$1,H551,""),"")</f>
        <v/>
      </c>
      <c r="G553" s="19"/>
      <c r="H553" s="24">
        <f t="shared" ref="H553" si="128">IF(H552=1,IF(H551=H$2,1,-0.33),0)</f>
        <v>0</v>
      </c>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row>
    <row r="554" spans="1:33" x14ac:dyDescent="0.2">
      <c r="B554" s="48"/>
      <c r="C554" s="57" t="s">
        <v>366</v>
      </c>
      <c r="D554" s="44"/>
      <c r="E554" s="86" t="s">
        <v>1037</v>
      </c>
      <c r="F554" s="28"/>
      <c r="G554" s="19"/>
      <c r="H554" s="2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row>
    <row r="555" spans="1:33" x14ac:dyDescent="0.2">
      <c r="B555" s="48"/>
      <c r="C555" s="8"/>
      <c r="D555" s="44"/>
      <c r="E555" s="86" t="s">
        <v>1038</v>
      </c>
      <c r="F555" s="20"/>
      <c r="G555" s="19"/>
      <c r="H555" s="2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row>
    <row r="556" spans="1:33" s="17" customFormat="1" x14ac:dyDescent="0.2">
      <c r="A556" s="4"/>
      <c r="B556" s="49">
        <v>9</v>
      </c>
      <c r="C556" s="13" t="s">
        <v>367</v>
      </c>
      <c r="D556" s="45"/>
      <c r="E556" s="85"/>
      <c r="F556" s="30"/>
      <c r="G556" s="15"/>
      <c r="H556" s="15"/>
    </row>
    <row r="557" spans="1:33" x14ac:dyDescent="0.2">
      <c r="B557" s="52"/>
      <c r="C557" s="56" t="s">
        <v>368</v>
      </c>
      <c r="D557" s="44"/>
      <c r="E557" s="86" t="s">
        <v>1034</v>
      </c>
      <c r="F557" s="28"/>
      <c r="G557" s="19"/>
      <c r="H557" s="21" t="b">
        <f>IF(D560="x",H$2,H$1)</f>
        <v>0</v>
      </c>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row>
    <row r="558" spans="1:33" x14ac:dyDescent="0.2">
      <c r="B558" s="48"/>
      <c r="C558" s="57" t="s">
        <v>369</v>
      </c>
      <c r="D558" s="44"/>
      <c r="E558" s="86" t="s">
        <v>1035</v>
      </c>
      <c r="F558" s="22" t="str">
        <f>IF(H559=1,IF(H557=H$2,H557,""),"")</f>
        <v/>
      </c>
      <c r="G558" s="19"/>
      <c r="H558" s="21" t="str">
        <f t="shared" ref="H558" si="129">IF(E$628="comprobar",COUNTIF(D557:D561,"x"),"")</f>
        <v/>
      </c>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row>
    <row r="559" spans="1:33" x14ac:dyDescent="0.2">
      <c r="B559" s="48"/>
      <c r="C559" s="57" t="s">
        <v>370</v>
      </c>
      <c r="D559" s="44"/>
      <c r="E559" s="86" t="s">
        <v>1036</v>
      </c>
      <c r="F559" s="23" t="str">
        <f>IF(H559=-0.33,IF(H557=H$1,H557,""),"")</f>
        <v/>
      </c>
      <c r="G559" s="19"/>
      <c r="H559" s="24">
        <f t="shared" ref="H559" si="130">IF(H558=1,IF(H557=H$2,1,-0.33),0)</f>
        <v>0</v>
      </c>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row>
    <row r="560" spans="1:33" x14ac:dyDescent="0.2">
      <c r="B560" s="48"/>
      <c r="C560" s="57" t="s">
        <v>371</v>
      </c>
      <c r="D560" s="44"/>
      <c r="E560" s="86" t="s">
        <v>1037</v>
      </c>
      <c r="F560" s="28"/>
      <c r="G560" s="19"/>
      <c r="H560" s="2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row>
    <row r="561" spans="1:33" x14ac:dyDescent="0.2">
      <c r="B561" s="48"/>
      <c r="C561" s="8"/>
      <c r="D561" s="44"/>
      <c r="E561" s="86" t="s">
        <v>1038</v>
      </c>
      <c r="F561" s="20"/>
      <c r="G561" s="19"/>
      <c r="H561" s="2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row>
    <row r="562" spans="1:33" s="17" customFormat="1" x14ac:dyDescent="0.2">
      <c r="A562" s="4"/>
      <c r="B562" s="49">
        <v>10</v>
      </c>
      <c r="C562" s="13" t="s">
        <v>372</v>
      </c>
      <c r="D562" s="45"/>
      <c r="E562" s="85"/>
      <c r="F562" s="30"/>
      <c r="G562" s="29"/>
      <c r="H562" s="15"/>
    </row>
    <row r="563" spans="1:33" x14ac:dyDescent="0.2">
      <c r="B563" s="52"/>
      <c r="C563" s="56" t="s">
        <v>373</v>
      </c>
      <c r="D563" s="44"/>
      <c r="E563" s="86" t="s">
        <v>1034</v>
      </c>
      <c r="F563" s="28"/>
      <c r="G563" s="26"/>
      <c r="H563" s="21" t="b">
        <f>IF(D564="x",H$2,H$1)</f>
        <v>0</v>
      </c>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row>
    <row r="564" spans="1:33" x14ac:dyDescent="0.2">
      <c r="B564" s="48"/>
      <c r="C564" s="57" t="s">
        <v>374</v>
      </c>
      <c r="D564" s="44"/>
      <c r="E564" s="86" t="s">
        <v>1035</v>
      </c>
      <c r="F564" s="22" t="str">
        <f>IF(H565=1,IF(H563=H$2,H563,""),"")</f>
        <v/>
      </c>
      <c r="G564" s="26"/>
      <c r="H564" s="21" t="str">
        <f t="shared" ref="H564" si="131">IF(E$628="comprobar",COUNTIF(D563:D567,"x"),"")</f>
        <v/>
      </c>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row>
    <row r="565" spans="1:33" x14ac:dyDescent="0.2">
      <c r="B565" s="48"/>
      <c r="C565" s="57" t="s">
        <v>375</v>
      </c>
      <c r="D565" s="44"/>
      <c r="E565" s="86" t="s">
        <v>1036</v>
      </c>
      <c r="F565" s="23" t="str">
        <f>IF(H565=-0.33,IF(H563=H$1,H563,""),"")</f>
        <v/>
      </c>
      <c r="G565" s="26"/>
      <c r="H565" s="24">
        <f t="shared" ref="H565" si="132">IF(H564=1,IF(H563=H$2,1,-0.33),0)</f>
        <v>0</v>
      </c>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row>
    <row r="566" spans="1:33" x14ac:dyDescent="0.2">
      <c r="B566" s="48"/>
      <c r="C566" s="57" t="s">
        <v>376</v>
      </c>
      <c r="D566" s="44"/>
      <c r="E566" s="86" t="s">
        <v>1037</v>
      </c>
      <c r="F566" s="28"/>
      <c r="G566" s="26"/>
      <c r="H566" s="2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row>
    <row r="567" spans="1:33" x14ac:dyDescent="0.2">
      <c r="B567" s="48"/>
      <c r="C567" s="8"/>
      <c r="D567" s="44"/>
      <c r="E567" s="86" t="s">
        <v>1038</v>
      </c>
      <c r="F567" s="20"/>
      <c r="G567" s="26"/>
      <c r="H567" s="2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row>
    <row r="568" spans="1:33" s="17" customFormat="1" x14ac:dyDescent="0.2">
      <c r="A568" s="4"/>
      <c r="B568" s="49">
        <v>11</v>
      </c>
      <c r="C568" s="13" t="s">
        <v>377</v>
      </c>
      <c r="D568" s="45"/>
      <c r="E568" s="85"/>
      <c r="F568" s="30"/>
      <c r="G568" s="29"/>
      <c r="H568" s="15"/>
    </row>
    <row r="569" spans="1:33" x14ac:dyDescent="0.2">
      <c r="B569" s="52"/>
      <c r="C569" s="56" t="s">
        <v>378</v>
      </c>
      <c r="D569" s="44"/>
      <c r="E569" s="86" t="s">
        <v>1034</v>
      </c>
      <c r="F569" s="28"/>
      <c r="G569" s="26"/>
      <c r="H569" s="21" t="b">
        <f>IF(D569="x",H$2,H$1)</f>
        <v>0</v>
      </c>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row>
    <row r="570" spans="1:33" x14ac:dyDescent="0.2">
      <c r="B570" s="48"/>
      <c r="C570" s="57" t="s">
        <v>379</v>
      </c>
      <c r="D570" s="44"/>
      <c r="E570" s="86" t="s">
        <v>1035</v>
      </c>
      <c r="F570" s="22" t="str">
        <f>IF(H571=1,IF(H569=H$2,H569,""),"")</f>
        <v/>
      </c>
      <c r="G570" s="26"/>
      <c r="H570" s="21" t="str">
        <f t="shared" ref="H570" si="133">IF(E$628="comprobar",COUNTIF(D569:D573,"x"),"")</f>
        <v/>
      </c>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row>
    <row r="571" spans="1:33" x14ac:dyDescent="0.2">
      <c r="B571" s="48"/>
      <c r="C571" s="57" t="s">
        <v>209</v>
      </c>
      <c r="D571" s="44"/>
      <c r="E571" s="86" t="s">
        <v>1036</v>
      </c>
      <c r="F571" s="23" t="str">
        <f>IF(H571=-0.33,IF(H569=H$1,H569,""),"")</f>
        <v/>
      </c>
      <c r="G571" s="26"/>
      <c r="H571" s="24">
        <f t="shared" ref="H571" si="134">IF(H570=1,IF(H569=H$2,1,-0.33),0)</f>
        <v>0</v>
      </c>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row>
    <row r="572" spans="1:33" x14ac:dyDescent="0.2">
      <c r="B572" s="48"/>
      <c r="C572" s="57" t="s">
        <v>380</v>
      </c>
      <c r="D572" s="44"/>
      <c r="E572" s="86" t="s">
        <v>1037</v>
      </c>
      <c r="F572" s="28"/>
      <c r="G572" s="26"/>
      <c r="H572" s="2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row>
    <row r="573" spans="1:33" x14ac:dyDescent="0.2">
      <c r="B573" s="48"/>
      <c r="C573" s="8"/>
      <c r="D573" s="44"/>
      <c r="E573" s="86" t="s">
        <v>1038</v>
      </c>
      <c r="F573" s="20"/>
      <c r="G573" s="26"/>
      <c r="H573" s="2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row>
    <row r="574" spans="1:33" s="17" customFormat="1" x14ac:dyDescent="0.2">
      <c r="A574" s="4"/>
      <c r="B574" s="49">
        <v>12</v>
      </c>
      <c r="C574" s="13" t="s">
        <v>381</v>
      </c>
      <c r="D574" s="45"/>
      <c r="E574" s="85"/>
      <c r="F574" s="30"/>
      <c r="G574" s="29"/>
      <c r="H574" s="15"/>
    </row>
    <row r="575" spans="1:33" x14ac:dyDescent="0.2">
      <c r="B575" s="52"/>
      <c r="C575" s="56" t="s">
        <v>382</v>
      </c>
      <c r="D575" s="44"/>
      <c r="E575" s="86" t="s">
        <v>1034</v>
      </c>
      <c r="F575" s="28"/>
      <c r="G575" s="26"/>
      <c r="H575" s="21" t="b">
        <f t="shared" ref="H575" si="135">IF(D577="x",H$2,H$1)</f>
        <v>0</v>
      </c>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row>
    <row r="576" spans="1:33" x14ac:dyDescent="0.2">
      <c r="B576" s="48"/>
      <c r="C576" s="57" t="s">
        <v>383</v>
      </c>
      <c r="D576" s="44"/>
      <c r="E576" s="86" t="s">
        <v>1035</v>
      </c>
      <c r="F576" s="22" t="str">
        <f>IF(H577=1,IF(H575=H$2,H575,""),"")</f>
        <v/>
      </c>
      <c r="G576" s="26"/>
      <c r="H576" s="21" t="str">
        <f t="shared" ref="H576" si="136">IF(E$628="comprobar",COUNTIF(D575:D579,"x"),"")</f>
        <v/>
      </c>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row>
    <row r="577" spans="1:33" x14ac:dyDescent="0.2">
      <c r="B577" s="48"/>
      <c r="C577" s="57" t="s">
        <v>384</v>
      </c>
      <c r="D577" s="44"/>
      <c r="E577" s="86" t="s">
        <v>1036</v>
      </c>
      <c r="F577" s="23" t="str">
        <f>IF(H577=-0.33,IF(H575=H$1,H575,""),"")</f>
        <v/>
      </c>
      <c r="G577" s="26"/>
      <c r="H577" s="24">
        <f t="shared" ref="H577" si="137">IF(H576=1,IF(H575=H$2,1,-0.33),0)</f>
        <v>0</v>
      </c>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row>
    <row r="578" spans="1:33" x14ac:dyDescent="0.2">
      <c r="B578" s="48"/>
      <c r="C578" s="57" t="s">
        <v>385</v>
      </c>
      <c r="D578" s="44"/>
      <c r="E578" s="86" t="s">
        <v>1037</v>
      </c>
      <c r="F578" s="28"/>
      <c r="G578" s="26"/>
      <c r="H578" s="2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row>
    <row r="579" spans="1:33" x14ac:dyDescent="0.2">
      <c r="B579" s="48"/>
      <c r="C579" s="8"/>
      <c r="D579" s="44"/>
      <c r="E579" s="86" t="s">
        <v>1038</v>
      </c>
      <c r="F579" s="20"/>
      <c r="G579" s="26"/>
      <c r="H579" s="2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row>
    <row r="580" spans="1:33" s="17" customFormat="1" x14ac:dyDescent="0.2">
      <c r="A580" s="4"/>
      <c r="B580" s="49">
        <v>13</v>
      </c>
      <c r="C580" s="13" t="s">
        <v>386</v>
      </c>
      <c r="D580" s="45"/>
      <c r="E580" s="85"/>
      <c r="F580" s="30"/>
      <c r="G580" s="15"/>
      <c r="H580" s="15"/>
    </row>
    <row r="581" spans="1:33" x14ac:dyDescent="0.2">
      <c r="B581" s="52"/>
      <c r="C581" s="56" t="s">
        <v>387</v>
      </c>
      <c r="D581" s="44"/>
      <c r="E581" s="86" t="s">
        <v>1034</v>
      </c>
      <c r="F581" s="28"/>
      <c r="G581" s="19"/>
      <c r="H581" s="21" t="b">
        <f>IF(D581="x",H$2,H$1)</f>
        <v>0</v>
      </c>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row>
    <row r="582" spans="1:33" x14ac:dyDescent="0.2">
      <c r="B582" s="48"/>
      <c r="C582" s="57" t="s">
        <v>388</v>
      </c>
      <c r="D582" s="44"/>
      <c r="E582" s="86" t="s">
        <v>1035</v>
      </c>
      <c r="F582" s="22" t="str">
        <f>IF(H583=1,IF(H581=H$2,H581,""),"")</f>
        <v/>
      </c>
      <c r="G582" s="19"/>
      <c r="H582" s="21" t="str">
        <f t="shared" ref="H582" si="138">IF(E$628="comprobar",COUNTIF(D581:D585,"x"),"")</f>
        <v/>
      </c>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row>
    <row r="583" spans="1:33" x14ac:dyDescent="0.2">
      <c r="B583" s="48"/>
      <c r="C583" s="57" t="s">
        <v>389</v>
      </c>
      <c r="D583" s="44"/>
      <c r="E583" s="86" t="s">
        <v>1036</v>
      </c>
      <c r="F583" s="23" t="str">
        <f>IF(H583=-0.33,IF(H581=H$1,H581,""),"")</f>
        <v/>
      </c>
      <c r="G583" s="19"/>
      <c r="H583" s="24">
        <f t="shared" ref="H583" si="139">IF(H582=1,IF(H581=H$2,1,-0.33),0)</f>
        <v>0</v>
      </c>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row>
    <row r="584" spans="1:33" x14ac:dyDescent="0.2">
      <c r="B584" s="48"/>
      <c r="C584" s="57" t="s">
        <v>390</v>
      </c>
      <c r="D584" s="44"/>
      <c r="E584" s="86" t="s">
        <v>1037</v>
      </c>
      <c r="F584" s="28"/>
      <c r="G584" s="19"/>
      <c r="H584" s="2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row>
    <row r="585" spans="1:33" x14ac:dyDescent="0.2">
      <c r="B585" s="48"/>
      <c r="C585" s="8"/>
      <c r="D585" s="44"/>
      <c r="E585" s="86" t="s">
        <v>1038</v>
      </c>
      <c r="F585" s="20"/>
      <c r="G585" s="19"/>
      <c r="H585" s="2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row>
    <row r="586" spans="1:33" s="17" customFormat="1" x14ac:dyDescent="0.2">
      <c r="A586" s="4"/>
      <c r="B586" s="49">
        <v>14</v>
      </c>
      <c r="C586" s="13" t="s">
        <v>391</v>
      </c>
      <c r="D586" s="45"/>
      <c r="E586" s="85"/>
      <c r="F586" s="30"/>
      <c r="G586" s="29"/>
      <c r="H586" s="15"/>
    </row>
    <row r="587" spans="1:33" x14ac:dyDescent="0.2">
      <c r="B587" s="52"/>
      <c r="C587" s="56" t="s">
        <v>392</v>
      </c>
      <c r="D587" s="44"/>
      <c r="E587" s="86" t="s">
        <v>1034</v>
      </c>
      <c r="F587" s="28"/>
      <c r="G587" s="26"/>
      <c r="H587" s="21" t="b">
        <f>IF(D588="x",H$2,H$1)</f>
        <v>0</v>
      </c>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row>
    <row r="588" spans="1:33" x14ac:dyDescent="0.2">
      <c r="B588" s="48"/>
      <c r="C588" s="57" t="s">
        <v>393</v>
      </c>
      <c r="D588" s="44"/>
      <c r="E588" s="86" t="s">
        <v>1035</v>
      </c>
      <c r="F588" s="22" t="str">
        <f>IF(H589=1,IF(H587=H$2,H587,""),"")</f>
        <v/>
      </c>
      <c r="G588" s="26"/>
      <c r="H588" s="21" t="str">
        <f t="shared" ref="H588" si="140">IF(E$628="comprobar",COUNTIF(D587:D591,"x"),"")</f>
        <v/>
      </c>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row>
    <row r="589" spans="1:33" x14ac:dyDescent="0.2">
      <c r="B589" s="48"/>
      <c r="C589" s="57" t="s">
        <v>394</v>
      </c>
      <c r="D589" s="44"/>
      <c r="E589" s="86" t="s">
        <v>1036</v>
      </c>
      <c r="F589" s="23" t="str">
        <f>IF(H589=-0.33,IF(H587=H$1,H587,""),"")</f>
        <v/>
      </c>
      <c r="G589" s="26"/>
      <c r="H589" s="24">
        <f t="shared" ref="H589" si="141">IF(H588=1,IF(H587=H$2,1,-0.33),0)</f>
        <v>0</v>
      </c>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row>
    <row r="590" spans="1:33" x14ac:dyDescent="0.2">
      <c r="B590" s="48"/>
      <c r="C590" s="57"/>
      <c r="D590" s="44"/>
      <c r="E590" s="86" t="s">
        <v>1037</v>
      </c>
      <c r="F590" s="28"/>
      <c r="G590" s="26"/>
      <c r="H590" s="2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row>
    <row r="591" spans="1:33" x14ac:dyDescent="0.2">
      <c r="B591" s="48"/>
      <c r="C591" s="8"/>
      <c r="D591" s="44"/>
      <c r="E591" s="86" t="s">
        <v>1038</v>
      </c>
      <c r="F591" s="20"/>
      <c r="G591" s="26"/>
      <c r="H591" s="2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row>
    <row r="592" spans="1:33" s="17" customFormat="1" x14ac:dyDescent="0.2">
      <c r="A592" s="4"/>
      <c r="B592" s="49">
        <v>15</v>
      </c>
      <c r="C592" s="13" t="s">
        <v>395</v>
      </c>
      <c r="D592" s="45"/>
      <c r="E592" s="85"/>
      <c r="F592" s="30"/>
      <c r="G592" s="29"/>
      <c r="H592" s="15"/>
    </row>
    <row r="593" spans="1:33" x14ac:dyDescent="0.2">
      <c r="B593" s="52"/>
      <c r="C593" s="56" t="s">
        <v>396</v>
      </c>
      <c r="D593" s="44"/>
      <c r="E593" s="86" t="s">
        <v>1034</v>
      </c>
      <c r="F593" s="28"/>
      <c r="G593" s="26"/>
      <c r="H593" s="21" t="b">
        <f>IF(D594="x",H$2,H$1)</f>
        <v>0</v>
      </c>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row>
    <row r="594" spans="1:33" x14ac:dyDescent="0.2">
      <c r="B594" s="48"/>
      <c r="C594" s="57" t="s">
        <v>397</v>
      </c>
      <c r="D594" s="44"/>
      <c r="E594" s="86" t="s">
        <v>1035</v>
      </c>
      <c r="F594" s="22" t="str">
        <f>IF(H595=1,IF(H593=H$2,H593,""),"")</f>
        <v/>
      </c>
      <c r="G594" s="26"/>
      <c r="H594" s="21" t="str">
        <f t="shared" ref="H594" si="142">IF(E$628="comprobar",COUNTIF(D593:D597,"x"),"")</f>
        <v/>
      </c>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row>
    <row r="595" spans="1:33" x14ac:dyDescent="0.2">
      <c r="B595" s="48"/>
      <c r="C595" s="57" t="s">
        <v>398</v>
      </c>
      <c r="D595" s="44"/>
      <c r="E595" s="86" t="s">
        <v>1036</v>
      </c>
      <c r="F595" s="23" t="str">
        <f>IF(H595=-0.33,IF(H593=H$1,H593,""),"")</f>
        <v/>
      </c>
      <c r="G595" s="26"/>
      <c r="H595" s="24">
        <f t="shared" ref="H595" si="143">IF(H594=1,IF(H593=H$2,1,-0.33),0)</f>
        <v>0</v>
      </c>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row>
    <row r="596" spans="1:33" x14ac:dyDescent="0.2">
      <c r="B596" s="48"/>
      <c r="C596" s="57"/>
      <c r="D596" s="44"/>
      <c r="E596" s="86" t="s">
        <v>1037</v>
      </c>
      <c r="F596" s="28"/>
      <c r="G596" s="26"/>
      <c r="H596" s="2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row>
    <row r="597" spans="1:33" x14ac:dyDescent="0.2">
      <c r="B597" s="48"/>
      <c r="C597" s="8"/>
      <c r="D597" s="44"/>
      <c r="E597" s="86" t="s">
        <v>1038</v>
      </c>
      <c r="F597" s="20"/>
      <c r="G597" s="26"/>
      <c r="H597" s="2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row>
    <row r="598" spans="1:33" s="17" customFormat="1" x14ac:dyDescent="0.2">
      <c r="A598" s="4"/>
      <c r="B598" s="49">
        <v>16</v>
      </c>
      <c r="C598" s="13" t="s">
        <v>399</v>
      </c>
      <c r="D598" s="45"/>
      <c r="E598" s="85"/>
      <c r="F598" s="30"/>
      <c r="G598" s="29"/>
      <c r="H598" s="15"/>
    </row>
    <row r="599" spans="1:33" x14ac:dyDescent="0.2">
      <c r="B599" s="52"/>
      <c r="C599" s="56" t="s">
        <v>400</v>
      </c>
      <c r="D599" s="44"/>
      <c r="E599" s="86" t="s">
        <v>1034</v>
      </c>
      <c r="F599" s="28"/>
      <c r="G599" s="26"/>
      <c r="H599" s="21" t="b">
        <f>IF(D599="x",H$2,H$1)</f>
        <v>0</v>
      </c>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row>
    <row r="600" spans="1:33" x14ac:dyDescent="0.2">
      <c r="B600" s="48"/>
      <c r="C600" s="57" t="s">
        <v>401</v>
      </c>
      <c r="D600" s="44"/>
      <c r="E600" s="86" t="s">
        <v>1035</v>
      </c>
      <c r="F600" s="22" t="str">
        <f>IF(H601=1,IF(H599=H$2,H599,""),"")</f>
        <v/>
      </c>
      <c r="G600" s="26"/>
      <c r="H600" s="21" t="str">
        <f t="shared" ref="H600" si="144">IF(E$628="comprobar",COUNTIF(D599:D603,"x"),"")</f>
        <v/>
      </c>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row>
    <row r="601" spans="1:33" x14ac:dyDescent="0.2">
      <c r="B601" s="48"/>
      <c r="C601" s="57" t="s">
        <v>402</v>
      </c>
      <c r="D601" s="44"/>
      <c r="E601" s="86" t="s">
        <v>1036</v>
      </c>
      <c r="F601" s="23" t="str">
        <f>IF(H601=-0.33,IF(H599=H$1,H599,""),"")</f>
        <v/>
      </c>
      <c r="G601" s="26"/>
      <c r="H601" s="24">
        <f t="shared" ref="H601" si="145">IF(H600=1,IF(H599=H$2,1,-0.33),0)</f>
        <v>0</v>
      </c>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row>
    <row r="602" spans="1:33" x14ac:dyDescent="0.2">
      <c r="B602" s="48"/>
      <c r="C602" s="57"/>
      <c r="D602" s="44"/>
      <c r="E602" s="86" t="s">
        <v>1037</v>
      </c>
      <c r="F602" s="28"/>
      <c r="G602" s="26"/>
      <c r="H602" s="2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row>
    <row r="603" spans="1:33" x14ac:dyDescent="0.2">
      <c r="B603" s="48"/>
      <c r="C603" s="8"/>
      <c r="D603" s="44"/>
      <c r="E603" s="86" t="s">
        <v>1038</v>
      </c>
      <c r="F603" s="20"/>
      <c r="G603" s="26"/>
      <c r="H603" s="2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row>
    <row r="604" spans="1:33" s="17" customFormat="1" x14ac:dyDescent="0.2">
      <c r="A604" s="4"/>
      <c r="B604" s="49">
        <v>17</v>
      </c>
      <c r="C604" s="13" t="s">
        <v>403</v>
      </c>
      <c r="D604" s="45"/>
      <c r="E604" s="85"/>
      <c r="F604" s="30"/>
      <c r="G604" s="29"/>
      <c r="H604" s="15"/>
    </row>
    <row r="605" spans="1:33" x14ac:dyDescent="0.2">
      <c r="B605" s="52"/>
      <c r="C605" s="56" t="s">
        <v>404</v>
      </c>
      <c r="D605" s="44"/>
      <c r="E605" s="86" t="s">
        <v>1034</v>
      </c>
      <c r="F605" s="28"/>
      <c r="G605" s="26"/>
      <c r="H605" s="21" t="b">
        <f>IF(D605="x",H$2,H$1)</f>
        <v>0</v>
      </c>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row>
    <row r="606" spans="1:33" x14ac:dyDescent="0.2">
      <c r="B606" s="48"/>
      <c r="C606" s="57" t="s">
        <v>405</v>
      </c>
      <c r="D606" s="44"/>
      <c r="E606" s="86" t="s">
        <v>1035</v>
      </c>
      <c r="F606" s="22" t="str">
        <f>IF(H607=1,IF(H605=H$2,H605,""),"")</f>
        <v/>
      </c>
      <c r="G606" s="26"/>
      <c r="H606" s="21" t="str">
        <f t="shared" ref="H606" si="146">IF(E$628="comprobar",COUNTIF(D605:D609,"x"),"")</f>
        <v/>
      </c>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row>
    <row r="607" spans="1:33" x14ac:dyDescent="0.2">
      <c r="B607" s="48"/>
      <c r="C607" s="57" t="s">
        <v>406</v>
      </c>
      <c r="D607" s="44"/>
      <c r="E607" s="86" t="s">
        <v>1036</v>
      </c>
      <c r="F607" s="23" t="str">
        <f>IF(H607=-0.33,IF(H605=H$1,H605,""),"")</f>
        <v/>
      </c>
      <c r="G607" s="26"/>
      <c r="H607" s="24">
        <f t="shared" ref="H607" si="147">IF(H606=1,IF(H605=H$2,1,-0.33),0)</f>
        <v>0</v>
      </c>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row>
    <row r="608" spans="1:33" x14ac:dyDescent="0.2">
      <c r="B608" s="48"/>
      <c r="C608" s="57"/>
      <c r="D608" s="44"/>
      <c r="E608" s="86" t="s">
        <v>1037</v>
      </c>
      <c r="F608" s="28"/>
      <c r="G608" s="26"/>
      <c r="H608" s="2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row>
    <row r="609" spans="1:33" x14ac:dyDescent="0.2">
      <c r="B609" s="48"/>
      <c r="C609" s="8"/>
      <c r="D609" s="44"/>
      <c r="E609" s="86" t="s">
        <v>1038</v>
      </c>
      <c r="F609" s="20"/>
      <c r="G609" s="26"/>
      <c r="H609" s="2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row>
    <row r="610" spans="1:33" s="17" customFormat="1" x14ac:dyDescent="0.2">
      <c r="A610" s="4"/>
      <c r="B610" s="49">
        <v>18</v>
      </c>
      <c r="C610" s="13" t="s">
        <v>407</v>
      </c>
      <c r="D610" s="45"/>
      <c r="E610" s="85"/>
      <c r="F610" s="30"/>
      <c r="G610" s="29"/>
      <c r="H610" s="15"/>
    </row>
    <row r="611" spans="1:33" x14ac:dyDescent="0.2">
      <c r="B611" s="52"/>
      <c r="C611" s="56" t="s">
        <v>408</v>
      </c>
      <c r="D611" s="44"/>
      <c r="E611" s="86" t="s">
        <v>1034</v>
      </c>
      <c r="F611" s="28"/>
      <c r="G611" s="26"/>
      <c r="H611" s="21" t="b">
        <f>IF(D614="x",H$2,H$1)</f>
        <v>0</v>
      </c>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row>
    <row r="612" spans="1:33" x14ac:dyDescent="0.2">
      <c r="B612" s="48"/>
      <c r="C612" s="57" t="s">
        <v>409</v>
      </c>
      <c r="D612" s="44"/>
      <c r="E612" s="86" t="s">
        <v>1035</v>
      </c>
      <c r="F612" s="22" t="str">
        <f>IF(H613=1,IF(H611=H$2,H611,""),"")</f>
        <v/>
      </c>
      <c r="G612" s="26"/>
      <c r="H612" s="21" t="str">
        <f t="shared" ref="H612" si="148">IF(E$628="comprobar",COUNTIF(D611:D615,"x"),"")</f>
        <v/>
      </c>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row>
    <row r="613" spans="1:33" x14ac:dyDescent="0.2">
      <c r="B613" s="48"/>
      <c r="C613" s="57" t="s">
        <v>410</v>
      </c>
      <c r="D613" s="44"/>
      <c r="E613" s="86" t="s">
        <v>1036</v>
      </c>
      <c r="F613" s="23" t="str">
        <f>IF(H613=-0.33,IF(H611=H$1,H611,""),"")</f>
        <v/>
      </c>
      <c r="G613" s="26"/>
      <c r="H613" s="24">
        <f t="shared" ref="H613" si="149">IF(H612=1,IF(H611=H$2,1,-0.33),0)</f>
        <v>0</v>
      </c>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row>
    <row r="614" spans="1:33" x14ac:dyDescent="0.2">
      <c r="B614" s="48"/>
      <c r="C614" s="57" t="s">
        <v>411</v>
      </c>
      <c r="D614" s="44"/>
      <c r="E614" s="86" t="s">
        <v>1037</v>
      </c>
      <c r="F614" s="28"/>
      <c r="G614" s="26"/>
      <c r="H614" s="2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row>
    <row r="615" spans="1:33" x14ac:dyDescent="0.2">
      <c r="B615" s="48"/>
      <c r="C615" s="8"/>
      <c r="D615" s="44"/>
      <c r="E615" s="86" t="s">
        <v>1038</v>
      </c>
      <c r="F615" s="20"/>
      <c r="G615" s="26"/>
      <c r="H615" s="2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row>
    <row r="616" spans="1:33" s="17" customFormat="1" x14ac:dyDescent="0.2">
      <c r="A616" s="4"/>
      <c r="B616" s="49">
        <v>19</v>
      </c>
      <c r="C616" s="13" t="s">
        <v>412</v>
      </c>
      <c r="D616" s="45"/>
      <c r="E616" s="85"/>
      <c r="F616" s="30"/>
      <c r="G616" s="29"/>
      <c r="H616" s="15"/>
    </row>
    <row r="617" spans="1:33" x14ac:dyDescent="0.2">
      <c r="B617" s="52"/>
      <c r="C617" s="56" t="s">
        <v>413</v>
      </c>
      <c r="D617" s="44"/>
      <c r="E617" s="86" t="s">
        <v>1034</v>
      </c>
      <c r="F617" s="28"/>
      <c r="G617" s="26"/>
      <c r="H617" s="21" t="b">
        <f t="shared" ref="H617" si="150">IF(D619="x",H$2,H$1)</f>
        <v>0</v>
      </c>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row>
    <row r="618" spans="1:33" x14ac:dyDescent="0.2">
      <c r="B618" s="48"/>
      <c r="C618" s="57" t="s">
        <v>414</v>
      </c>
      <c r="D618" s="44"/>
      <c r="E618" s="86" t="s">
        <v>1035</v>
      </c>
      <c r="F618" s="22" t="str">
        <f>IF(H619=1,IF(H617=H$2,H617,""),"")</f>
        <v/>
      </c>
      <c r="G618" s="26"/>
      <c r="H618" s="21" t="str">
        <f t="shared" ref="H618" si="151">IF(E$628="comprobar",COUNTIF(D617:D621,"x"),"")</f>
        <v/>
      </c>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row>
    <row r="619" spans="1:33" x14ac:dyDescent="0.2">
      <c r="B619" s="48"/>
      <c r="C619" s="57" t="s">
        <v>415</v>
      </c>
      <c r="D619" s="44"/>
      <c r="E619" s="86" t="s">
        <v>1036</v>
      </c>
      <c r="F619" s="23" t="str">
        <f>IF(H619=-0.33,IF(H617=H$1,H617,""),"")</f>
        <v/>
      </c>
      <c r="G619" s="26"/>
      <c r="H619" s="24">
        <f t="shared" ref="H619" si="152">IF(H618=1,IF(H617=H$2,1,-0.33),0)</f>
        <v>0</v>
      </c>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row>
    <row r="620" spans="1:33" x14ac:dyDescent="0.2">
      <c r="B620" s="48"/>
      <c r="C620" s="57" t="s">
        <v>416</v>
      </c>
      <c r="D620" s="44"/>
      <c r="E620" s="86" t="s">
        <v>1037</v>
      </c>
      <c r="F620" s="28"/>
      <c r="G620" s="26"/>
      <c r="H620" s="2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row>
    <row r="621" spans="1:33" x14ac:dyDescent="0.2">
      <c r="B621" s="48"/>
      <c r="C621" s="8"/>
      <c r="D621" s="44"/>
      <c r="E621" s="86" t="s">
        <v>1038</v>
      </c>
      <c r="F621" s="20"/>
      <c r="G621" s="26"/>
      <c r="H621" s="2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row>
    <row r="622" spans="1:33" s="17" customFormat="1" x14ac:dyDescent="0.2">
      <c r="A622" s="4"/>
      <c r="B622" s="49">
        <v>20</v>
      </c>
      <c r="C622" s="13" t="s">
        <v>417</v>
      </c>
      <c r="D622" s="45"/>
      <c r="E622" s="85"/>
      <c r="F622" s="30"/>
      <c r="G622" s="29"/>
      <c r="H622" s="15"/>
    </row>
    <row r="623" spans="1:33" x14ac:dyDescent="0.2">
      <c r="B623" s="52"/>
      <c r="C623" s="56" t="s">
        <v>418</v>
      </c>
      <c r="D623" s="44"/>
      <c r="E623" s="86" t="s">
        <v>1034</v>
      </c>
      <c r="F623" s="28"/>
      <c r="G623" s="26"/>
      <c r="H623" s="21" t="b">
        <f>IF(D624="x",H$2,H$1)</f>
        <v>0</v>
      </c>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row>
    <row r="624" spans="1:33" x14ac:dyDescent="0.2">
      <c r="B624" s="48"/>
      <c r="C624" s="57" t="s">
        <v>419</v>
      </c>
      <c r="D624" s="44"/>
      <c r="E624" s="86" t="s">
        <v>1035</v>
      </c>
      <c r="F624" s="22" t="str">
        <f>IF(H625=1,IF(H623=H$2,H623,""),"")</f>
        <v/>
      </c>
      <c r="G624" s="26"/>
      <c r="H624" s="21" t="str">
        <f t="shared" ref="H624" si="153">IF(E$628="comprobar",COUNTIF(D623:D627,"x"),"")</f>
        <v/>
      </c>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row>
    <row r="625" spans="1:33" x14ac:dyDescent="0.2">
      <c r="B625" s="48"/>
      <c r="C625" s="57" t="s">
        <v>420</v>
      </c>
      <c r="D625" s="44"/>
      <c r="E625" s="86" t="s">
        <v>1036</v>
      </c>
      <c r="F625" s="23" t="str">
        <f>IF(H625=-0.33,IF(H623=H$1,H623,""),"")</f>
        <v/>
      </c>
      <c r="G625" s="26"/>
      <c r="H625" s="24">
        <f t="shared" ref="H625" si="154">IF(H624=1,IF(H623=H$2,1,-0.33),0)</f>
        <v>0</v>
      </c>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row>
    <row r="626" spans="1:33" x14ac:dyDescent="0.2">
      <c r="B626" s="48"/>
      <c r="C626" s="57" t="s">
        <v>421</v>
      </c>
      <c r="D626" s="44"/>
      <c r="E626" s="86" t="s">
        <v>1037</v>
      </c>
      <c r="F626" s="28"/>
      <c r="G626" s="26"/>
      <c r="H626" s="2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row>
    <row r="627" spans="1:33" x14ac:dyDescent="0.2">
      <c r="B627" s="48"/>
      <c r="C627" s="8"/>
      <c r="D627" s="44"/>
      <c r="E627" s="86" t="s">
        <v>1038</v>
      </c>
      <c r="F627" s="20"/>
      <c r="G627" s="19"/>
      <c r="H627" s="2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row>
    <row r="628" spans="1:33" x14ac:dyDescent="0.2">
      <c r="B628" s="52"/>
      <c r="C628" s="47"/>
      <c r="D628" s="73"/>
      <c r="E628" s="87"/>
      <c r="F628" s="20"/>
      <c r="G628" s="19"/>
      <c r="H628" s="19"/>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row>
    <row r="629" spans="1:33" x14ac:dyDescent="0.2">
      <c r="B629" s="52"/>
      <c r="C629" s="18"/>
      <c r="D629" s="73"/>
      <c r="E629" s="93"/>
      <c r="F629" s="31" t="s">
        <v>93</v>
      </c>
      <c r="G629" s="19" t="s">
        <v>91</v>
      </c>
      <c r="H629" s="19" t="s">
        <v>92</v>
      </c>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row>
    <row r="630" spans="1:33" ht="20" x14ac:dyDescent="0.2">
      <c r="B630" s="52"/>
      <c r="C630" s="18"/>
      <c r="D630" s="69"/>
      <c r="E630" s="84"/>
      <c r="F630" s="32" t="str">
        <f>IF(E628="comprobar",H565+H559+H553+H547+H541+H535+H529+H523+H517+H511+H571+H577+H583+H589+H595+H601+H607+H613+H619+H625,"")</f>
        <v/>
      </c>
      <c r="G630" s="19">
        <f>B622/2</f>
        <v>10</v>
      </c>
      <c r="H630" s="19"/>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row>
    <row r="631" spans="1:33" ht="17" thickBot="1" x14ac:dyDescent="0.25">
      <c r="B631" s="53"/>
      <c r="C631" s="33"/>
      <c r="D631" s="34"/>
      <c r="E631" s="88"/>
      <c r="F631" s="35" t="str">
        <f>IF(F630&gt;G630,G629,H629)</f>
        <v>APROBADO</v>
      </c>
      <c r="G631" s="19"/>
      <c r="H631" s="19"/>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row>
    <row r="632" spans="1:33" ht="29" x14ac:dyDescent="0.35">
      <c r="B632" s="54" t="s">
        <v>0</v>
      </c>
      <c r="C632" s="67" t="s">
        <v>422</v>
      </c>
      <c r="D632" s="67"/>
      <c r="E632" s="67"/>
      <c r="F632" s="68"/>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row>
    <row r="633" spans="1:33" s="17" customFormat="1" x14ac:dyDescent="0.2">
      <c r="A633" s="4"/>
      <c r="B633" s="49">
        <v>1</v>
      </c>
      <c r="C633" s="13" t="s">
        <v>423</v>
      </c>
      <c r="D633" s="45"/>
      <c r="E633" s="85"/>
      <c r="F633" s="30"/>
      <c r="G633" s="15"/>
      <c r="H633" s="15"/>
    </row>
    <row r="634" spans="1:33" x14ac:dyDescent="0.2">
      <c r="B634" s="52"/>
      <c r="C634" s="56" t="s">
        <v>424</v>
      </c>
      <c r="D634" s="44"/>
      <c r="E634" s="86" t="s">
        <v>1034</v>
      </c>
      <c r="F634" s="28"/>
      <c r="G634" s="19"/>
      <c r="H634" s="21" t="b">
        <f>IF(D634="x",H$2,H$1)</f>
        <v>0</v>
      </c>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row>
    <row r="635" spans="1:33" x14ac:dyDescent="0.2">
      <c r="B635" s="48"/>
      <c r="C635" s="57" t="s">
        <v>425</v>
      </c>
      <c r="D635" s="44"/>
      <c r="E635" s="86" t="s">
        <v>1035</v>
      </c>
      <c r="F635" s="22" t="str">
        <f>IF(H636=1,IF(H634=H$2,H634,""),"")</f>
        <v/>
      </c>
      <c r="G635" s="19"/>
      <c r="H635" s="21" t="str">
        <f>IF(E753="comprobar",COUNTIF(D634:D638,"x"),"")</f>
        <v/>
      </c>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row>
    <row r="636" spans="1:33" x14ac:dyDescent="0.2">
      <c r="B636" s="48"/>
      <c r="C636" s="57" t="s">
        <v>426</v>
      </c>
      <c r="D636" s="44"/>
      <c r="E636" s="86" t="s">
        <v>1036</v>
      </c>
      <c r="F636" s="23" t="str">
        <f>IF(H636=-0.33,IF(H634=H$1,H634,""),"")</f>
        <v/>
      </c>
      <c r="G636" s="19"/>
      <c r="H636" s="24">
        <f>IF(H635=1,IF(H634=H$2,1,-0.33),0)</f>
        <v>0</v>
      </c>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row>
    <row r="637" spans="1:33" x14ac:dyDescent="0.2">
      <c r="B637" s="48"/>
      <c r="C637" s="57" t="s">
        <v>427</v>
      </c>
      <c r="D637" s="44"/>
      <c r="E637" s="86" t="s">
        <v>1037</v>
      </c>
      <c r="F637" s="28"/>
      <c r="G637" s="19"/>
      <c r="H637" s="2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row>
    <row r="638" spans="1:33" x14ac:dyDescent="0.2">
      <c r="B638" s="48"/>
      <c r="C638" s="8"/>
      <c r="D638" s="44"/>
      <c r="E638" s="86" t="s">
        <v>1038</v>
      </c>
      <c r="F638" s="20"/>
      <c r="G638" s="19"/>
      <c r="H638" s="2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row>
    <row r="639" spans="1:33" s="17" customFormat="1" x14ac:dyDescent="0.2">
      <c r="A639" s="4"/>
      <c r="B639" s="49">
        <v>2</v>
      </c>
      <c r="C639" s="13" t="s">
        <v>428</v>
      </c>
      <c r="D639" s="45"/>
      <c r="E639" s="85"/>
      <c r="F639" s="30"/>
      <c r="G639" s="15"/>
      <c r="H639" s="15"/>
    </row>
    <row r="640" spans="1:33" x14ac:dyDescent="0.2">
      <c r="B640" s="52"/>
      <c r="C640" s="56" t="s">
        <v>429</v>
      </c>
      <c r="D640" s="44"/>
      <c r="E640" s="86" t="s">
        <v>1034</v>
      </c>
      <c r="F640" s="28"/>
      <c r="G640" s="19"/>
      <c r="H640" s="21" t="b">
        <f>IF(D642="x",H$2,H$1)</f>
        <v>0</v>
      </c>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row>
    <row r="641" spans="1:33" x14ac:dyDescent="0.2">
      <c r="B641" s="48"/>
      <c r="C641" s="57" t="s">
        <v>430</v>
      </c>
      <c r="D641" s="44"/>
      <c r="E641" s="86" t="s">
        <v>1035</v>
      </c>
      <c r="F641" s="22" t="str">
        <f>IF(H642=1,IF(H640=H$2,H640,""),"")</f>
        <v/>
      </c>
      <c r="G641" s="19"/>
      <c r="H641" s="21" t="str">
        <f t="shared" ref="H641" si="155">IF(E$753="comprobar",COUNTIF(D640:D644,"x"),"")</f>
        <v/>
      </c>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row>
    <row r="642" spans="1:33" x14ac:dyDescent="0.2">
      <c r="B642" s="48"/>
      <c r="C642" s="57" t="s">
        <v>431</v>
      </c>
      <c r="D642" s="44"/>
      <c r="E642" s="86" t="s">
        <v>1036</v>
      </c>
      <c r="F642" s="23" t="str">
        <f>IF(H642=-0.33,IF(H640=H$1,H640,""),"")</f>
        <v/>
      </c>
      <c r="G642" s="19"/>
      <c r="H642" s="24">
        <f t="shared" ref="H642" si="156">IF(H641=1,IF(H640=H$2,1,-0.33),0)</f>
        <v>0</v>
      </c>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row>
    <row r="643" spans="1:33" x14ac:dyDescent="0.2">
      <c r="B643" s="48"/>
      <c r="C643" s="57"/>
      <c r="D643" s="44"/>
      <c r="E643" s="86" t="s">
        <v>1037</v>
      </c>
      <c r="F643" s="28"/>
      <c r="G643" s="19"/>
      <c r="H643" s="2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row>
    <row r="644" spans="1:33" x14ac:dyDescent="0.2">
      <c r="B644" s="48"/>
      <c r="C644" s="8"/>
      <c r="D644" s="44"/>
      <c r="E644" s="86" t="s">
        <v>1038</v>
      </c>
      <c r="F644" s="20"/>
      <c r="G644" s="19"/>
      <c r="H644" s="2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row>
    <row r="645" spans="1:33" s="17" customFormat="1" x14ac:dyDescent="0.2">
      <c r="A645" s="4"/>
      <c r="B645" s="49">
        <v>3</v>
      </c>
      <c r="C645" s="13" t="s">
        <v>432</v>
      </c>
      <c r="D645" s="45"/>
      <c r="E645" s="85"/>
      <c r="F645" s="30"/>
      <c r="G645" s="15"/>
      <c r="H645" s="15"/>
    </row>
    <row r="646" spans="1:33" x14ac:dyDescent="0.2">
      <c r="B646" s="52"/>
      <c r="C646" s="56" t="s">
        <v>433</v>
      </c>
      <c r="D646" s="44"/>
      <c r="E646" s="86" t="s">
        <v>1034</v>
      </c>
      <c r="F646" s="28"/>
      <c r="G646" s="19"/>
      <c r="H646" s="21" t="b">
        <f>IF(D649="x",H$2,H$1)</f>
        <v>0</v>
      </c>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row>
    <row r="647" spans="1:33" x14ac:dyDescent="0.2">
      <c r="B647" s="48"/>
      <c r="C647" s="57" t="s">
        <v>434</v>
      </c>
      <c r="D647" s="44"/>
      <c r="E647" s="86" t="s">
        <v>1035</v>
      </c>
      <c r="F647" s="22" t="str">
        <f>IF(H648=1,IF(H646=H$2,H646,""),"")</f>
        <v/>
      </c>
      <c r="G647" s="19"/>
      <c r="H647" s="21" t="str">
        <f t="shared" ref="H647" si="157">IF(E$753="comprobar",COUNTIF(D646:D650,"x"),"")</f>
        <v/>
      </c>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row>
    <row r="648" spans="1:33" x14ac:dyDescent="0.2">
      <c r="B648" s="48"/>
      <c r="C648" s="57" t="s">
        <v>435</v>
      </c>
      <c r="D648" s="44"/>
      <c r="E648" s="86" t="s">
        <v>1036</v>
      </c>
      <c r="F648" s="23" t="str">
        <f>IF(H648=-0.33,IF(H646=H$1,H646,""),"")</f>
        <v/>
      </c>
      <c r="G648" s="19"/>
      <c r="H648" s="24">
        <f t="shared" ref="H648" si="158">IF(H647=1,IF(H646=H$2,1,-0.33),0)</f>
        <v>0</v>
      </c>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row>
    <row r="649" spans="1:33" x14ac:dyDescent="0.2">
      <c r="B649" s="48"/>
      <c r="C649" s="57" t="s">
        <v>152</v>
      </c>
      <c r="D649" s="44"/>
      <c r="E649" s="86" t="s">
        <v>1037</v>
      </c>
      <c r="F649" s="28"/>
      <c r="G649" s="19"/>
      <c r="H649" s="2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row>
    <row r="650" spans="1:33" x14ac:dyDescent="0.2">
      <c r="B650" s="48"/>
      <c r="C650" s="8"/>
      <c r="D650" s="44"/>
      <c r="E650" s="86" t="s">
        <v>1038</v>
      </c>
      <c r="F650" s="20"/>
      <c r="G650" s="19"/>
      <c r="H650" s="2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row>
    <row r="651" spans="1:33" s="17" customFormat="1" x14ac:dyDescent="0.2">
      <c r="A651" s="4"/>
      <c r="B651" s="49">
        <v>4</v>
      </c>
      <c r="C651" s="13" t="s">
        <v>436</v>
      </c>
      <c r="D651" s="45"/>
      <c r="E651" s="85"/>
      <c r="F651" s="30"/>
      <c r="G651" s="15"/>
      <c r="H651" s="15"/>
    </row>
    <row r="652" spans="1:33" x14ac:dyDescent="0.2">
      <c r="B652" s="52"/>
      <c r="C652" s="56" t="s">
        <v>437</v>
      </c>
      <c r="D652" s="44"/>
      <c r="E652" s="86" t="s">
        <v>1034</v>
      </c>
      <c r="F652" s="28"/>
      <c r="G652" s="19"/>
      <c r="H652" s="21" t="b">
        <f>IF(D654="x",H$2,H$1)</f>
        <v>0</v>
      </c>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row>
    <row r="653" spans="1:33" x14ac:dyDescent="0.2">
      <c r="B653" s="48"/>
      <c r="C653" s="57" t="s">
        <v>438</v>
      </c>
      <c r="D653" s="44"/>
      <c r="E653" s="86" t="s">
        <v>1035</v>
      </c>
      <c r="F653" s="22" t="str">
        <f>IF(H654=1,IF(H652=H$2,H652,""),"")</f>
        <v/>
      </c>
      <c r="G653" s="19"/>
      <c r="H653" s="21" t="str">
        <f t="shared" ref="H653" si="159">IF(E$753="comprobar",COUNTIF(D652:D656,"x"),"")</f>
        <v/>
      </c>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row>
    <row r="654" spans="1:33" x14ac:dyDescent="0.2">
      <c r="B654" s="48"/>
      <c r="C654" s="57" t="s">
        <v>109</v>
      </c>
      <c r="D654" s="44"/>
      <c r="E654" s="86" t="s">
        <v>1036</v>
      </c>
      <c r="F654" s="23" t="str">
        <f>IF(H654=-0.33,IF(H652=H$1,H652,""),"")</f>
        <v/>
      </c>
      <c r="G654" s="19"/>
      <c r="H654" s="24">
        <f t="shared" ref="H654" si="160">IF(H653=1,IF(H652=H$2,1,-0.33),0)</f>
        <v>0</v>
      </c>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row>
    <row r="655" spans="1:33" x14ac:dyDescent="0.2">
      <c r="B655" s="48"/>
      <c r="C655" s="57"/>
      <c r="D655" s="44"/>
      <c r="E655" s="86" t="s">
        <v>1037</v>
      </c>
      <c r="F655" s="28"/>
      <c r="G655" s="19"/>
      <c r="H655" s="2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row>
    <row r="656" spans="1:33" x14ac:dyDescent="0.2">
      <c r="B656" s="48"/>
      <c r="C656" s="8"/>
      <c r="D656" s="44"/>
      <c r="E656" s="86" t="s">
        <v>1038</v>
      </c>
      <c r="F656" s="20"/>
      <c r="G656" s="19"/>
      <c r="H656" s="2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row>
    <row r="657" spans="1:33" s="17" customFormat="1" x14ac:dyDescent="0.2">
      <c r="A657" s="4"/>
      <c r="B657" s="49">
        <v>5</v>
      </c>
      <c r="C657" s="13" t="s">
        <v>439</v>
      </c>
      <c r="D657" s="45"/>
      <c r="E657" s="85"/>
      <c r="F657" s="30"/>
      <c r="G657" s="15"/>
      <c r="H657" s="15"/>
    </row>
    <row r="658" spans="1:33" x14ac:dyDescent="0.2">
      <c r="B658" s="52"/>
      <c r="C658" s="118">
        <v>50</v>
      </c>
      <c r="D658" s="44"/>
      <c r="E658" s="86" t="s">
        <v>1034</v>
      </c>
      <c r="F658" s="28"/>
      <c r="G658" s="19"/>
      <c r="H658" s="21" t="b">
        <f>IF(D660="x",H$2,H$1)</f>
        <v>0</v>
      </c>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row>
    <row r="659" spans="1:33" x14ac:dyDescent="0.2">
      <c r="B659" s="48"/>
      <c r="C659" s="119">
        <v>10</v>
      </c>
      <c r="D659" s="44"/>
      <c r="E659" s="86" t="s">
        <v>1035</v>
      </c>
      <c r="F659" s="22" t="str">
        <f>IF(H660=1,IF(H658=H$2,H658,""),"")</f>
        <v/>
      </c>
      <c r="G659" s="19"/>
      <c r="H659" s="21" t="str">
        <f t="shared" ref="H659" si="161">IF(E$753="comprobar",COUNTIF(D658:D662,"x"),"")</f>
        <v/>
      </c>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row>
    <row r="660" spans="1:33" x14ac:dyDescent="0.2">
      <c r="B660" s="48"/>
      <c r="C660" s="119">
        <v>49</v>
      </c>
      <c r="D660" s="44"/>
      <c r="E660" s="86" t="s">
        <v>1036</v>
      </c>
      <c r="F660" s="23" t="str">
        <f>IF(H660=-0.33,IF(H658=H$1,H658,""),"")</f>
        <v/>
      </c>
      <c r="G660" s="19"/>
      <c r="H660" s="24">
        <f t="shared" ref="H660" si="162">IF(H659=1,IF(H658=H$2,1,-0.33),0)</f>
        <v>0</v>
      </c>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row>
    <row r="661" spans="1:33" x14ac:dyDescent="0.2">
      <c r="B661" s="48"/>
      <c r="C661" s="57"/>
      <c r="D661" s="44"/>
      <c r="E661" s="86" t="s">
        <v>1037</v>
      </c>
      <c r="F661" s="28"/>
      <c r="G661" s="19"/>
      <c r="H661" s="2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row>
    <row r="662" spans="1:33" x14ac:dyDescent="0.2">
      <c r="B662" s="48"/>
      <c r="C662" s="8"/>
      <c r="D662" s="44"/>
      <c r="E662" s="86" t="s">
        <v>1038</v>
      </c>
      <c r="F662" s="20"/>
      <c r="G662" s="19"/>
      <c r="H662" s="2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row>
    <row r="663" spans="1:33" s="17" customFormat="1" x14ac:dyDescent="0.2">
      <c r="A663" s="4"/>
      <c r="B663" s="49">
        <v>6</v>
      </c>
      <c r="C663" s="13" t="s">
        <v>440</v>
      </c>
      <c r="D663" s="45"/>
      <c r="E663" s="85"/>
      <c r="F663" s="30"/>
      <c r="G663" s="15"/>
      <c r="H663" s="15"/>
    </row>
    <row r="664" spans="1:33" x14ac:dyDescent="0.2">
      <c r="B664" s="52"/>
      <c r="C664" s="56" t="s">
        <v>441</v>
      </c>
      <c r="D664" s="44"/>
      <c r="E664" s="86" t="s">
        <v>1034</v>
      </c>
      <c r="F664" s="28"/>
      <c r="G664" s="19"/>
      <c r="H664" s="21" t="b">
        <f>IF(D665="x",H$2,H$1)</f>
        <v>0</v>
      </c>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row>
    <row r="665" spans="1:33" x14ac:dyDescent="0.2">
      <c r="B665" s="48"/>
      <c r="C665" s="57" t="s">
        <v>442</v>
      </c>
      <c r="D665" s="44"/>
      <c r="E665" s="86" t="s">
        <v>1035</v>
      </c>
      <c r="F665" s="22" t="str">
        <f>IF(H666=1,IF(H664=H$2,H664,""),"")</f>
        <v/>
      </c>
      <c r="G665" s="19"/>
      <c r="H665" s="21" t="str">
        <f t="shared" ref="H665" si="163">IF(E$753="comprobar",COUNTIF(D664:D668,"x"),"")</f>
        <v/>
      </c>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row>
    <row r="666" spans="1:33" x14ac:dyDescent="0.2">
      <c r="B666" s="48"/>
      <c r="C666" s="57" t="s">
        <v>443</v>
      </c>
      <c r="D666" s="44"/>
      <c r="E666" s="86" t="s">
        <v>1036</v>
      </c>
      <c r="F666" s="23" t="str">
        <f>IF(H666=-0.33,IF(H664=H$1,H664,""),"")</f>
        <v/>
      </c>
      <c r="G666" s="19"/>
      <c r="H666" s="24">
        <f t="shared" ref="H666" si="164">IF(H665=1,IF(H664=H$2,1,-0.33),0)</f>
        <v>0</v>
      </c>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row>
    <row r="667" spans="1:33" x14ac:dyDescent="0.2">
      <c r="B667" s="48"/>
      <c r="C667" s="57" t="s">
        <v>444</v>
      </c>
      <c r="D667" s="44"/>
      <c r="E667" s="86" t="s">
        <v>1037</v>
      </c>
      <c r="F667" s="28"/>
      <c r="G667" s="19"/>
      <c r="H667" s="2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row>
    <row r="668" spans="1:33" x14ac:dyDescent="0.2">
      <c r="B668" s="48"/>
      <c r="C668" s="8"/>
      <c r="D668" s="44"/>
      <c r="E668" s="86" t="s">
        <v>1038</v>
      </c>
      <c r="F668" s="20"/>
      <c r="G668" s="19"/>
      <c r="H668" s="2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row>
    <row r="669" spans="1:33" s="17" customFormat="1" x14ac:dyDescent="0.2">
      <c r="A669" s="4"/>
      <c r="B669" s="49">
        <v>7</v>
      </c>
      <c r="C669" s="13" t="s">
        <v>445</v>
      </c>
      <c r="D669" s="45"/>
      <c r="E669" s="85"/>
      <c r="F669" s="30"/>
      <c r="G669" s="15"/>
      <c r="H669" s="15"/>
    </row>
    <row r="670" spans="1:33" x14ac:dyDescent="0.2">
      <c r="B670" s="52"/>
      <c r="C670" s="118">
        <v>9</v>
      </c>
      <c r="D670" s="44"/>
      <c r="E670" s="86" t="s">
        <v>1034</v>
      </c>
      <c r="F670" s="28"/>
      <c r="G670" s="19"/>
      <c r="H670" s="21" t="b">
        <f>IF(D672="x",H$2,H$1)</f>
        <v>0</v>
      </c>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row>
    <row r="671" spans="1:33" x14ac:dyDescent="0.2">
      <c r="B671" s="48"/>
      <c r="C671" s="119">
        <v>17</v>
      </c>
      <c r="D671" s="44"/>
      <c r="E671" s="86" t="s">
        <v>1035</v>
      </c>
      <c r="F671" s="22" t="str">
        <f>IF(H672=1,IF(H670=H$2,H670,""),"")</f>
        <v/>
      </c>
      <c r="G671" s="19"/>
      <c r="H671" s="21" t="str">
        <f t="shared" ref="H671" si="165">IF(E$753="comprobar",COUNTIF(D670:D674,"x"),"")</f>
        <v/>
      </c>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row>
    <row r="672" spans="1:33" x14ac:dyDescent="0.2">
      <c r="B672" s="48"/>
      <c r="C672" s="119">
        <v>13</v>
      </c>
      <c r="D672" s="44"/>
      <c r="E672" s="86" t="s">
        <v>1036</v>
      </c>
      <c r="F672" s="23" t="str">
        <f>IF(H672=-0.33,IF(H670=H$1,H670,""),"")</f>
        <v/>
      </c>
      <c r="G672" s="19"/>
      <c r="H672" s="24">
        <f t="shared" ref="H672" si="166">IF(H671=1,IF(H670=H$2,1,-0.33),0)</f>
        <v>0</v>
      </c>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row>
    <row r="673" spans="1:33" x14ac:dyDescent="0.2">
      <c r="B673" s="48"/>
      <c r="C673" s="57"/>
      <c r="D673" s="44"/>
      <c r="E673" s="86" t="s">
        <v>1037</v>
      </c>
      <c r="F673" s="28"/>
      <c r="G673" s="19"/>
      <c r="H673" s="2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row>
    <row r="674" spans="1:33" x14ac:dyDescent="0.2">
      <c r="B674" s="48"/>
      <c r="C674" s="8"/>
      <c r="D674" s="44"/>
      <c r="E674" s="86" t="s">
        <v>1038</v>
      </c>
      <c r="F674" s="20"/>
      <c r="G674" s="19"/>
      <c r="H674" s="2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row>
    <row r="675" spans="1:33" s="17" customFormat="1" x14ac:dyDescent="0.2">
      <c r="A675" s="4"/>
      <c r="B675" s="49">
        <v>8</v>
      </c>
      <c r="C675" s="13" t="s">
        <v>446</v>
      </c>
      <c r="D675" s="45"/>
      <c r="E675" s="85"/>
      <c r="F675" s="30"/>
      <c r="G675" s="15"/>
      <c r="H675" s="15"/>
    </row>
    <row r="676" spans="1:33" x14ac:dyDescent="0.2">
      <c r="B676" s="52"/>
      <c r="C676" s="56" t="s">
        <v>447</v>
      </c>
      <c r="D676" s="44"/>
      <c r="E676" s="86" t="s">
        <v>1034</v>
      </c>
      <c r="F676" s="28"/>
      <c r="G676" s="19"/>
      <c r="H676" s="21" t="b">
        <f>IF(D678="x",H$2,H$1)</f>
        <v>0</v>
      </c>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row>
    <row r="677" spans="1:33" x14ac:dyDescent="0.2">
      <c r="B677" s="48"/>
      <c r="C677" s="57" t="s">
        <v>448</v>
      </c>
      <c r="D677" s="44"/>
      <c r="E677" s="86" t="s">
        <v>1035</v>
      </c>
      <c r="F677" s="22" t="str">
        <f>IF(H678=1,IF(H676=H$2,H676,""),"")</f>
        <v/>
      </c>
      <c r="G677" s="19"/>
      <c r="H677" s="21" t="str">
        <f t="shared" ref="H677" si="167">IF(E$753="comprobar",COUNTIF(D676:D680,"x"),"")</f>
        <v/>
      </c>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row>
    <row r="678" spans="1:33" x14ac:dyDescent="0.2">
      <c r="B678" s="48"/>
      <c r="C678" s="57" t="s">
        <v>449</v>
      </c>
      <c r="D678" s="44"/>
      <c r="E678" s="86" t="s">
        <v>1036</v>
      </c>
      <c r="F678" s="23" t="str">
        <f>IF(H678=-0.33,IF(H676=H$1,H676,""),"")</f>
        <v/>
      </c>
      <c r="G678" s="19"/>
      <c r="H678" s="24">
        <f t="shared" ref="H678" si="168">IF(H677=1,IF(H676=H$2,1,-0.33),0)</f>
        <v>0</v>
      </c>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row>
    <row r="679" spans="1:33" x14ac:dyDescent="0.2">
      <c r="B679" s="48"/>
      <c r="C679" s="57"/>
      <c r="D679" s="44"/>
      <c r="E679" s="86" t="s">
        <v>1037</v>
      </c>
      <c r="F679" s="28"/>
      <c r="G679" s="19"/>
      <c r="H679" s="2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row>
    <row r="680" spans="1:33" x14ac:dyDescent="0.2">
      <c r="B680" s="48"/>
      <c r="C680" s="8"/>
      <c r="D680" s="44"/>
      <c r="E680" s="86" t="s">
        <v>1038</v>
      </c>
      <c r="F680" s="20"/>
      <c r="G680" s="19"/>
      <c r="H680" s="2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row>
    <row r="681" spans="1:33" s="17" customFormat="1" x14ac:dyDescent="0.2">
      <c r="A681" s="4"/>
      <c r="B681" s="49">
        <v>9</v>
      </c>
      <c r="C681" s="13" t="s">
        <v>450</v>
      </c>
      <c r="D681" s="45"/>
      <c r="E681" s="85"/>
      <c r="F681" s="30"/>
      <c r="G681" s="15"/>
      <c r="H681" s="15"/>
    </row>
    <row r="682" spans="1:33" x14ac:dyDescent="0.2">
      <c r="B682" s="52"/>
      <c r="C682" s="118">
        <v>50</v>
      </c>
      <c r="D682" s="44"/>
      <c r="E682" s="86" t="s">
        <v>1034</v>
      </c>
      <c r="F682" s="28"/>
      <c r="G682" s="19"/>
      <c r="H682" s="21" t="b">
        <f>IF(D682="x",H$2,H$1)</f>
        <v>0</v>
      </c>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row>
    <row r="683" spans="1:33" x14ac:dyDescent="0.2">
      <c r="B683" s="48"/>
      <c r="C683" s="119">
        <v>35</v>
      </c>
      <c r="D683" s="44"/>
      <c r="E683" s="86" t="s">
        <v>1035</v>
      </c>
      <c r="F683" s="22" t="str">
        <f>IF(H684=1,IF(H682=H$2,H682,""),"")</f>
        <v/>
      </c>
      <c r="G683" s="19"/>
      <c r="H683" s="21" t="str">
        <f t="shared" ref="H683" si="169">IF(E$753="comprobar",COUNTIF(D682:D686,"x"),"")</f>
        <v/>
      </c>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row>
    <row r="684" spans="1:33" x14ac:dyDescent="0.2">
      <c r="B684" s="48"/>
      <c r="C684" s="119">
        <v>25</v>
      </c>
      <c r="D684" s="44"/>
      <c r="E684" s="86" t="s">
        <v>1036</v>
      </c>
      <c r="F684" s="23" t="str">
        <f>IF(H684=-0.33,IF(H682=H$1,H682,""),"")</f>
        <v/>
      </c>
      <c r="G684" s="19"/>
      <c r="H684" s="24">
        <f t="shared" ref="H684" si="170">IF(H683=1,IF(H682=H$2,1,-0.33),0)</f>
        <v>0</v>
      </c>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row>
    <row r="685" spans="1:33" x14ac:dyDescent="0.2">
      <c r="B685" s="48"/>
      <c r="C685" s="57"/>
      <c r="D685" s="44"/>
      <c r="E685" s="86" t="s">
        <v>1037</v>
      </c>
      <c r="F685" s="28"/>
      <c r="G685" s="19"/>
      <c r="H685" s="2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row>
    <row r="686" spans="1:33" s="40" customFormat="1" x14ac:dyDescent="0.2">
      <c r="A686" s="4"/>
      <c r="B686" s="48"/>
      <c r="C686" s="8"/>
      <c r="D686" s="44"/>
      <c r="E686" s="86" t="s">
        <v>1038</v>
      </c>
      <c r="F686" s="20"/>
      <c r="G686" s="19"/>
      <c r="H686" s="24"/>
      <c r="I686" s="80"/>
      <c r="J686" s="80"/>
      <c r="K686" s="80"/>
      <c r="L686" s="80"/>
      <c r="M686" s="80"/>
      <c r="N686" s="80"/>
      <c r="O686" s="80"/>
      <c r="P686" s="80"/>
      <c r="Q686" s="80"/>
      <c r="R686" s="80"/>
      <c r="S686" s="80"/>
      <c r="T686" s="80"/>
      <c r="U686" s="80"/>
      <c r="V686" s="80"/>
      <c r="W686" s="80"/>
      <c r="X686" s="80"/>
      <c r="Y686" s="80"/>
      <c r="Z686" s="80"/>
      <c r="AA686" s="80"/>
      <c r="AB686" s="80"/>
      <c r="AC686" s="80"/>
      <c r="AD686" s="80"/>
      <c r="AE686" s="80"/>
      <c r="AF686" s="80"/>
      <c r="AG686" s="80"/>
    </row>
    <row r="687" spans="1:33" s="17" customFormat="1" x14ac:dyDescent="0.2">
      <c r="A687" s="4"/>
      <c r="B687" s="49">
        <v>10</v>
      </c>
      <c r="C687" s="13" t="s">
        <v>451</v>
      </c>
      <c r="D687" s="45"/>
      <c r="E687" s="85"/>
      <c r="F687" s="30"/>
      <c r="G687" s="29"/>
      <c r="H687" s="15"/>
    </row>
    <row r="688" spans="1:33" x14ac:dyDescent="0.2">
      <c r="B688" s="52"/>
      <c r="C688" s="56" t="s">
        <v>452</v>
      </c>
      <c r="D688" s="44"/>
      <c r="E688" s="86" t="s">
        <v>1034</v>
      </c>
      <c r="F688" s="28"/>
      <c r="G688" s="26"/>
      <c r="H688" s="21" t="b">
        <f>IF(D691="x",H$2,H$1)</f>
        <v>0</v>
      </c>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row>
    <row r="689" spans="1:33" x14ac:dyDescent="0.2">
      <c r="B689" s="48"/>
      <c r="C689" s="57" t="s">
        <v>453</v>
      </c>
      <c r="D689" s="44"/>
      <c r="E689" s="86" t="s">
        <v>1035</v>
      </c>
      <c r="F689" s="22" t="str">
        <f>IF(H690=1,IF(H688=H$2,H688,""),"")</f>
        <v/>
      </c>
      <c r="G689" s="26"/>
      <c r="H689" s="21" t="str">
        <f t="shared" ref="H689" si="171">IF(E$753="comprobar",COUNTIF(D688:D692,"x"),"")</f>
        <v/>
      </c>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row>
    <row r="690" spans="1:33" x14ac:dyDescent="0.2">
      <c r="B690" s="48"/>
      <c r="C690" s="57" t="s">
        <v>454</v>
      </c>
      <c r="D690" s="44"/>
      <c r="E690" s="86" t="s">
        <v>1036</v>
      </c>
      <c r="F690" s="23" t="str">
        <f>IF(H690=-0.33,IF(H688=H$1,H688,""),"")</f>
        <v/>
      </c>
      <c r="G690" s="26"/>
      <c r="H690" s="24">
        <f t="shared" ref="H690" si="172">IF(H689=1,IF(H688=H$2,1,-0.33),0)</f>
        <v>0</v>
      </c>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row>
    <row r="691" spans="1:33" x14ac:dyDescent="0.2">
      <c r="B691" s="48"/>
      <c r="C691" s="57" t="s">
        <v>455</v>
      </c>
      <c r="D691" s="44"/>
      <c r="E691" s="86" t="s">
        <v>1037</v>
      </c>
      <c r="F691" s="28"/>
      <c r="G691" s="26"/>
      <c r="H691" s="2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row>
    <row r="692" spans="1:33" x14ac:dyDescent="0.2">
      <c r="B692" s="48"/>
      <c r="C692" s="8"/>
      <c r="D692" s="44"/>
      <c r="E692" s="86" t="s">
        <v>1038</v>
      </c>
      <c r="F692" s="20"/>
      <c r="G692" s="26"/>
      <c r="H692" s="2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row>
    <row r="693" spans="1:33" s="17" customFormat="1" x14ac:dyDescent="0.2">
      <c r="A693" s="4"/>
      <c r="B693" s="49">
        <v>11</v>
      </c>
      <c r="C693" s="13" t="s">
        <v>456</v>
      </c>
      <c r="D693" s="45"/>
      <c r="E693" s="85"/>
      <c r="F693" s="30"/>
      <c r="G693" s="29"/>
      <c r="H693" s="15"/>
    </row>
    <row r="694" spans="1:33" x14ac:dyDescent="0.2">
      <c r="B694" s="52"/>
      <c r="C694" s="56" t="s">
        <v>457</v>
      </c>
      <c r="D694" s="44"/>
      <c r="E694" s="86" t="s">
        <v>1034</v>
      </c>
      <c r="F694" s="28"/>
      <c r="G694" s="26"/>
      <c r="H694" s="21" t="b">
        <f>IF(D695="x",H$2,H$1)</f>
        <v>0</v>
      </c>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row>
    <row r="695" spans="1:33" x14ac:dyDescent="0.2">
      <c r="B695" s="48"/>
      <c r="C695" s="57" t="s">
        <v>458</v>
      </c>
      <c r="D695" s="44"/>
      <c r="E695" s="86" t="s">
        <v>1035</v>
      </c>
      <c r="F695" s="22" t="str">
        <f>IF(H696=1,IF(H694=H$2,H694,""),"")</f>
        <v/>
      </c>
      <c r="G695" s="26"/>
      <c r="H695" s="21" t="str">
        <f t="shared" ref="H695" si="173">IF(E$753="comprobar",COUNTIF(D694:D698,"x"),"")</f>
        <v/>
      </c>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row>
    <row r="696" spans="1:33" x14ac:dyDescent="0.2">
      <c r="B696" s="48"/>
      <c r="C696" s="57" t="s">
        <v>459</v>
      </c>
      <c r="D696" s="44"/>
      <c r="E696" s="86" t="s">
        <v>1036</v>
      </c>
      <c r="F696" s="23" t="str">
        <f>IF(H696=-0.33,IF(H694=H$1,H694,""),"")</f>
        <v/>
      </c>
      <c r="G696" s="26"/>
      <c r="H696" s="24">
        <f t="shared" ref="H696" si="174">IF(H695=1,IF(H694=H$2,1,-0.33),0)</f>
        <v>0</v>
      </c>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row>
    <row r="697" spans="1:33" x14ac:dyDescent="0.2">
      <c r="B697" s="48"/>
      <c r="C697" s="57"/>
      <c r="D697" s="44"/>
      <c r="E697" s="86" t="s">
        <v>1037</v>
      </c>
      <c r="F697" s="28"/>
      <c r="G697" s="26"/>
      <c r="H697" s="2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row>
    <row r="698" spans="1:33" x14ac:dyDescent="0.2">
      <c r="B698" s="48"/>
      <c r="C698" s="8"/>
      <c r="D698" s="44"/>
      <c r="E698" s="86" t="s">
        <v>1038</v>
      </c>
      <c r="F698" s="20"/>
      <c r="G698" s="26"/>
      <c r="H698" s="2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row>
    <row r="699" spans="1:33" s="17" customFormat="1" x14ac:dyDescent="0.2">
      <c r="A699" s="4"/>
      <c r="B699" s="49">
        <v>12</v>
      </c>
      <c r="C699" s="13" t="s">
        <v>460</v>
      </c>
      <c r="D699" s="45"/>
      <c r="E699" s="85"/>
      <c r="F699" s="30"/>
      <c r="G699" s="29"/>
      <c r="H699" s="15"/>
    </row>
    <row r="700" spans="1:33" x14ac:dyDescent="0.2">
      <c r="B700" s="52"/>
      <c r="C700" s="56" t="s">
        <v>461</v>
      </c>
      <c r="D700" s="44"/>
      <c r="E700" s="86" t="s">
        <v>1034</v>
      </c>
      <c r="F700" s="28"/>
      <c r="G700" s="26"/>
      <c r="H700" s="21" t="b">
        <f>IF(D701="x",H$2,H$1)</f>
        <v>0</v>
      </c>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row>
    <row r="701" spans="1:33" x14ac:dyDescent="0.2">
      <c r="B701" s="48"/>
      <c r="C701" s="57" t="s">
        <v>462</v>
      </c>
      <c r="D701" s="44"/>
      <c r="E701" s="86" t="s">
        <v>1035</v>
      </c>
      <c r="F701" s="22" t="str">
        <f>IF(H702=1,IF(H700=H$2,H700,""),"")</f>
        <v/>
      </c>
      <c r="G701" s="26"/>
      <c r="H701" s="21" t="str">
        <f t="shared" ref="H701" si="175">IF(E$753="comprobar",COUNTIF(D700:D704,"x"),"")</f>
        <v/>
      </c>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row>
    <row r="702" spans="1:33" x14ac:dyDescent="0.2">
      <c r="B702" s="48"/>
      <c r="C702" s="57" t="s">
        <v>463</v>
      </c>
      <c r="D702" s="44"/>
      <c r="E702" s="86" t="s">
        <v>1036</v>
      </c>
      <c r="F702" s="23" t="str">
        <f>IF(H702=-0.33,IF(H700=H$1,H700,""),"")</f>
        <v/>
      </c>
      <c r="G702" s="26"/>
      <c r="H702" s="24">
        <f t="shared" ref="H702" si="176">IF(H701=1,IF(H700=H$2,1,-0.33),0)</f>
        <v>0</v>
      </c>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row>
    <row r="703" spans="1:33" x14ac:dyDescent="0.2">
      <c r="B703" s="48"/>
      <c r="C703" s="57"/>
      <c r="D703" s="44"/>
      <c r="E703" s="86" t="s">
        <v>1037</v>
      </c>
      <c r="F703" s="28"/>
      <c r="G703" s="26"/>
      <c r="H703" s="2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row>
    <row r="704" spans="1:33" x14ac:dyDescent="0.2">
      <c r="B704" s="48"/>
      <c r="C704" s="8"/>
      <c r="D704" s="44"/>
      <c r="E704" s="86" t="s">
        <v>1038</v>
      </c>
      <c r="F704" s="20"/>
      <c r="G704" s="26"/>
      <c r="H704" s="2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row>
    <row r="705" spans="1:33" s="17" customFormat="1" x14ac:dyDescent="0.2">
      <c r="A705" s="4"/>
      <c r="B705" s="49">
        <v>13</v>
      </c>
      <c r="C705" s="13" t="s">
        <v>464</v>
      </c>
      <c r="D705" s="45"/>
      <c r="E705" s="85"/>
      <c r="F705" s="30"/>
      <c r="G705" s="15"/>
      <c r="H705" s="15"/>
    </row>
    <row r="706" spans="1:33" x14ac:dyDescent="0.2">
      <c r="B706" s="52"/>
      <c r="C706" s="56" t="s">
        <v>465</v>
      </c>
      <c r="D706" s="44"/>
      <c r="E706" s="86" t="s">
        <v>1034</v>
      </c>
      <c r="F706" s="28"/>
      <c r="G706" s="19"/>
      <c r="H706" s="21" t="b">
        <f>IF(D708="x",H$2,H$1)</f>
        <v>0</v>
      </c>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row>
    <row r="707" spans="1:33" x14ac:dyDescent="0.2">
      <c r="B707" s="48"/>
      <c r="C707" s="57" t="s">
        <v>343</v>
      </c>
      <c r="D707" s="44"/>
      <c r="E707" s="86" t="s">
        <v>1035</v>
      </c>
      <c r="F707" s="22" t="str">
        <f>IF(H708=1,IF(H706=H$2,H706,""),"")</f>
        <v/>
      </c>
      <c r="G707" s="19"/>
      <c r="H707" s="21" t="str">
        <f t="shared" ref="H707" si="177">IF(E$753="comprobar",COUNTIF(D706:D710,"x"),"")</f>
        <v/>
      </c>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row>
    <row r="708" spans="1:33" x14ac:dyDescent="0.2">
      <c r="B708" s="48"/>
      <c r="C708" s="57" t="s">
        <v>466</v>
      </c>
      <c r="D708" s="44"/>
      <c r="E708" s="86" t="s">
        <v>1036</v>
      </c>
      <c r="F708" s="23" t="str">
        <f>IF(H708=-0.33,IF(H706=H$1,H706,""),"")</f>
        <v/>
      </c>
      <c r="G708" s="19"/>
      <c r="H708" s="24">
        <f t="shared" ref="H708" si="178">IF(H707=1,IF(H706=H$2,1,-0.33),0)</f>
        <v>0</v>
      </c>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row>
    <row r="709" spans="1:33" x14ac:dyDescent="0.2">
      <c r="B709" s="48"/>
      <c r="C709" s="57" t="s">
        <v>467</v>
      </c>
      <c r="D709" s="44"/>
      <c r="E709" s="86" t="s">
        <v>1037</v>
      </c>
      <c r="F709" s="28"/>
      <c r="G709" s="19"/>
      <c r="H709" s="2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row>
    <row r="710" spans="1:33" x14ac:dyDescent="0.2">
      <c r="B710" s="48"/>
      <c r="C710" s="8"/>
      <c r="D710" s="44"/>
      <c r="E710" s="86" t="s">
        <v>1038</v>
      </c>
      <c r="F710" s="20"/>
      <c r="G710" s="19"/>
      <c r="H710" s="2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row>
    <row r="711" spans="1:33" s="17" customFormat="1" x14ac:dyDescent="0.2">
      <c r="A711" s="4"/>
      <c r="B711" s="49">
        <v>14</v>
      </c>
      <c r="C711" s="13" t="s">
        <v>468</v>
      </c>
      <c r="D711" s="45"/>
      <c r="E711" s="85"/>
      <c r="F711" s="30"/>
      <c r="G711" s="29"/>
      <c r="H711" s="15"/>
    </row>
    <row r="712" spans="1:33" x14ac:dyDescent="0.2">
      <c r="B712" s="52"/>
      <c r="C712" s="56" t="s">
        <v>469</v>
      </c>
      <c r="D712" s="44"/>
      <c r="E712" s="86" t="s">
        <v>1034</v>
      </c>
      <c r="F712" s="28"/>
      <c r="G712" s="26"/>
      <c r="H712" s="21" t="b">
        <f>IF(D713="x",H$2,H$1)</f>
        <v>0</v>
      </c>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row>
    <row r="713" spans="1:33" x14ac:dyDescent="0.2">
      <c r="B713" s="48"/>
      <c r="C713" s="57" t="s">
        <v>470</v>
      </c>
      <c r="D713" s="44"/>
      <c r="E713" s="86" t="s">
        <v>1035</v>
      </c>
      <c r="F713" s="22" t="str">
        <f>IF(H714=1,IF(H712=H$2,H712,""),"")</f>
        <v/>
      </c>
      <c r="G713" s="26"/>
      <c r="H713" s="21" t="str">
        <f t="shared" ref="H713" si="179">IF(E$753="comprobar",COUNTIF(D712:D716,"x"),"")</f>
        <v/>
      </c>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row>
    <row r="714" spans="1:33" x14ac:dyDescent="0.2">
      <c r="B714" s="48"/>
      <c r="C714" s="57" t="s">
        <v>471</v>
      </c>
      <c r="D714" s="44"/>
      <c r="E714" s="86" t="s">
        <v>1036</v>
      </c>
      <c r="F714" s="23" t="str">
        <f>IF(H714=-0.33,IF(H712=H$1,H712,""),"")</f>
        <v/>
      </c>
      <c r="G714" s="26"/>
      <c r="H714" s="24">
        <f t="shared" ref="H714" si="180">IF(H713=1,IF(H712=H$2,1,-0.33),0)</f>
        <v>0</v>
      </c>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row>
    <row r="715" spans="1:33" x14ac:dyDescent="0.2">
      <c r="B715" s="48"/>
      <c r="C715" s="57" t="s">
        <v>472</v>
      </c>
      <c r="D715" s="44"/>
      <c r="E715" s="86" t="s">
        <v>1037</v>
      </c>
      <c r="F715" s="28"/>
      <c r="G715" s="26"/>
      <c r="H715" s="2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row>
    <row r="716" spans="1:33" x14ac:dyDescent="0.2">
      <c r="B716" s="48"/>
      <c r="C716" s="8"/>
      <c r="D716" s="44"/>
      <c r="E716" s="86" t="s">
        <v>1038</v>
      </c>
      <c r="F716" s="20"/>
      <c r="G716" s="26"/>
      <c r="H716" s="2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row>
    <row r="717" spans="1:33" s="17" customFormat="1" x14ac:dyDescent="0.2">
      <c r="A717" s="4"/>
      <c r="B717" s="49">
        <v>15</v>
      </c>
      <c r="C717" s="13" t="s">
        <v>473</v>
      </c>
      <c r="D717" s="45"/>
      <c r="E717" s="85"/>
      <c r="F717" s="30"/>
      <c r="G717" s="29"/>
      <c r="H717" s="15"/>
    </row>
    <row r="718" spans="1:33" x14ac:dyDescent="0.2">
      <c r="B718" s="52"/>
      <c r="C718" s="56" t="s">
        <v>474</v>
      </c>
      <c r="D718" s="44"/>
      <c r="E718" s="86" t="s">
        <v>1034</v>
      </c>
      <c r="F718" s="28"/>
      <c r="G718" s="26"/>
      <c r="H718" s="21" t="b">
        <f t="shared" ref="H718" si="181">IF(D718="x",H$2,H$1)</f>
        <v>0</v>
      </c>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row>
    <row r="719" spans="1:33" x14ac:dyDescent="0.2">
      <c r="B719" s="48"/>
      <c r="C719" s="57" t="s">
        <v>475</v>
      </c>
      <c r="D719" s="44"/>
      <c r="E719" s="86" t="s">
        <v>1035</v>
      </c>
      <c r="F719" s="22" t="str">
        <f>IF(H720=1,IF(H718=H$2,H718,""),"")</f>
        <v/>
      </c>
      <c r="G719" s="26"/>
      <c r="H719" s="21" t="str">
        <f t="shared" ref="H719" si="182">IF(E$753="comprobar",COUNTIF(D718:D722,"x"),"")</f>
        <v/>
      </c>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row>
    <row r="720" spans="1:33" x14ac:dyDescent="0.2">
      <c r="B720" s="48"/>
      <c r="C720" s="57" t="s">
        <v>476</v>
      </c>
      <c r="D720" s="44"/>
      <c r="E720" s="86" t="s">
        <v>1036</v>
      </c>
      <c r="F720" s="23" t="str">
        <f>IF(H720=-0.33,IF(H718=H$1,H718,""),"")</f>
        <v/>
      </c>
      <c r="G720" s="26"/>
      <c r="H720" s="24">
        <f t="shared" ref="H720" si="183">IF(H719=1,IF(H718=H$2,1,-0.33),0)</f>
        <v>0</v>
      </c>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row>
    <row r="721" spans="1:33" x14ac:dyDescent="0.2">
      <c r="B721" s="48"/>
      <c r="C721" s="57"/>
      <c r="D721" s="44"/>
      <c r="E721" s="86" t="s">
        <v>1037</v>
      </c>
      <c r="F721" s="28"/>
      <c r="G721" s="26"/>
      <c r="H721" s="2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row>
    <row r="722" spans="1:33" x14ac:dyDescent="0.2">
      <c r="B722" s="48"/>
      <c r="C722" s="8"/>
      <c r="D722" s="44"/>
      <c r="E722" s="86" t="s">
        <v>1038</v>
      </c>
      <c r="F722" s="20"/>
      <c r="G722" s="26"/>
      <c r="H722" s="2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row>
    <row r="723" spans="1:33" s="17" customFormat="1" x14ac:dyDescent="0.2">
      <c r="A723" s="4"/>
      <c r="B723" s="49">
        <v>16</v>
      </c>
      <c r="C723" s="13" t="s">
        <v>477</v>
      </c>
      <c r="D723" s="45"/>
      <c r="E723" s="85"/>
      <c r="F723" s="30"/>
      <c r="G723" s="29"/>
      <c r="H723" s="15"/>
    </row>
    <row r="724" spans="1:33" x14ac:dyDescent="0.2">
      <c r="B724" s="52"/>
      <c r="C724" s="56" t="s">
        <v>478</v>
      </c>
      <c r="D724" s="44"/>
      <c r="E724" s="86" t="s">
        <v>1034</v>
      </c>
      <c r="F724" s="28"/>
      <c r="G724" s="26"/>
      <c r="H724" s="21" t="b">
        <f>IF(D725="x",H$2,H$1)</f>
        <v>0</v>
      </c>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row>
    <row r="725" spans="1:33" x14ac:dyDescent="0.2">
      <c r="B725" s="48"/>
      <c r="C725" s="57" t="s">
        <v>479</v>
      </c>
      <c r="D725" s="44"/>
      <c r="E725" s="86" t="s">
        <v>1035</v>
      </c>
      <c r="F725" s="22" t="str">
        <f>IF(H726=1,IF(H724=H$2,H724,""),"")</f>
        <v/>
      </c>
      <c r="G725" s="26"/>
      <c r="H725" s="21" t="str">
        <f t="shared" ref="H725" si="184">IF(E$753="comprobar",COUNTIF(D724:D728,"x"),"")</f>
        <v/>
      </c>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row>
    <row r="726" spans="1:33" s="40" customFormat="1" x14ac:dyDescent="0.2">
      <c r="A726" s="4"/>
      <c r="B726" s="48"/>
      <c r="C726" s="57" t="s">
        <v>480</v>
      </c>
      <c r="D726" s="44"/>
      <c r="E726" s="86" t="s">
        <v>1036</v>
      </c>
      <c r="F726" s="23" t="str">
        <f>IF(H726=-0.33,IF(H724=H$1,H724,""),"")</f>
        <v/>
      </c>
      <c r="G726" s="26"/>
      <c r="H726" s="24">
        <f t="shared" ref="H726" si="185">IF(H725=1,IF(H724=H$2,1,-0.33),0)</f>
        <v>0</v>
      </c>
      <c r="I726" s="80"/>
      <c r="J726" s="80"/>
      <c r="K726" s="80"/>
      <c r="L726" s="80"/>
      <c r="M726" s="80"/>
      <c r="N726" s="80"/>
      <c r="O726" s="80"/>
      <c r="P726" s="80"/>
      <c r="Q726" s="80"/>
      <c r="R726" s="80"/>
      <c r="S726" s="80"/>
      <c r="T726" s="80"/>
      <c r="U726" s="80"/>
      <c r="V726" s="80"/>
      <c r="W726" s="80"/>
      <c r="X726" s="80"/>
      <c r="Y726" s="80"/>
      <c r="Z726" s="80"/>
      <c r="AA726" s="80"/>
      <c r="AB726" s="80"/>
      <c r="AC726" s="80"/>
      <c r="AD726" s="80"/>
      <c r="AE726" s="80"/>
      <c r="AF726" s="80"/>
      <c r="AG726" s="80"/>
    </row>
    <row r="727" spans="1:33" s="40" customFormat="1" x14ac:dyDescent="0.2">
      <c r="A727" s="4"/>
      <c r="B727" s="48"/>
      <c r="C727" s="57"/>
      <c r="D727" s="44"/>
      <c r="E727" s="86" t="s">
        <v>1037</v>
      </c>
      <c r="F727" s="28"/>
      <c r="G727" s="26"/>
      <c r="H727" s="24"/>
      <c r="I727" s="80"/>
      <c r="J727" s="80"/>
      <c r="K727" s="80"/>
      <c r="L727" s="80"/>
      <c r="M727" s="80"/>
      <c r="N727" s="80"/>
      <c r="O727" s="80"/>
      <c r="P727" s="80"/>
      <c r="Q727" s="80"/>
      <c r="R727" s="80"/>
      <c r="S727" s="80"/>
      <c r="T727" s="80"/>
      <c r="U727" s="80"/>
      <c r="V727" s="80"/>
      <c r="W727" s="80"/>
      <c r="X727" s="80"/>
      <c r="Y727" s="80"/>
      <c r="Z727" s="80"/>
      <c r="AA727" s="80"/>
      <c r="AB727" s="80"/>
      <c r="AC727" s="80"/>
      <c r="AD727" s="80"/>
      <c r="AE727" s="80"/>
      <c r="AF727" s="80"/>
      <c r="AG727" s="80"/>
    </row>
    <row r="728" spans="1:33" x14ac:dyDescent="0.2">
      <c r="B728" s="48"/>
      <c r="C728" s="8"/>
      <c r="D728" s="44"/>
      <c r="E728" s="86" t="s">
        <v>1038</v>
      </c>
      <c r="F728" s="20"/>
      <c r="G728" s="26"/>
      <c r="H728" s="2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row>
    <row r="729" spans="1:33" s="17" customFormat="1" x14ac:dyDescent="0.2">
      <c r="A729" s="4"/>
      <c r="B729" s="49">
        <v>17</v>
      </c>
      <c r="C729" s="13" t="s">
        <v>481</v>
      </c>
      <c r="D729" s="45"/>
      <c r="E729" s="85"/>
      <c r="F729" s="30"/>
      <c r="G729" s="29"/>
      <c r="H729" s="15"/>
    </row>
    <row r="730" spans="1:33" x14ac:dyDescent="0.2">
      <c r="B730" s="52"/>
      <c r="C730" s="56" t="s">
        <v>482</v>
      </c>
      <c r="D730" s="44"/>
      <c r="E730" s="86" t="s">
        <v>1034</v>
      </c>
      <c r="F730" s="28"/>
      <c r="G730" s="26"/>
      <c r="H730" s="21" t="b">
        <f>IF(D732="x",H$2,H$1)</f>
        <v>0</v>
      </c>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row>
    <row r="731" spans="1:33" x14ac:dyDescent="0.2">
      <c r="B731" s="48"/>
      <c r="C731" s="57" t="s">
        <v>483</v>
      </c>
      <c r="D731" s="44"/>
      <c r="E731" s="86" t="s">
        <v>1035</v>
      </c>
      <c r="F731" s="22" t="str">
        <f>IF(H732=1,IF(H730=H$2,H730,""),"")</f>
        <v/>
      </c>
      <c r="G731" s="26"/>
      <c r="H731" s="21" t="str">
        <f t="shared" ref="H731" si="186">IF(E$753="comprobar",COUNTIF(D730:D734,"x"),"")</f>
        <v/>
      </c>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row>
    <row r="732" spans="1:33" x14ac:dyDescent="0.2">
      <c r="B732" s="48"/>
      <c r="C732" s="57" t="s">
        <v>109</v>
      </c>
      <c r="D732" s="44"/>
      <c r="E732" s="86" t="s">
        <v>1036</v>
      </c>
      <c r="F732" s="23" t="str">
        <f>IF(H732=-0.33,IF(H730=H$1,H730,""),"")</f>
        <v/>
      </c>
      <c r="G732" s="26"/>
      <c r="H732" s="24">
        <f t="shared" ref="H732" si="187">IF(H731=1,IF(H730=H$2,1,-0.33),0)</f>
        <v>0</v>
      </c>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row>
    <row r="733" spans="1:33" x14ac:dyDescent="0.2">
      <c r="B733" s="48"/>
      <c r="C733" s="57"/>
      <c r="D733" s="44"/>
      <c r="E733" s="86" t="s">
        <v>1037</v>
      </c>
      <c r="F733" s="28"/>
      <c r="G733" s="26"/>
      <c r="H733" s="2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row>
    <row r="734" spans="1:33" x14ac:dyDescent="0.2">
      <c r="B734" s="48"/>
      <c r="C734" s="8"/>
      <c r="D734" s="44"/>
      <c r="E734" s="86" t="s">
        <v>1038</v>
      </c>
      <c r="F734" s="20"/>
      <c r="G734" s="26"/>
      <c r="H734" s="2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row>
    <row r="735" spans="1:33" s="17" customFormat="1" x14ac:dyDescent="0.2">
      <c r="A735" s="4"/>
      <c r="B735" s="49">
        <v>18</v>
      </c>
      <c r="C735" s="13" t="s">
        <v>484</v>
      </c>
      <c r="D735" s="45"/>
      <c r="E735" s="85"/>
      <c r="F735" s="30"/>
      <c r="G735" s="29"/>
      <c r="H735" s="15"/>
    </row>
    <row r="736" spans="1:33" x14ac:dyDescent="0.2">
      <c r="B736" s="52"/>
      <c r="C736" s="56" t="s">
        <v>485</v>
      </c>
      <c r="D736" s="44"/>
      <c r="E736" s="86" t="s">
        <v>1034</v>
      </c>
      <c r="F736" s="28"/>
      <c r="G736" s="26"/>
      <c r="H736" s="21" t="b">
        <f>IF(D736="x",H$2,H$1)</f>
        <v>0</v>
      </c>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row>
    <row r="737" spans="1:33" x14ac:dyDescent="0.2">
      <c r="B737" s="48"/>
      <c r="C737" s="57" t="s">
        <v>486</v>
      </c>
      <c r="D737" s="44"/>
      <c r="E737" s="86" t="s">
        <v>1035</v>
      </c>
      <c r="F737" s="22" t="str">
        <f>IF(H738=1,IF(H736=H$2,H736,""),"")</f>
        <v/>
      </c>
      <c r="G737" s="26"/>
      <c r="H737" s="21" t="str">
        <f t="shared" ref="H737" si="188">IF(E$753="comprobar",COUNTIF(D736:D740,"x"),"")</f>
        <v/>
      </c>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row>
    <row r="738" spans="1:33" x14ac:dyDescent="0.2">
      <c r="B738" s="48"/>
      <c r="C738" s="57" t="s">
        <v>487</v>
      </c>
      <c r="D738" s="44"/>
      <c r="E738" s="86" t="s">
        <v>1036</v>
      </c>
      <c r="F738" s="23" t="str">
        <f>IF(H738=-0.33,IF(H736=H$1,H736,""),"")</f>
        <v/>
      </c>
      <c r="G738" s="26"/>
      <c r="H738" s="24">
        <f t="shared" ref="H738" si="189">IF(H737=1,IF(H736=H$2,1,-0.33),0)</f>
        <v>0</v>
      </c>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row>
    <row r="739" spans="1:33" x14ac:dyDescent="0.2">
      <c r="B739" s="48"/>
      <c r="C739" s="57"/>
      <c r="D739" s="44"/>
      <c r="E739" s="86" t="s">
        <v>1037</v>
      </c>
      <c r="F739" s="28"/>
      <c r="G739" s="26"/>
      <c r="H739" s="2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row>
    <row r="740" spans="1:33" x14ac:dyDescent="0.2">
      <c r="B740" s="48"/>
      <c r="C740" s="8"/>
      <c r="D740" s="44"/>
      <c r="E740" s="86" t="s">
        <v>1038</v>
      </c>
      <c r="F740" s="20"/>
      <c r="G740" s="26"/>
      <c r="H740" s="2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row>
    <row r="741" spans="1:33" s="17" customFormat="1" x14ac:dyDescent="0.2">
      <c r="A741" s="4"/>
      <c r="B741" s="49">
        <v>19</v>
      </c>
      <c r="C741" s="13" t="s">
        <v>488</v>
      </c>
      <c r="D741" s="45"/>
      <c r="E741" s="85"/>
      <c r="F741" s="30"/>
      <c r="G741" s="29"/>
      <c r="H741" s="15"/>
    </row>
    <row r="742" spans="1:33" x14ac:dyDescent="0.2">
      <c r="B742" s="52"/>
      <c r="C742" s="56" t="s">
        <v>489</v>
      </c>
      <c r="D742" s="44"/>
      <c r="E742" s="86" t="s">
        <v>1034</v>
      </c>
      <c r="F742" s="28"/>
      <c r="G742" s="26"/>
      <c r="H742" s="21" t="b">
        <f>IF(D743="x",H$2,H$1)</f>
        <v>0</v>
      </c>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row>
    <row r="743" spans="1:33" x14ac:dyDescent="0.2">
      <c r="B743" s="48"/>
      <c r="C743" s="57" t="s">
        <v>490</v>
      </c>
      <c r="D743" s="44"/>
      <c r="E743" s="86" t="s">
        <v>1035</v>
      </c>
      <c r="F743" s="22" t="str">
        <f>IF(H744=1,IF(H742=H$2,H742,""),"")</f>
        <v/>
      </c>
      <c r="G743" s="26"/>
      <c r="H743" s="21" t="str">
        <f t="shared" ref="H743" si="190">IF(E$753="comprobar",COUNTIF(D742:D746,"x"),"")</f>
        <v/>
      </c>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row>
    <row r="744" spans="1:33" x14ac:dyDescent="0.2">
      <c r="B744" s="48"/>
      <c r="C744" s="57" t="s">
        <v>491</v>
      </c>
      <c r="D744" s="44"/>
      <c r="E744" s="86" t="s">
        <v>1036</v>
      </c>
      <c r="F744" s="23" t="str">
        <f>IF(H744=-0.33,IF(H742=H$1,H742,""),"")</f>
        <v/>
      </c>
      <c r="G744" s="26"/>
      <c r="H744" s="24">
        <f t="shared" ref="H744" si="191">IF(H743=1,IF(H742=H$2,1,-0.33),0)</f>
        <v>0</v>
      </c>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row>
    <row r="745" spans="1:33" x14ac:dyDescent="0.2">
      <c r="B745" s="48"/>
      <c r="C745" s="57"/>
      <c r="D745" s="44"/>
      <c r="E745" s="86" t="s">
        <v>1037</v>
      </c>
      <c r="F745" s="28"/>
      <c r="G745" s="26"/>
      <c r="H745" s="2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row>
    <row r="746" spans="1:33" x14ac:dyDescent="0.2">
      <c r="B746" s="48"/>
      <c r="C746" s="8"/>
      <c r="D746" s="44"/>
      <c r="E746" s="86" t="s">
        <v>1038</v>
      </c>
      <c r="F746" s="20"/>
      <c r="G746" s="26"/>
      <c r="H746" s="2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row>
    <row r="747" spans="1:33" s="38" customFormat="1" x14ac:dyDescent="0.2">
      <c r="A747" s="4"/>
      <c r="B747" s="49">
        <v>20</v>
      </c>
      <c r="C747" s="13" t="s">
        <v>492</v>
      </c>
      <c r="D747" s="45"/>
      <c r="E747" s="85"/>
      <c r="F747" s="30"/>
      <c r="G747" s="29"/>
      <c r="H747" s="15"/>
    </row>
    <row r="748" spans="1:33" x14ac:dyDescent="0.2">
      <c r="B748" s="52"/>
      <c r="C748" s="56" t="s">
        <v>493</v>
      </c>
      <c r="D748" s="44"/>
      <c r="E748" s="86" t="s">
        <v>1034</v>
      </c>
      <c r="F748" s="28"/>
      <c r="G748" s="26"/>
      <c r="H748" s="21" t="b">
        <f t="shared" ref="H748" si="192">IF(D748="x",H$2,H$1)</f>
        <v>0</v>
      </c>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row>
    <row r="749" spans="1:33" x14ac:dyDescent="0.2">
      <c r="B749" s="48"/>
      <c r="C749" s="57" t="s">
        <v>494</v>
      </c>
      <c r="D749" s="44"/>
      <c r="E749" s="86" t="s">
        <v>1035</v>
      </c>
      <c r="F749" s="22" t="str">
        <f>IF(H750=1,IF(H748=H$2,H748,""),"")</f>
        <v/>
      </c>
      <c r="G749" s="26"/>
      <c r="H749" s="21" t="str">
        <f t="shared" ref="H749" si="193">IF(E$753="comprobar",COUNTIF(D748:D752,"x"),"")</f>
        <v/>
      </c>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row>
    <row r="750" spans="1:33" x14ac:dyDescent="0.2">
      <c r="B750" s="48"/>
      <c r="C750" s="57" t="s">
        <v>495</v>
      </c>
      <c r="D750" s="44"/>
      <c r="E750" s="86" t="s">
        <v>1036</v>
      </c>
      <c r="F750" s="23" t="str">
        <f>IF(H750=-0.33,IF(H748=H$1,H748,""),"")</f>
        <v/>
      </c>
      <c r="G750" s="26"/>
      <c r="H750" s="24">
        <f t="shared" ref="H750" si="194">IF(H749=1,IF(H748=H$2,1,-0.33),0)</f>
        <v>0</v>
      </c>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row>
    <row r="751" spans="1:33" x14ac:dyDescent="0.2">
      <c r="B751" s="48"/>
      <c r="C751" s="57" t="s">
        <v>496</v>
      </c>
      <c r="D751" s="44"/>
      <c r="E751" s="86" t="s">
        <v>1037</v>
      </c>
      <c r="F751" s="28"/>
      <c r="G751" s="26"/>
      <c r="H751" s="2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row>
    <row r="752" spans="1:33" x14ac:dyDescent="0.2">
      <c r="B752" s="48"/>
      <c r="C752" s="8"/>
      <c r="D752" s="44"/>
      <c r="E752" s="86" t="s">
        <v>1038</v>
      </c>
      <c r="F752" s="20"/>
      <c r="G752" s="19"/>
      <c r="H752" s="2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row>
    <row r="753" spans="1:33" x14ac:dyDescent="0.2">
      <c r="B753" s="52"/>
      <c r="C753" s="47"/>
      <c r="D753" s="73"/>
      <c r="E753" s="87"/>
      <c r="F753" s="20"/>
      <c r="G753" s="19"/>
      <c r="H753" s="19"/>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row>
    <row r="754" spans="1:33" x14ac:dyDescent="0.2">
      <c r="B754" s="52"/>
      <c r="C754" s="18"/>
      <c r="D754" s="73"/>
      <c r="E754" s="93"/>
      <c r="F754" s="31" t="s">
        <v>93</v>
      </c>
      <c r="G754" s="19" t="s">
        <v>91</v>
      </c>
      <c r="H754" s="19" t="s">
        <v>92</v>
      </c>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row>
    <row r="755" spans="1:33" ht="20" x14ac:dyDescent="0.2">
      <c r="B755" s="52"/>
      <c r="C755" s="18"/>
      <c r="D755" s="69"/>
      <c r="E755" s="84"/>
      <c r="F755" s="32" t="str">
        <f>IF(E753="comprobar",H690+H684+H678+H672+H666+H660+H654+H648+H642+H636+H696+H702+H708+H714+H720+H726+H732+H738+H744+H750,"")</f>
        <v/>
      </c>
      <c r="G755" s="19">
        <f>B747/2</f>
        <v>10</v>
      </c>
      <c r="H755" s="19"/>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row>
    <row r="756" spans="1:33" ht="17" thickBot="1" x14ac:dyDescent="0.25">
      <c r="B756" s="53"/>
      <c r="C756" s="33"/>
      <c r="D756" s="34"/>
      <c r="E756" s="88"/>
      <c r="F756" s="35" t="str">
        <f>IF(F755&gt;G755,G754,H754)</f>
        <v>APROBADO</v>
      </c>
      <c r="G756" s="19"/>
      <c r="H756" s="19"/>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row>
    <row r="757" spans="1:33" ht="29" x14ac:dyDescent="0.35">
      <c r="B757" s="54" t="s">
        <v>0</v>
      </c>
      <c r="C757" s="67" t="s">
        <v>584</v>
      </c>
      <c r="D757" s="67"/>
      <c r="E757" s="67"/>
      <c r="F757" s="68"/>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row>
    <row r="758" spans="1:33" s="17" customFormat="1" x14ac:dyDescent="0.2">
      <c r="A758" s="4"/>
      <c r="B758" s="49">
        <v>1</v>
      </c>
      <c r="C758" s="13" t="s">
        <v>497</v>
      </c>
      <c r="D758" s="45"/>
      <c r="E758" s="85"/>
      <c r="F758" s="30"/>
      <c r="G758" s="15"/>
      <c r="H758" s="15"/>
    </row>
    <row r="759" spans="1:33" x14ac:dyDescent="0.2">
      <c r="B759" s="52"/>
      <c r="C759" s="56" t="s">
        <v>498</v>
      </c>
      <c r="D759" s="44"/>
      <c r="E759" s="86" t="s">
        <v>1034</v>
      </c>
      <c r="F759" s="28"/>
      <c r="G759" s="19"/>
      <c r="H759" s="21" t="b">
        <f>IF(D761="x",H$2,H$1)</f>
        <v>0</v>
      </c>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row>
    <row r="760" spans="1:33" x14ac:dyDescent="0.2">
      <c r="B760" s="48"/>
      <c r="C760" s="57" t="s">
        <v>499</v>
      </c>
      <c r="D760" s="44"/>
      <c r="E760" s="86" t="s">
        <v>1035</v>
      </c>
      <c r="F760" s="22" t="str">
        <f>IF(H761=1,IF(H759=H$2,H759,""),"")</f>
        <v/>
      </c>
      <c r="G760" s="19"/>
      <c r="H760" s="21" t="str">
        <f>IF(E$878="comprobar",COUNTIF(D759:D763,"x"),"")</f>
        <v/>
      </c>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row>
    <row r="761" spans="1:33" x14ac:dyDescent="0.2">
      <c r="B761" s="48"/>
      <c r="C761" s="57" t="s">
        <v>500</v>
      </c>
      <c r="D761" s="44"/>
      <c r="E761" s="86" t="s">
        <v>1036</v>
      </c>
      <c r="F761" s="23" t="str">
        <f>IF(H761=-0.33,IF(H759=H$1,H759,""),"")</f>
        <v/>
      </c>
      <c r="G761" s="19"/>
      <c r="H761" s="24">
        <f>IF(H760=1,IF(H759=H$2,1,-0.33),0)</f>
        <v>0</v>
      </c>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row>
    <row r="762" spans="1:33" x14ac:dyDescent="0.2">
      <c r="B762" s="48"/>
      <c r="C762" s="57" t="s">
        <v>501</v>
      </c>
      <c r="D762" s="44"/>
      <c r="E762" s="86" t="s">
        <v>1037</v>
      </c>
      <c r="F762" s="28"/>
      <c r="G762" s="19"/>
      <c r="H762" s="2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row>
    <row r="763" spans="1:33" x14ac:dyDescent="0.2">
      <c r="B763" s="48"/>
      <c r="C763" s="8"/>
      <c r="D763" s="44"/>
      <c r="E763" s="86" t="s">
        <v>1038</v>
      </c>
      <c r="F763" s="20"/>
      <c r="G763" s="19"/>
      <c r="H763" s="2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row>
    <row r="764" spans="1:33" s="17" customFormat="1" x14ac:dyDescent="0.2">
      <c r="A764" s="4"/>
      <c r="B764" s="49">
        <v>2</v>
      </c>
      <c r="C764" s="13" t="s">
        <v>502</v>
      </c>
      <c r="D764" s="45"/>
      <c r="E764" s="85"/>
      <c r="F764" s="30"/>
      <c r="G764" s="15"/>
      <c r="H764" s="15"/>
    </row>
    <row r="765" spans="1:33" x14ac:dyDescent="0.2">
      <c r="B765" s="52"/>
      <c r="C765" s="56" t="s">
        <v>503</v>
      </c>
      <c r="D765" s="44"/>
      <c r="E765" s="86" t="s">
        <v>1034</v>
      </c>
      <c r="F765" s="28"/>
      <c r="G765" s="19"/>
      <c r="H765" s="21" t="b">
        <f>IF(D766="x",H$2,H$1)</f>
        <v>0</v>
      </c>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row>
    <row r="766" spans="1:33" x14ac:dyDescent="0.2">
      <c r="B766" s="48"/>
      <c r="C766" s="57" t="s">
        <v>504</v>
      </c>
      <c r="D766" s="44"/>
      <c r="E766" s="86" t="s">
        <v>1035</v>
      </c>
      <c r="F766" s="22" t="str">
        <f>IF(H767=1,IF(H765=H$2,H765,""),"")</f>
        <v/>
      </c>
      <c r="G766" s="19"/>
      <c r="H766" s="21" t="str">
        <f t="shared" ref="H766" si="195">IF(E$878="comprobar",COUNTIF(D765:D769,"x"),"")</f>
        <v/>
      </c>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row>
    <row r="767" spans="1:33" x14ac:dyDescent="0.2">
      <c r="B767" s="48"/>
      <c r="C767" s="57" t="s">
        <v>505</v>
      </c>
      <c r="D767" s="44"/>
      <c r="E767" s="86" t="s">
        <v>1036</v>
      </c>
      <c r="F767" s="23" t="str">
        <f>IF(H767=-0.33,IF(H765=H$1,H765,""),"")</f>
        <v/>
      </c>
      <c r="G767" s="19"/>
      <c r="H767" s="24">
        <f t="shared" ref="H767" si="196">IF(H766=1,IF(H765=H$2,1,-0.33),0)</f>
        <v>0</v>
      </c>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row>
    <row r="768" spans="1:33" x14ac:dyDescent="0.2">
      <c r="B768" s="48"/>
      <c r="C768" s="57"/>
      <c r="D768" s="44"/>
      <c r="E768" s="86" t="s">
        <v>1037</v>
      </c>
      <c r="F768" s="28"/>
      <c r="G768" s="19"/>
      <c r="H768" s="2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row>
    <row r="769" spans="1:33" x14ac:dyDescent="0.2">
      <c r="B769" s="48"/>
      <c r="C769" s="8"/>
      <c r="D769" s="44"/>
      <c r="E769" s="86" t="s">
        <v>1038</v>
      </c>
      <c r="F769" s="20"/>
      <c r="G769" s="19"/>
      <c r="H769" s="2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row>
    <row r="770" spans="1:33" s="17" customFormat="1" x14ac:dyDescent="0.2">
      <c r="A770" s="4"/>
      <c r="B770" s="49">
        <v>3</v>
      </c>
      <c r="C770" s="13" t="s">
        <v>506</v>
      </c>
      <c r="D770" s="45"/>
      <c r="E770" s="85"/>
      <c r="F770" s="30"/>
      <c r="G770" s="15"/>
      <c r="H770" s="15"/>
    </row>
    <row r="771" spans="1:33" x14ac:dyDescent="0.2">
      <c r="B771" s="52"/>
      <c r="C771" s="56" t="s">
        <v>507</v>
      </c>
      <c r="D771" s="44"/>
      <c r="E771" s="86" t="s">
        <v>1034</v>
      </c>
      <c r="F771" s="28"/>
      <c r="G771" s="19"/>
      <c r="H771" s="21" t="b">
        <f>IF(D771="x",H$2,H$1)</f>
        <v>0</v>
      </c>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row>
    <row r="772" spans="1:33" x14ac:dyDescent="0.2">
      <c r="B772" s="48"/>
      <c r="C772" s="57" t="s">
        <v>508</v>
      </c>
      <c r="D772" s="44"/>
      <c r="E772" s="86" t="s">
        <v>1035</v>
      </c>
      <c r="F772" s="22" t="str">
        <f>IF(H773=1,IF(H771=H$2,H771,""),"")</f>
        <v/>
      </c>
      <c r="G772" s="19"/>
      <c r="H772" s="21" t="str">
        <f t="shared" ref="H772" si="197">IF(E$878="comprobar",COUNTIF(D771:D775,"x"),"")</f>
        <v/>
      </c>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row>
    <row r="773" spans="1:33" x14ac:dyDescent="0.2">
      <c r="B773" s="48"/>
      <c r="C773" s="57" t="s">
        <v>509</v>
      </c>
      <c r="D773" s="44"/>
      <c r="E773" s="86" t="s">
        <v>1036</v>
      </c>
      <c r="F773" s="23" t="str">
        <f>IF(H773=-0.33,IF(H771=H$1,H771,""),"")</f>
        <v/>
      </c>
      <c r="G773" s="19"/>
      <c r="H773" s="24">
        <f t="shared" ref="H773" si="198">IF(H772=1,IF(H771=H$2,1,-0.33),0)</f>
        <v>0</v>
      </c>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row>
    <row r="774" spans="1:33" x14ac:dyDescent="0.2">
      <c r="B774" s="48"/>
      <c r="C774" s="57"/>
      <c r="D774" s="44"/>
      <c r="E774" s="86" t="s">
        <v>1037</v>
      </c>
      <c r="F774" s="28"/>
      <c r="G774" s="19"/>
      <c r="H774" s="2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row>
    <row r="775" spans="1:33" x14ac:dyDescent="0.2">
      <c r="B775" s="48"/>
      <c r="C775" s="8"/>
      <c r="D775" s="44"/>
      <c r="E775" s="86" t="s">
        <v>1038</v>
      </c>
      <c r="F775" s="20"/>
      <c r="G775" s="19"/>
      <c r="H775" s="2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row>
    <row r="776" spans="1:33" s="17" customFormat="1" x14ac:dyDescent="0.2">
      <c r="A776" s="4"/>
      <c r="B776" s="49">
        <v>4</v>
      </c>
      <c r="C776" s="13" t="s">
        <v>510</v>
      </c>
      <c r="D776" s="45"/>
      <c r="E776" s="85"/>
      <c r="F776" s="30"/>
      <c r="G776" s="15"/>
      <c r="H776" s="15"/>
    </row>
    <row r="777" spans="1:33" x14ac:dyDescent="0.2">
      <c r="B777" s="52"/>
      <c r="C777" s="56" t="s">
        <v>511</v>
      </c>
      <c r="D777" s="44"/>
      <c r="E777" s="86" t="s">
        <v>1034</v>
      </c>
      <c r="F777" s="28"/>
      <c r="G777" s="19"/>
      <c r="H777" s="21" t="b">
        <f>IF(D778="x",H$2,H$1)</f>
        <v>0</v>
      </c>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row>
    <row r="778" spans="1:33" x14ac:dyDescent="0.2">
      <c r="B778" s="48"/>
      <c r="C778" s="57" t="s">
        <v>512</v>
      </c>
      <c r="D778" s="44"/>
      <c r="E778" s="86" t="s">
        <v>1035</v>
      </c>
      <c r="F778" s="22" t="str">
        <f>IF(H779=1,IF(H777=H$2,H777,""),"")</f>
        <v/>
      </c>
      <c r="G778" s="19"/>
      <c r="H778" s="21" t="str">
        <f t="shared" ref="H778" si="199">IF(E$878="comprobar",COUNTIF(D777:D781,"x"),"")</f>
        <v/>
      </c>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row>
    <row r="779" spans="1:33" x14ac:dyDescent="0.2">
      <c r="B779" s="48"/>
      <c r="C779" s="57" t="s">
        <v>513</v>
      </c>
      <c r="D779" s="44"/>
      <c r="E779" s="86" t="s">
        <v>1036</v>
      </c>
      <c r="F779" s="23" t="str">
        <f>IF(H779=-0.33,IF(H777=H$1,H777,""),"")</f>
        <v/>
      </c>
      <c r="G779" s="19"/>
      <c r="H779" s="24">
        <f t="shared" ref="H779" si="200">IF(H778=1,IF(H777=H$2,1,-0.33),0)</f>
        <v>0</v>
      </c>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row>
    <row r="780" spans="1:33" x14ac:dyDescent="0.2">
      <c r="B780" s="48"/>
      <c r="C780" s="57" t="s">
        <v>514</v>
      </c>
      <c r="D780" s="44"/>
      <c r="E780" s="86" t="s">
        <v>1037</v>
      </c>
      <c r="F780" s="28"/>
      <c r="G780" s="19"/>
      <c r="H780" s="2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row>
    <row r="781" spans="1:33" x14ac:dyDescent="0.2">
      <c r="B781" s="48"/>
      <c r="C781" s="8"/>
      <c r="D781" s="44"/>
      <c r="E781" s="86" t="s">
        <v>1038</v>
      </c>
      <c r="F781" s="20"/>
      <c r="G781" s="19"/>
      <c r="H781" s="2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row>
    <row r="782" spans="1:33" s="17" customFormat="1" x14ac:dyDescent="0.2">
      <c r="A782" s="4"/>
      <c r="B782" s="49">
        <v>5</v>
      </c>
      <c r="C782" s="13" t="s">
        <v>515</v>
      </c>
      <c r="D782" s="45"/>
      <c r="E782" s="85"/>
      <c r="F782" s="30"/>
      <c r="G782" s="15"/>
      <c r="H782" s="15"/>
    </row>
    <row r="783" spans="1:33" x14ac:dyDescent="0.2">
      <c r="B783" s="52"/>
      <c r="C783" s="56" t="s">
        <v>516</v>
      </c>
      <c r="D783" s="44"/>
      <c r="E783" s="86" t="s">
        <v>1034</v>
      </c>
      <c r="F783" s="28"/>
      <c r="G783" s="19"/>
      <c r="H783" s="21" t="b">
        <f>IF(D786="x",H$2,H$1)</f>
        <v>0</v>
      </c>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row>
    <row r="784" spans="1:33" x14ac:dyDescent="0.2">
      <c r="B784" s="48"/>
      <c r="C784" s="57" t="s">
        <v>517</v>
      </c>
      <c r="D784" s="44"/>
      <c r="E784" s="86" t="s">
        <v>1035</v>
      </c>
      <c r="F784" s="22" t="str">
        <f>IF(H785=1,IF(H783=H$2,H783,""),"")</f>
        <v/>
      </c>
      <c r="G784" s="19"/>
      <c r="H784" s="21" t="str">
        <f t="shared" ref="H784" si="201">IF(E$878="comprobar",COUNTIF(D783:D787,"x"),"")</f>
        <v/>
      </c>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row>
    <row r="785" spans="1:33" x14ac:dyDescent="0.2">
      <c r="B785" s="48"/>
      <c r="C785" s="57" t="s">
        <v>518</v>
      </c>
      <c r="D785" s="44"/>
      <c r="E785" s="86" t="s">
        <v>1036</v>
      </c>
      <c r="F785" s="23" t="str">
        <f>IF(H785=-0.33,IF(H783=H$1,H783,""),"")</f>
        <v/>
      </c>
      <c r="G785" s="19"/>
      <c r="H785" s="24">
        <f t="shared" ref="H785" si="202">IF(H784=1,IF(H783=H$2,1,-0.33),0)</f>
        <v>0</v>
      </c>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row>
    <row r="786" spans="1:33" x14ac:dyDescent="0.2">
      <c r="B786" s="48"/>
      <c r="C786" s="57" t="s">
        <v>519</v>
      </c>
      <c r="D786" s="44"/>
      <c r="E786" s="86" t="s">
        <v>1037</v>
      </c>
      <c r="F786" s="28"/>
      <c r="G786" s="19"/>
      <c r="H786" s="2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row>
    <row r="787" spans="1:33" x14ac:dyDescent="0.2">
      <c r="B787" s="48"/>
      <c r="C787" s="8"/>
      <c r="D787" s="44"/>
      <c r="E787" s="86" t="s">
        <v>1038</v>
      </c>
      <c r="F787" s="20"/>
      <c r="G787" s="19"/>
      <c r="H787" s="2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row>
    <row r="788" spans="1:33" s="17" customFormat="1" x14ac:dyDescent="0.2">
      <c r="A788" s="4"/>
      <c r="B788" s="49">
        <v>6</v>
      </c>
      <c r="C788" s="13" t="s">
        <v>520</v>
      </c>
      <c r="D788" s="45"/>
      <c r="E788" s="85"/>
      <c r="F788" s="30"/>
      <c r="G788" s="15"/>
      <c r="H788" s="15"/>
    </row>
    <row r="789" spans="1:33" x14ac:dyDescent="0.2">
      <c r="B789" s="52"/>
      <c r="C789" s="56" t="s">
        <v>521</v>
      </c>
      <c r="D789" s="44"/>
      <c r="E789" s="86" t="s">
        <v>1034</v>
      </c>
      <c r="F789" s="28"/>
      <c r="G789" s="19"/>
      <c r="H789" s="21" t="b">
        <f>IF(D790="x",H$2,H$1)</f>
        <v>0</v>
      </c>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row>
    <row r="790" spans="1:33" x14ac:dyDescent="0.2">
      <c r="B790" s="48"/>
      <c r="C790" s="57" t="s">
        <v>522</v>
      </c>
      <c r="D790" s="44"/>
      <c r="E790" s="86" t="s">
        <v>1035</v>
      </c>
      <c r="F790" s="22" t="str">
        <f>IF(H791=1,IF(H789=H$2,H789,""),"")</f>
        <v/>
      </c>
      <c r="G790" s="19"/>
      <c r="H790" s="21" t="str">
        <f t="shared" ref="H790" si="203">IF(E$878="comprobar",COUNTIF(D789:D793,"x"),"")</f>
        <v/>
      </c>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row>
    <row r="791" spans="1:33" x14ac:dyDescent="0.2">
      <c r="B791" s="48"/>
      <c r="C791" s="57" t="s">
        <v>523</v>
      </c>
      <c r="D791" s="44"/>
      <c r="E791" s="86" t="s">
        <v>1036</v>
      </c>
      <c r="F791" s="23" t="str">
        <f>IF(H791=-0.33,IF(H789=H$1,H789,""),"")</f>
        <v/>
      </c>
      <c r="G791" s="19"/>
      <c r="H791" s="24">
        <f t="shared" ref="H791" si="204">IF(H790=1,IF(H789=H$2,1,-0.33),0)</f>
        <v>0</v>
      </c>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row>
    <row r="792" spans="1:33" x14ac:dyDescent="0.2">
      <c r="B792" s="48"/>
      <c r="C792" s="57" t="s">
        <v>524</v>
      </c>
      <c r="D792" s="44"/>
      <c r="E792" s="86" t="s">
        <v>1037</v>
      </c>
      <c r="F792" s="28"/>
      <c r="G792" s="19"/>
      <c r="H792" s="2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row>
    <row r="793" spans="1:33" x14ac:dyDescent="0.2">
      <c r="B793" s="48"/>
      <c r="C793" s="8"/>
      <c r="D793" s="44"/>
      <c r="E793" s="86" t="s">
        <v>1038</v>
      </c>
      <c r="F793" s="20"/>
      <c r="G793" s="19"/>
      <c r="H793" s="2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row>
    <row r="794" spans="1:33" s="17" customFormat="1" x14ac:dyDescent="0.2">
      <c r="A794" s="4"/>
      <c r="B794" s="49">
        <v>7</v>
      </c>
      <c r="C794" s="13" t="s">
        <v>525</v>
      </c>
      <c r="D794" s="45"/>
      <c r="E794" s="85"/>
      <c r="F794" s="30"/>
      <c r="G794" s="15"/>
      <c r="H794" s="15"/>
    </row>
    <row r="795" spans="1:33" x14ac:dyDescent="0.2">
      <c r="B795" s="52"/>
      <c r="C795" s="56" t="s">
        <v>526</v>
      </c>
      <c r="D795" s="44"/>
      <c r="E795" s="86" t="s">
        <v>1034</v>
      </c>
      <c r="F795" s="28"/>
      <c r="G795" s="19"/>
      <c r="H795" s="21" t="b">
        <f>IF(D796="x",H$2,H$1)</f>
        <v>0</v>
      </c>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row>
    <row r="796" spans="1:33" x14ac:dyDescent="0.2">
      <c r="B796" s="48"/>
      <c r="C796" s="57" t="s">
        <v>527</v>
      </c>
      <c r="D796" s="44"/>
      <c r="E796" s="86" t="s">
        <v>1035</v>
      </c>
      <c r="F796" s="22" t="str">
        <f>IF(H797=1,IF(H795=H$2,H795,""),"")</f>
        <v/>
      </c>
      <c r="G796" s="19"/>
      <c r="H796" s="21" t="str">
        <f t="shared" ref="H796" si="205">IF(E$878="comprobar",COUNTIF(D795:D799,"x"),"")</f>
        <v/>
      </c>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row>
    <row r="797" spans="1:33" x14ac:dyDescent="0.2">
      <c r="B797" s="48"/>
      <c r="C797" s="57" t="s">
        <v>528</v>
      </c>
      <c r="D797" s="44"/>
      <c r="E797" s="86" t="s">
        <v>1036</v>
      </c>
      <c r="F797" s="23" t="str">
        <f>IF(H797=-0.33,IF(H795=H$1,H795,""),"")</f>
        <v/>
      </c>
      <c r="G797" s="19"/>
      <c r="H797" s="24">
        <f t="shared" ref="H797" si="206">IF(H796=1,IF(H795=H$2,1,-0.33),0)</f>
        <v>0</v>
      </c>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row>
    <row r="798" spans="1:33" x14ac:dyDescent="0.2">
      <c r="B798" s="48"/>
      <c r="C798" s="57" t="s">
        <v>529</v>
      </c>
      <c r="D798" s="44"/>
      <c r="E798" s="86" t="s">
        <v>1037</v>
      </c>
      <c r="F798" s="28"/>
      <c r="G798" s="19"/>
      <c r="H798" s="2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row>
    <row r="799" spans="1:33" x14ac:dyDescent="0.2">
      <c r="B799" s="48"/>
      <c r="C799" s="8"/>
      <c r="D799" s="44"/>
      <c r="E799" s="86" t="s">
        <v>1038</v>
      </c>
      <c r="F799" s="20"/>
      <c r="G799" s="19"/>
      <c r="H799" s="2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row>
    <row r="800" spans="1:33" s="17" customFormat="1" x14ac:dyDescent="0.2">
      <c r="A800" s="4"/>
      <c r="B800" s="49">
        <v>8</v>
      </c>
      <c r="C800" s="13" t="s">
        <v>530</v>
      </c>
      <c r="D800" s="45"/>
      <c r="E800" s="85"/>
      <c r="F800" s="30"/>
      <c r="G800" s="15"/>
      <c r="H800" s="15"/>
    </row>
    <row r="801" spans="1:33" x14ac:dyDescent="0.2">
      <c r="B801" s="52"/>
      <c r="C801" s="56" t="s">
        <v>531</v>
      </c>
      <c r="D801" s="44"/>
      <c r="E801" s="86" t="s">
        <v>1034</v>
      </c>
      <c r="F801" s="28"/>
      <c r="G801" s="19"/>
      <c r="H801" s="21" t="b">
        <f>IF(D801="x",H$2,H$1)</f>
        <v>0</v>
      </c>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row>
    <row r="802" spans="1:33" x14ac:dyDescent="0.2">
      <c r="B802" s="48"/>
      <c r="C802" s="57" t="s">
        <v>532</v>
      </c>
      <c r="D802" s="44"/>
      <c r="E802" s="86" t="s">
        <v>1035</v>
      </c>
      <c r="F802" s="22" t="str">
        <f>IF(H803=1,IF(H801=H$2,H801,""),"")</f>
        <v/>
      </c>
      <c r="G802" s="19"/>
      <c r="H802" s="21" t="str">
        <f t="shared" ref="H802" si="207">IF(E$878="comprobar",COUNTIF(D801:D805,"x"),"")</f>
        <v/>
      </c>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row>
    <row r="803" spans="1:33" x14ac:dyDescent="0.2">
      <c r="B803" s="48"/>
      <c r="C803" s="57" t="s">
        <v>533</v>
      </c>
      <c r="D803" s="44"/>
      <c r="E803" s="86" t="s">
        <v>1036</v>
      </c>
      <c r="F803" s="23" t="str">
        <f>IF(H803=-0.33,IF(H801=H$1,H801,""),"")</f>
        <v/>
      </c>
      <c r="G803" s="19"/>
      <c r="H803" s="24">
        <f t="shared" ref="H803" si="208">IF(H802=1,IF(H801=H$2,1,-0.33),0)</f>
        <v>0</v>
      </c>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row>
    <row r="804" spans="1:33" x14ac:dyDescent="0.2">
      <c r="B804" s="48"/>
      <c r="C804" s="57" t="s">
        <v>534</v>
      </c>
      <c r="D804" s="44"/>
      <c r="E804" s="86" t="s">
        <v>1037</v>
      </c>
      <c r="F804" s="28"/>
      <c r="G804" s="19"/>
      <c r="H804" s="2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row>
    <row r="805" spans="1:33" x14ac:dyDescent="0.2">
      <c r="B805" s="48"/>
      <c r="C805" s="8"/>
      <c r="D805" s="44"/>
      <c r="E805" s="86" t="s">
        <v>1038</v>
      </c>
      <c r="F805" s="20"/>
      <c r="G805" s="19"/>
      <c r="H805" s="2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row>
    <row r="806" spans="1:33" s="58" customFormat="1" ht="32" x14ac:dyDescent="0.2">
      <c r="A806" s="100"/>
      <c r="B806" s="49">
        <v>9</v>
      </c>
      <c r="C806" s="36" t="s">
        <v>535</v>
      </c>
      <c r="D806" s="94"/>
      <c r="E806" s="89"/>
      <c r="F806" s="83"/>
      <c r="G806" s="59"/>
      <c r="H806" s="59"/>
    </row>
    <row r="807" spans="1:33" x14ac:dyDescent="0.2">
      <c r="B807" s="52"/>
      <c r="C807" s="56" t="s">
        <v>536</v>
      </c>
      <c r="D807" s="44"/>
      <c r="E807" s="86" t="s">
        <v>1034</v>
      </c>
      <c r="F807" s="28"/>
      <c r="G807" s="19"/>
      <c r="H807" s="21" t="b">
        <f>IF(D807="x",H$2,H$1)</f>
        <v>0</v>
      </c>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row>
    <row r="808" spans="1:33" x14ac:dyDescent="0.2">
      <c r="B808" s="48"/>
      <c r="C808" s="57" t="s">
        <v>537</v>
      </c>
      <c r="D808" s="44"/>
      <c r="E808" s="86" t="s">
        <v>1035</v>
      </c>
      <c r="F808" s="22" t="str">
        <f>IF(H809=1,IF(H807=H$2,H807,""),"")</f>
        <v/>
      </c>
      <c r="G808" s="19"/>
      <c r="H808" s="21" t="str">
        <f t="shared" ref="H808" si="209">IF(E$878="comprobar",COUNTIF(D807:D811,"x"),"")</f>
        <v/>
      </c>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row>
    <row r="809" spans="1:33" x14ac:dyDescent="0.2">
      <c r="B809" s="48"/>
      <c r="C809" s="57" t="s">
        <v>538</v>
      </c>
      <c r="D809" s="44"/>
      <c r="E809" s="86" t="s">
        <v>1036</v>
      </c>
      <c r="F809" s="23" t="str">
        <f>IF(H809=-0.33,IF(H807=H$1,H807,""),"")</f>
        <v/>
      </c>
      <c r="G809" s="19"/>
      <c r="H809" s="24">
        <f t="shared" ref="H809" si="210">IF(H808=1,IF(H807=H$2,1,-0.33),0)</f>
        <v>0</v>
      </c>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row>
    <row r="810" spans="1:33" x14ac:dyDescent="0.2">
      <c r="B810" s="48"/>
      <c r="C810" s="57" t="s">
        <v>539</v>
      </c>
      <c r="D810" s="44"/>
      <c r="E810" s="86" t="s">
        <v>1037</v>
      </c>
      <c r="F810" s="28"/>
      <c r="G810" s="19"/>
      <c r="H810" s="2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row>
    <row r="811" spans="1:33" x14ac:dyDescent="0.2">
      <c r="B811" s="48"/>
      <c r="C811" s="8"/>
      <c r="D811" s="44"/>
      <c r="E811" s="86" t="s">
        <v>1038</v>
      </c>
      <c r="F811" s="20"/>
      <c r="G811" s="19"/>
      <c r="H811" s="2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row>
    <row r="812" spans="1:33" s="17" customFormat="1" x14ac:dyDescent="0.2">
      <c r="A812" s="4"/>
      <c r="B812" s="49">
        <v>10</v>
      </c>
      <c r="C812" s="13" t="s">
        <v>540</v>
      </c>
      <c r="D812" s="45"/>
      <c r="E812" s="85"/>
      <c r="F812" s="30"/>
      <c r="G812" s="29"/>
      <c r="H812" s="15"/>
    </row>
    <row r="813" spans="1:33" x14ac:dyDescent="0.2">
      <c r="B813" s="52"/>
      <c r="C813" s="56" t="s">
        <v>541</v>
      </c>
      <c r="D813" s="44"/>
      <c r="E813" s="86" t="s">
        <v>1034</v>
      </c>
      <c r="F813" s="28"/>
      <c r="G813" s="26"/>
      <c r="H813" s="21" t="b">
        <f>IF(D814="x",H$2,H$1)</f>
        <v>0</v>
      </c>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row>
    <row r="814" spans="1:33" x14ac:dyDescent="0.2">
      <c r="B814" s="48"/>
      <c r="C814" s="57" t="s">
        <v>542</v>
      </c>
      <c r="D814" s="44"/>
      <c r="E814" s="86" t="s">
        <v>1035</v>
      </c>
      <c r="F814" s="22" t="str">
        <f>IF(H815=1,IF(H813=H$2,H813,""),"")</f>
        <v/>
      </c>
      <c r="G814" s="26"/>
      <c r="H814" s="21" t="str">
        <f t="shared" ref="H814" si="211">IF(E$878="comprobar",COUNTIF(D813:D817,"x"),"")</f>
        <v/>
      </c>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row>
    <row r="815" spans="1:33" x14ac:dyDescent="0.2">
      <c r="B815" s="48"/>
      <c r="C815" s="57" t="s">
        <v>543</v>
      </c>
      <c r="D815" s="44"/>
      <c r="E815" s="86" t="s">
        <v>1036</v>
      </c>
      <c r="F815" s="23" t="str">
        <f>IF(H815=-0.33,IF(H813=H$1,H813,""),"")</f>
        <v/>
      </c>
      <c r="G815" s="26"/>
      <c r="H815" s="24">
        <f t="shared" ref="H815" si="212">IF(H814=1,IF(H813=H$2,1,-0.33),0)</f>
        <v>0</v>
      </c>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row>
    <row r="816" spans="1:33" x14ac:dyDescent="0.2">
      <c r="B816" s="48"/>
      <c r="C816" s="57" t="s">
        <v>544</v>
      </c>
      <c r="D816" s="44"/>
      <c r="E816" s="86" t="s">
        <v>1037</v>
      </c>
      <c r="F816" s="28"/>
      <c r="G816" s="26"/>
      <c r="H816" s="2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row>
    <row r="817" spans="1:33" x14ac:dyDescent="0.2">
      <c r="B817" s="48"/>
      <c r="C817" s="8"/>
      <c r="D817" s="44"/>
      <c r="E817" s="86" t="s">
        <v>1038</v>
      </c>
      <c r="F817" s="20"/>
      <c r="G817" s="26"/>
      <c r="H817" s="2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row>
    <row r="818" spans="1:33" s="17" customFormat="1" x14ac:dyDescent="0.2">
      <c r="A818" s="4"/>
      <c r="B818" s="49">
        <v>11</v>
      </c>
      <c r="C818" s="13" t="s">
        <v>545</v>
      </c>
      <c r="D818" s="45"/>
      <c r="E818" s="85"/>
      <c r="F818" s="30"/>
      <c r="G818" s="29"/>
      <c r="H818" s="15"/>
    </row>
    <row r="819" spans="1:33" x14ac:dyDescent="0.2">
      <c r="B819" s="52"/>
      <c r="C819" s="56" t="s">
        <v>546</v>
      </c>
      <c r="D819" s="44"/>
      <c r="E819" s="86" t="s">
        <v>1034</v>
      </c>
      <c r="F819" s="28"/>
      <c r="G819" s="26"/>
      <c r="H819" s="21" t="b">
        <f>IF(D819="x",H$2,H$1)</f>
        <v>0</v>
      </c>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row>
    <row r="820" spans="1:33" x14ac:dyDescent="0.2">
      <c r="B820" s="48"/>
      <c r="C820" s="57" t="s">
        <v>547</v>
      </c>
      <c r="D820" s="44"/>
      <c r="E820" s="86" t="s">
        <v>1035</v>
      </c>
      <c r="F820" s="22" t="str">
        <f>IF(H821=1,IF(H819=H$2,H819,""),"")</f>
        <v/>
      </c>
      <c r="G820" s="26"/>
      <c r="H820" s="21" t="str">
        <f t="shared" ref="H820" si="213">IF(E$878="comprobar",COUNTIF(D819:D823,"x"),"")</f>
        <v/>
      </c>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row>
    <row r="821" spans="1:33" x14ac:dyDescent="0.2">
      <c r="B821" s="48"/>
      <c r="C821" s="57" t="s">
        <v>548</v>
      </c>
      <c r="D821" s="44"/>
      <c r="E821" s="86" t="s">
        <v>1036</v>
      </c>
      <c r="F821" s="23" t="str">
        <f>IF(H821=-0.33,IF(H819=H$1,H819,""),"")</f>
        <v/>
      </c>
      <c r="G821" s="26"/>
      <c r="H821" s="24">
        <f t="shared" ref="H821" si="214">IF(H820=1,IF(H819=H$2,1,-0.33),0)</f>
        <v>0</v>
      </c>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row>
    <row r="822" spans="1:33" x14ac:dyDescent="0.2">
      <c r="B822" s="48"/>
      <c r="C822" s="57" t="s">
        <v>549</v>
      </c>
      <c r="D822" s="44"/>
      <c r="E822" s="86" t="s">
        <v>1037</v>
      </c>
      <c r="F822" s="28"/>
      <c r="G822" s="26"/>
      <c r="H822" s="2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row>
    <row r="823" spans="1:33" x14ac:dyDescent="0.2">
      <c r="B823" s="48"/>
      <c r="C823" s="8"/>
      <c r="D823" s="44"/>
      <c r="E823" s="86" t="s">
        <v>1038</v>
      </c>
      <c r="F823" s="20"/>
      <c r="G823" s="26"/>
      <c r="H823" s="2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row>
    <row r="824" spans="1:33" s="17" customFormat="1" x14ac:dyDescent="0.2">
      <c r="A824" s="4"/>
      <c r="B824" s="49">
        <v>12</v>
      </c>
      <c r="C824" s="13" t="s">
        <v>550</v>
      </c>
      <c r="D824" s="45"/>
      <c r="E824" s="85"/>
      <c r="F824" s="30"/>
      <c r="G824" s="29"/>
      <c r="H824" s="15"/>
    </row>
    <row r="825" spans="1:33" x14ac:dyDescent="0.2">
      <c r="B825" s="52"/>
      <c r="C825" s="56" t="s">
        <v>551</v>
      </c>
      <c r="D825" s="44"/>
      <c r="E825" s="86" t="s">
        <v>1034</v>
      </c>
      <c r="F825" s="28"/>
      <c r="G825" s="26"/>
      <c r="H825" s="21" t="b">
        <f>IF(D825="x",H$2,H$1)</f>
        <v>0</v>
      </c>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row>
    <row r="826" spans="1:33" x14ac:dyDescent="0.2">
      <c r="B826" s="48"/>
      <c r="C826" s="57" t="s">
        <v>552</v>
      </c>
      <c r="D826" s="44"/>
      <c r="E826" s="86" t="s">
        <v>1035</v>
      </c>
      <c r="F826" s="22" t="str">
        <f>IF(H827=1,IF(H825=H$2,H825,""),"")</f>
        <v/>
      </c>
      <c r="G826" s="26"/>
      <c r="H826" s="21" t="str">
        <f t="shared" ref="H826" si="215">IF(E$878="comprobar",COUNTIF(D825:D829,"x"),"")</f>
        <v/>
      </c>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row>
    <row r="827" spans="1:33" x14ac:dyDescent="0.2">
      <c r="B827" s="48"/>
      <c r="C827" s="57" t="s">
        <v>553</v>
      </c>
      <c r="D827" s="44"/>
      <c r="E827" s="86" t="s">
        <v>1036</v>
      </c>
      <c r="F827" s="23" t="str">
        <f>IF(H827=-0.33,IF(H825=H$1,H825,""),"")</f>
        <v/>
      </c>
      <c r="G827" s="26"/>
      <c r="H827" s="24">
        <f t="shared" ref="H827" si="216">IF(H826=1,IF(H825=H$2,1,-0.33),0)</f>
        <v>0</v>
      </c>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row>
    <row r="828" spans="1:33" x14ac:dyDescent="0.2">
      <c r="B828" s="48"/>
      <c r="C828" s="57"/>
      <c r="D828" s="44"/>
      <c r="E828" s="86" t="s">
        <v>1037</v>
      </c>
      <c r="F828" s="28"/>
      <c r="G828" s="26"/>
      <c r="H828" s="2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row>
    <row r="829" spans="1:33" x14ac:dyDescent="0.2">
      <c r="B829" s="48"/>
      <c r="C829" s="8"/>
      <c r="D829" s="44"/>
      <c r="E829" s="86" t="s">
        <v>1038</v>
      </c>
      <c r="F829" s="20"/>
      <c r="G829" s="26"/>
      <c r="H829" s="2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row>
    <row r="830" spans="1:33" s="17" customFormat="1" x14ac:dyDescent="0.2">
      <c r="A830" s="4"/>
      <c r="B830" s="49">
        <v>13</v>
      </c>
      <c r="C830" s="13" t="s">
        <v>554</v>
      </c>
      <c r="D830" s="45"/>
      <c r="E830" s="85"/>
      <c r="F830" s="30"/>
      <c r="G830" s="15"/>
      <c r="H830" s="15"/>
    </row>
    <row r="831" spans="1:33" x14ac:dyDescent="0.2">
      <c r="B831" s="52"/>
      <c r="C831" s="56" t="s">
        <v>555</v>
      </c>
      <c r="D831" s="44"/>
      <c r="E831" s="86" t="s">
        <v>1034</v>
      </c>
      <c r="F831" s="28"/>
      <c r="G831" s="19"/>
      <c r="H831" s="21" t="b">
        <f>IF(D831="x",H$2,H$1)</f>
        <v>0</v>
      </c>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row>
    <row r="832" spans="1:33" x14ac:dyDescent="0.2">
      <c r="B832" s="48"/>
      <c r="C832" s="57" t="s">
        <v>556</v>
      </c>
      <c r="D832" s="44"/>
      <c r="E832" s="86" t="s">
        <v>1035</v>
      </c>
      <c r="F832" s="22" t="str">
        <f>IF(H833=1,IF(H831=H$2,H831,""),"")</f>
        <v/>
      </c>
      <c r="G832" s="19"/>
      <c r="H832" s="21" t="str">
        <f t="shared" ref="H832" si="217">IF(E$878="comprobar",COUNTIF(D831:D835,"x"),"")</f>
        <v/>
      </c>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row>
    <row r="833" spans="1:33" x14ac:dyDescent="0.2">
      <c r="B833" s="48"/>
      <c r="C833" s="57" t="s">
        <v>557</v>
      </c>
      <c r="D833" s="44"/>
      <c r="E833" s="86" t="s">
        <v>1036</v>
      </c>
      <c r="F833" s="23" t="str">
        <f>IF(H833=-0.33,IF(H831=H$1,H831,""),"")</f>
        <v/>
      </c>
      <c r="G833" s="19"/>
      <c r="H833" s="24">
        <f t="shared" ref="H833" si="218">IF(H832=1,IF(H831=H$2,1,-0.33),0)</f>
        <v>0</v>
      </c>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row>
    <row r="834" spans="1:33" x14ac:dyDescent="0.2">
      <c r="B834" s="48"/>
      <c r="C834" s="57"/>
      <c r="D834" s="44"/>
      <c r="E834" s="86" t="s">
        <v>1037</v>
      </c>
      <c r="F834" s="28"/>
      <c r="G834" s="19"/>
      <c r="H834" s="2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row>
    <row r="835" spans="1:33" x14ac:dyDescent="0.2">
      <c r="B835" s="48"/>
      <c r="C835" s="8"/>
      <c r="D835" s="44"/>
      <c r="E835" s="86" t="s">
        <v>1038</v>
      </c>
      <c r="F835" s="20"/>
      <c r="G835" s="19"/>
      <c r="H835" s="2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row>
    <row r="836" spans="1:33" s="17" customFormat="1" x14ac:dyDescent="0.2">
      <c r="A836" s="4"/>
      <c r="B836" s="49">
        <v>14</v>
      </c>
      <c r="C836" s="13" t="s">
        <v>558</v>
      </c>
      <c r="D836" s="45"/>
      <c r="E836" s="85"/>
      <c r="F836" s="30"/>
      <c r="G836" s="29"/>
      <c r="H836" s="15"/>
    </row>
    <row r="837" spans="1:33" x14ac:dyDescent="0.2">
      <c r="B837" s="52"/>
      <c r="C837" s="56" t="s">
        <v>559</v>
      </c>
      <c r="D837" s="44"/>
      <c r="E837" s="86" t="s">
        <v>1034</v>
      </c>
      <c r="F837" s="28"/>
      <c r="G837" s="26"/>
      <c r="H837" s="21" t="b">
        <f t="shared" ref="H837" si="219">IF(D839="x",H$2,H$1)</f>
        <v>0</v>
      </c>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row>
    <row r="838" spans="1:33" x14ac:dyDescent="0.2">
      <c r="B838" s="48"/>
      <c r="C838" s="57" t="s">
        <v>560</v>
      </c>
      <c r="D838" s="44"/>
      <c r="E838" s="86" t="s">
        <v>1035</v>
      </c>
      <c r="F838" s="22" t="str">
        <f>IF(H839=1,IF(H837=H$2,H837,""),"")</f>
        <v/>
      </c>
      <c r="G838" s="26"/>
      <c r="H838" s="21" t="str">
        <f t="shared" ref="H838" si="220">IF(E$878="comprobar",COUNTIF(D837:D841,"x"),"")</f>
        <v/>
      </c>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row>
    <row r="839" spans="1:33" x14ac:dyDescent="0.2">
      <c r="B839" s="48"/>
      <c r="C839" s="57" t="s">
        <v>561</v>
      </c>
      <c r="D839" s="44"/>
      <c r="E839" s="86" t="s">
        <v>1036</v>
      </c>
      <c r="F839" s="23" t="str">
        <f>IF(H839=-0.33,IF(H837=H$1,H837,""),"")</f>
        <v/>
      </c>
      <c r="G839" s="26"/>
      <c r="H839" s="24">
        <f t="shared" ref="H839" si="221">IF(H838=1,IF(H837=H$2,1,-0.33),0)</f>
        <v>0</v>
      </c>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row>
    <row r="840" spans="1:33" x14ac:dyDescent="0.2">
      <c r="B840" s="48"/>
      <c r="C840" s="57"/>
      <c r="D840" s="44"/>
      <c r="E840" s="86" t="s">
        <v>1037</v>
      </c>
      <c r="F840" s="28"/>
      <c r="G840" s="26"/>
      <c r="H840" s="2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row>
    <row r="841" spans="1:33" x14ac:dyDescent="0.2">
      <c r="B841" s="48"/>
      <c r="C841" s="8"/>
      <c r="D841" s="44"/>
      <c r="E841" s="86" t="s">
        <v>1038</v>
      </c>
      <c r="F841" s="20"/>
      <c r="G841" s="26"/>
      <c r="H841" s="2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row>
    <row r="842" spans="1:33" s="17" customFormat="1" x14ac:dyDescent="0.2">
      <c r="A842" s="4"/>
      <c r="B842" s="49">
        <v>15</v>
      </c>
      <c r="C842" s="13" t="s">
        <v>562</v>
      </c>
      <c r="D842" s="45"/>
      <c r="E842" s="85"/>
      <c r="F842" s="30"/>
      <c r="G842" s="29"/>
      <c r="H842" s="15"/>
    </row>
    <row r="843" spans="1:33" x14ac:dyDescent="0.2">
      <c r="B843" s="52"/>
      <c r="C843" s="56" t="s">
        <v>563</v>
      </c>
      <c r="D843" s="44"/>
      <c r="E843" s="86" t="s">
        <v>1034</v>
      </c>
      <c r="F843" s="28"/>
      <c r="G843" s="26"/>
      <c r="H843" s="21" t="b">
        <f t="shared" ref="H843" si="222">IF(D845="x",H$2,H$1)</f>
        <v>0</v>
      </c>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row>
    <row r="844" spans="1:33" x14ac:dyDescent="0.2">
      <c r="B844" s="48"/>
      <c r="C844" s="57" t="s">
        <v>564</v>
      </c>
      <c r="D844" s="44"/>
      <c r="E844" s="86" t="s">
        <v>1035</v>
      </c>
      <c r="F844" s="22" t="str">
        <f>IF(H845=1,IF(H843=H$2,H843,""),"")</f>
        <v/>
      </c>
      <c r="G844" s="26"/>
      <c r="H844" s="21" t="str">
        <f t="shared" ref="H844" si="223">IF(E$878="comprobar",COUNTIF(D843:D847,"x"),"")</f>
        <v/>
      </c>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row>
    <row r="845" spans="1:33" x14ac:dyDescent="0.2">
      <c r="B845" s="48"/>
      <c r="C845" s="57" t="s">
        <v>565</v>
      </c>
      <c r="D845" s="44"/>
      <c r="E845" s="86" t="s">
        <v>1036</v>
      </c>
      <c r="F845" s="23" t="str">
        <f>IF(H845=-0.33,IF(H843=H$1,H843,""),"")</f>
        <v/>
      </c>
      <c r="G845" s="26"/>
      <c r="H845" s="24">
        <f t="shared" ref="H845" si="224">IF(H844=1,IF(H843=H$2,1,-0.33),0)</f>
        <v>0</v>
      </c>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row>
    <row r="846" spans="1:33" x14ac:dyDescent="0.2">
      <c r="B846" s="48"/>
      <c r="C846" s="57"/>
      <c r="D846" s="44"/>
      <c r="E846" s="86" t="s">
        <v>1037</v>
      </c>
      <c r="F846" s="28"/>
      <c r="G846" s="26"/>
      <c r="H846" s="2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row>
    <row r="847" spans="1:33" x14ac:dyDescent="0.2">
      <c r="B847" s="48"/>
      <c r="C847" s="8"/>
      <c r="D847" s="44"/>
      <c r="E847" s="86" t="s">
        <v>1038</v>
      </c>
      <c r="F847" s="20"/>
      <c r="G847" s="26"/>
      <c r="H847" s="2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row>
    <row r="848" spans="1:33" s="17" customFormat="1" x14ac:dyDescent="0.2">
      <c r="A848" s="4"/>
      <c r="B848" s="49">
        <v>16</v>
      </c>
      <c r="C848" s="13" t="s">
        <v>566</v>
      </c>
      <c r="D848" s="45"/>
      <c r="E848" s="85"/>
      <c r="F848" s="30"/>
      <c r="G848" s="29"/>
      <c r="H848" s="15"/>
    </row>
    <row r="849" spans="1:33" x14ac:dyDescent="0.2">
      <c r="B849" s="52"/>
      <c r="C849" s="56" t="s">
        <v>567</v>
      </c>
      <c r="D849" s="44"/>
      <c r="E849" s="86" t="s">
        <v>1034</v>
      </c>
      <c r="F849" s="28"/>
      <c r="G849" s="26"/>
      <c r="H849" s="21" t="b">
        <f>IF(D849="x",H$2,H$1)</f>
        <v>0</v>
      </c>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row>
    <row r="850" spans="1:33" x14ac:dyDescent="0.2">
      <c r="B850" s="48"/>
      <c r="C850" s="57" t="s">
        <v>568</v>
      </c>
      <c r="D850" s="44"/>
      <c r="E850" s="86" t="s">
        <v>1035</v>
      </c>
      <c r="F850" s="22" t="str">
        <f>IF(H851=1,IF(H849=H$2,H849,""),"")</f>
        <v/>
      </c>
      <c r="G850" s="26"/>
      <c r="H850" s="21" t="str">
        <f t="shared" ref="H850" si="225">IF(E$878="comprobar",COUNTIF(D849:D853,"x"),"")</f>
        <v/>
      </c>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row>
    <row r="851" spans="1:33" x14ac:dyDescent="0.2">
      <c r="B851" s="48"/>
      <c r="C851" s="57" t="s">
        <v>569</v>
      </c>
      <c r="D851" s="44"/>
      <c r="E851" s="86" t="s">
        <v>1036</v>
      </c>
      <c r="F851" s="23" t="str">
        <f>IF(H851=-0.33,IF(H849=H$1,H849,""),"")</f>
        <v/>
      </c>
      <c r="G851" s="26"/>
      <c r="H851" s="24">
        <f t="shared" ref="H851" si="226">IF(H850=1,IF(H849=H$2,1,-0.33),0)</f>
        <v>0</v>
      </c>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row>
    <row r="852" spans="1:33" x14ac:dyDescent="0.2">
      <c r="B852" s="48"/>
      <c r="C852" s="57"/>
      <c r="D852" s="44"/>
      <c r="E852" s="86" t="s">
        <v>1037</v>
      </c>
      <c r="F852" s="28"/>
      <c r="G852" s="26"/>
      <c r="H852" s="2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row>
    <row r="853" spans="1:33" x14ac:dyDescent="0.2">
      <c r="B853" s="48"/>
      <c r="C853" s="8"/>
      <c r="D853" s="44"/>
      <c r="E853" s="86" t="s">
        <v>1038</v>
      </c>
      <c r="F853" s="20"/>
      <c r="G853" s="26"/>
      <c r="H853" s="2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row>
    <row r="854" spans="1:33" s="17" customFormat="1" x14ac:dyDescent="0.2">
      <c r="A854" s="4"/>
      <c r="B854" s="49">
        <v>17</v>
      </c>
      <c r="C854" s="13" t="s">
        <v>570</v>
      </c>
      <c r="D854" s="45"/>
      <c r="E854" s="85"/>
      <c r="F854" s="30"/>
      <c r="G854" s="29"/>
      <c r="H854" s="15"/>
    </row>
    <row r="855" spans="1:33" x14ac:dyDescent="0.2">
      <c r="B855" s="52"/>
      <c r="C855" s="56" t="s">
        <v>568</v>
      </c>
      <c r="D855" s="44"/>
      <c r="E855" s="86" t="s">
        <v>1034</v>
      </c>
      <c r="F855" s="28"/>
      <c r="G855" s="26"/>
      <c r="H855" s="21" t="b">
        <f t="shared" ref="H855" si="227">IF(D857="x",H$2,H$1)</f>
        <v>0</v>
      </c>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row>
    <row r="856" spans="1:33" x14ac:dyDescent="0.2">
      <c r="B856" s="48"/>
      <c r="C856" s="57" t="s">
        <v>571</v>
      </c>
      <c r="D856" s="44"/>
      <c r="E856" s="86" t="s">
        <v>1035</v>
      </c>
      <c r="F856" s="22" t="str">
        <f>IF(H857=1,IF(H855=H$2,H855,""),"")</f>
        <v/>
      </c>
      <c r="G856" s="26"/>
      <c r="H856" s="21" t="str">
        <f t="shared" ref="H856" si="228">IF(E$878="comprobar",COUNTIF(D855:D859,"x"),"")</f>
        <v/>
      </c>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row>
    <row r="857" spans="1:33" x14ac:dyDescent="0.2">
      <c r="B857" s="48"/>
      <c r="C857" s="57" t="s">
        <v>572</v>
      </c>
      <c r="D857" s="44"/>
      <c r="E857" s="86" t="s">
        <v>1036</v>
      </c>
      <c r="F857" s="23" t="str">
        <f>IF(H857=-0.33,IF(H855=H$1,H855,""),"")</f>
        <v/>
      </c>
      <c r="G857" s="26"/>
      <c r="H857" s="24">
        <f t="shared" ref="H857" si="229">IF(H856=1,IF(H855=H$2,1,-0.33),0)</f>
        <v>0</v>
      </c>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row>
    <row r="858" spans="1:33" x14ac:dyDescent="0.2">
      <c r="B858" s="48"/>
      <c r="C858" s="57"/>
      <c r="D858" s="44"/>
      <c r="E858" s="86" t="s">
        <v>1037</v>
      </c>
      <c r="F858" s="28"/>
      <c r="G858" s="26"/>
      <c r="H858" s="2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row>
    <row r="859" spans="1:33" x14ac:dyDescent="0.2">
      <c r="B859" s="48"/>
      <c r="C859" s="8"/>
      <c r="D859" s="44"/>
      <c r="E859" s="86" t="s">
        <v>1038</v>
      </c>
      <c r="F859" s="20"/>
      <c r="G859" s="26"/>
      <c r="H859" s="2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row>
    <row r="860" spans="1:33" s="17" customFormat="1" x14ac:dyDescent="0.2">
      <c r="A860" s="4"/>
      <c r="B860" s="49">
        <v>18</v>
      </c>
      <c r="C860" s="13" t="s">
        <v>573</v>
      </c>
      <c r="D860" s="45"/>
      <c r="E860" s="85"/>
      <c r="F860" s="30"/>
      <c r="G860" s="29"/>
      <c r="H860" s="15"/>
    </row>
    <row r="861" spans="1:33" x14ac:dyDescent="0.2">
      <c r="B861" s="52"/>
      <c r="C861" s="56" t="s">
        <v>574</v>
      </c>
      <c r="D861" s="44"/>
      <c r="E861" s="86" t="s">
        <v>1034</v>
      </c>
      <c r="F861" s="28"/>
      <c r="G861" s="26"/>
      <c r="H861" s="21" t="b">
        <f t="shared" ref="H861" si="230">IF(D863="x",H$2,H$1)</f>
        <v>0</v>
      </c>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row>
    <row r="862" spans="1:33" x14ac:dyDescent="0.2">
      <c r="B862" s="48"/>
      <c r="C862" s="57" t="s">
        <v>575</v>
      </c>
      <c r="D862" s="44"/>
      <c r="E862" s="86" t="s">
        <v>1035</v>
      </c>
      <c r="F862" s="22" t="str">
        <f>IF(H863=1,IF(H861=H$2,H861,""),"")</f>
        <v/>
      </c>
      <c r="G862" s="26"/>
      <c r="H862" s="21" t="str">
        <f t="shared" ref="H862" si="231">IF(E$878="comprobar",COUNTIF(D861:D865,"x"),"")</f>
        <v/>
      </c>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row>
    <row r="863" spans="1:33" x14ac:dyDescent="0.2">
      <c r="B863" s="48"/>
      <c r="C863" s="57" t="s">
        <v>557</v>
      </c>
      <c r="D863" s="44"/>
      <c r="E863" s="86" t="s">
        <v>1036</v>
      </c>
      <c r="F863" s="23" t="str">
        <f>IF(H863=-0.33,IF(H861=H$1,H861,""),"")</f>
        <v/>
      </c>
      <c r="G863" s="26"/>
      <c r="H863" s="24">
        <f t="shared" ref="H863" si="232">IF(H862=1,IF(H861=H$2,1,-0.33),0)</f>
        <v>0</v>
      </c>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row>
    <row r="864" spans="1:33" x14ac:dyDescent="0.2">
      <c r="B864" s="48"/>
      <c r="C864" s="57"/>
      <c r="D864" s="44"/>
      <c r="E864" s="86" t="s">
        <v>1037</v>
      </c>
      <c r="F864" s="28"/>
      <c r="G864" s="26"/>
      <c r="H864" s="2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row>
    <row r="865" spans="1:33" x14ac:dyDescent="0.2">
      <c r="B865" s="48"/>
      <c r="C865" s="8"/>
      <c r="D865" s="44"/>
      <c r="E865" s="86" t="s">
        <v>1038</v>
      </c>
      <c r="F865" s="20"/>
      <c r="G865" s="26"/>
      <c r="H865" s="2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row>
    <row r="866" spans="1:33" s="17" customFormat="1" x14ac:dyDescent="0.2">
      <c r="A866" s="4"/>
      <c r="B866" s="49">
        <v>19</v>
      </c>
      <c r="C866" s="13" t="s">
        <v>576</v>
      </c>
      <c r="D866" s="45"/>
      <c r="E866" s="85"/>
      <c r="F866" s="30"/>
      <c r="G866" s="29"/>
      <c r="H866" s="15"/>
    </row>
    <row r="867" spans="1:33" x14ac:dyDescent="0.2">
      <c r="B867" s="52"/>
      <c r="C867" s="56" t="s">
        <v>577</v>
      </c>
      <c r="D867" s="44"/>
      <c r="E867" s="86" t="s">
        <v>1034</v>
      </c>
      <c r="F867" s="28"/>
      <c r="G867" s="26"/>
      <c r="H867" s="21" t="b">
        <f>IF(D868="x",H$2,H$1)</f>
        <v>0</v>
      </c>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row>
    <row r="868" spans="1:33" x14ac:dyDescent="0.2">
      <c r="B868" s="48"/>
      <c r="C868" s="57" t="s">
        <v>578</v>
      </c>
      <c r="D868" s="44"/>
      <c r="E868" s="86" t="s">
        <v>1035</v>
      </c>
      <c r="F868" s="22" t="str">
        <f>IF(H869=1,IF(H867=H$2,H867,""),"")</f>
        <v/>
      </c>
      <c r="G868" s="26"/>
      <c r="H868" s="21" t="str">
        <f t="shared" ref="H868" si="233">IF(E$878="comprobar",COUNTIF(D867:D871,"x"),"")</f>
        <v/>
      </c>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row>
    <row r="869" spans="1:33" x14ac:dyDescent="0.2">
      <c r="B869" s="48"/>
      <c r="C869" s="57" t="s">
        <v>579</v>
      </c>
      <c r="D869" s="44"/>
      <c r="E869" s="86" t="s">
        <v>1036</v>
      </c>
      <c r="F869" s="23" t="str">
        <f>IF(H869=-0.33,IF(H867=H$1,H867,""),"")</f>
        <v/>
      </c>
      <c r="G869" s="26"/>
      <c r="H869" s="24">
        <f t="shared" ref="H869" si="234">IF(H868=1,IF(H867=H$2,1,-0.33),0)</f>
        <v>0</v>
      </c>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row>
    <row r="870" spans="1:33" x14ac:dyDescent="0.2">
      <c r="B870" s="48"/>
      <c r="C870" s="57"/>
      <c r="D870" s="44"/>
      <c r="E870" s="86" t="s">
        <v>1037</v>
      </c>
      <c r="F870" s="28"/>
      <c r="G870" s="26"/>
      <c r="H870" s="2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row>
    <row r="871" spans="1:33" x14ac:dyDescent="0.2">
      <c r="B871" s="48"/>
      <c r="C871" s="8"/>
      <c r="D871" s="44"/>
      <c r="E871" s="86" t="s">
        <v>1038</v>
      </c>
      <c r="F871" s="20"/>
      <c r="G871" s="26"/>
      <c r="H871" s="2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row>
    <row r="872" spans="1:33" s="17" customFormat="1" x14ac:dyDescent="0.2">
      <c r="A872" s="4"/>
      <c r="B872" s="49">
        <v>20</v>
      </c>
      <c r="C872" s="13" t="s">
        <v>580</v>
      </c>
      <c r="D872" s="45"/>
      <c r="E872" s="85"/>
      <c r="F872" s="30"/>
      <c r="G872" s="29"/>
      <c r="H872" s="15"/>
    </row>
    <row r="873" spans="1:33" x14ac:dyDescent="0.2">
      <c r="B873" s="52"/>
      <c r="C873" s="56" t="s">
        <v>581</v>
      </c>
      <c r="D873" s="44"/>
      <c r="E873" s="86" t="s">
        <v>1034</v>
      </c>
      <c r="F873" s="28"/>
      <c r="G873" s="26"/>
      <c r="H873" s="21" t="b">
        <f>IF(D873="x",H$2,H$1)</f>
        <v>0</v>
      </c>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row>
    <row r="874" spans="1:33" x14ac:dyDescent="0.2">
      <c r="B874" s="48"/>
      <c r="C874" s="57" t="s">
        <v>568</v>
      </c>
      <c r="D874" s="44"/>
      <c r="E874" s="86" t="s">
        <v>1035</v>
      </c>
      <c r="F874" s="22" t="str">
        <f>IF(H875=1,IF(H873=H$2,H873,""),"")</f>
        <v/>
      </c>
      <c r="G874" s="26"/>
      <c r="H874" s="21" t="str">
        <f>IF(E878="comprobar",COUNTIF(D873:D877,"x"),"")</f>
        <v/>
      </c>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row>
    <row r="875" spans="1:33" x14ac:dyDescent="0.2">
      <c r="B875" s="48"/>
      <c r="C875" s="57" t="s">
        <v>582</v>
      </c>
      <c r="D875" s="44"/>
      <c r="E875" s="86" t="s">
        <v>1036</v>
      </c>
      <c r="F875" s="23" t="str">
        <f>IF(H875=-0.33,IF(H873=H$1,H873,""),"")</f>
        <v/>
      </c>
      <c r="G875" s="26"/>
      <c r="H875" s="24">
        <f t="shared" ref="H875" si="235">IF(H874=1,IF(H873=H$2,1,-0.33),0)</f>
        <v>0</v>
      </c>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row>
    <row r="876" spans="1:33" x14ac:dyDescent="0.2">
      <c r="B876" s="48"/>
      <c r="C876" s="57"/>
      <c r="D876" s="44"/>
      <c r="E876" s="86" t="s">
        <v>1037</v>
      </c>
      <c r="F876" s="28"/>
      <c r="G876" s="26"/>
      <c r="H876" s="2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row>
    <row r="877" spans="1:33" x14ac:dyDescent="0.2">
      <c r="B877" s="48"/>
      <c r="C877" s="8"/>
      <c r="D877" s="44"/>
      <c r="E877" s="86" t="s">
        <v>1038</v>
      </c>
      <c r="F877" s="20"/>
      <c r="G877" s="19"/>
      <c r="H877" s="2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row>
    <row r="878" spans="1:33" x14ac:dyDescent="0.2">
      <c r="B878" s="52"/>
      <c r="C878" s="46"/>
      <c r="D878" s="73"/>
      <c r="E878" s="87"/>
      <c r="F878" s="20"/>
      <c r="H878" s="19"/>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row>
    <row r="879" spans="1:33" x14ac:dyDescent="0.2">
      <c r="B879" s="52"/>
      <c r="C879" s="18"/>
      <c r="D879" s="73"/>
      <c r="E879" s="93"/>
      <c r="F879" s="31" t="s">
        <v>93</v>
      </c>
      <c r="G879" s="19" t="s">
        <v>91</v>
      </c>
      <c r="H879" s="19" t="s">
        <v>92</v>
      </c>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row>
    <row r="880" spans="1:33" ht="20" x14ac:dyDescent="0.2">
      <c r="B880" s="52"/>
      <c r="C880" s="18"/>
      <c r="D880" s="69"/>
      <c r="E880" s="84"/>
      <c r="F880" s="32" t="str">
        <f>IF(E878="comprobar",H875++H869+H863+H857+H851+H845+H839+H833+H827+H821+H809+H815+H803+H797+H791+H785+H779+H773+H767+H761,"")</f>
        <v/>
      </c>
      <c r="G880" s="19">
        <f>B872/2</f>
        <v>10</v>
      </c>
      <c r="H880" s="19"/>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row>
    <row r="881" spans="1:33" ht="17" thickBot="1" x14ac:dyDescent="0.25">
      <c r="B881" s="53"/>
      <c r="C881" s="33"/>
      <c r="D881" s="34"/>
      <c r="E881" s="88"/>
      <c r="F881" s="35" t="str">
        <f>IF(F880&gt;G880,G879,H879)</f>
        <v>APROBADO</v>
      </c>
      <c r="G881" s="19"/>
      <c r="H881" s="19"/>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row>
    <row r="882" spans="1:33" ht="29" x14ac:dyDescent="0.35">
      <c r="B882" s="54" t="s">
        <v>0</v>
      </c>
      <c r="C882" s="113" t="s">
        <v>585</v>
      </c>
      <c r="D882" s="113"/>
      <c r="E882" s="113"/>
      <c r="F882" s="11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row>
    <row r="883" spans="1:33" s="17" customFormat="1" x14ac:dyDescent="0.2">
      <c r="A883" s="4"/>
      <c r="B883" s="49" t="s">
        <v>586</v>
      </c>
      <c r="C883" s="13"/>
      <c r="D883" s="14"/>
      <c r="E883" s="85"/>
      <c r="F883" s="16"/>
      <c r="G883" s="29"/>
      <c r="H883" s="15"/>
    </row>
    <row r="884" spans="1:33" x14ac:dyDescent="0.2">
      <c r="B884" s="48"/>
      <c r="C884" s="56" t="s">
        <v>587</v>
      </c>
      <c r="D884" s="44"/>
      <c r="E884" s="86" t="s">
        <v>1034</v>
      </c>
      <c r="F884" s="20"/>
      <c r="G884" s="26"/>
      <c r="H884" s="21" t="b">
        <f>IF(D886="x",H$2,H$1)</f>
        <v>0</v>
      </c>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row>
    <row r="885" spans="1:33" x14ac:dyDescent="0.2">
      <c r="B885" s="48"/>
      <c r="C885" s="57" t="s">
        <v>588</v>
      </c>
      <c r="D885" s="44"/>
      <c r="E885" s="86" t="s">
        <v>1035</v>
      </c>
      <c r="F885" s="22" t="str">
        <f>IF(H886=1,IF(H884=H$2,H884,""),"")</f>
        <v/>
      </c>
      <c r="G885" s="26"/>
      <c r="H885" s="21" t="str">
        <f>IF(E$1122="comprobar",COUNTIF(D884:D888,"x"),"")</f>
        <v/>
      </c>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row>
    <row r="886" spans="1:33" x14ac:dyDescent="0.2">
      <c r="B886" s="48"/>
      <c r="C886" s="57" t="s">
        <v>589</v>
      </c>
      <c r="D886" s="44"/>
      <c r="E886" s="86" t="s">
        <v>1036</v>
      </c>
      <c r="F886" s="23" t="str">
        <f>IF(H886=-0.33,IF(H884=H$1,H884,""),"")</f>
        <v/>
      </c>
      <c r="G886" s="26"/>
      <c r="H886" s="24">
        <f t="shared" ref="H886" si="236">IF(H885=1,IF(H884=H$2,1,-0.33),0)</f>
        <v>0</v>
      </c>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row>
    <row r="887" spans="1:33" x14ac:dyDescent="0.2">
      <c r="B887" s="48"/>
      <c r="C887" s="57" t="s">
        <v>590</v>
      </c>
      <c r="D887" s="44"/>
      <c r="E887" s="86" t="s">
        <v>1037</v>
      </c>
      <c r="F887" s="20"/>
      <c r="G887" s="26"/>
      <c r="H887" s="2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row>
    <row r="888" spans="1:33" x14ac:dyDescent="0.2">
      <c r="B888" s="48"/>
      <c r="C888" s="8"/>
      <c r="D888" s="44"/>
      <c r="E888" s="86" t="s">
        <v>1038</v>
      </c>
      <c r="F888" s="20"/>
      <c r="G888" s="19"/>
      <c r="H888" s="2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row>
    <row r="889" spans="1:33" s="17" customFormat="1" x14ac:dyDescent="0.2">
      <c r="A889" s="4"/>
      <c r="B889" s="49" t="s">
        <v>591</v>
      </c>
      <c r="C889" s="13"/>
      <c r="D889" s="45"/>
      <c r="E889" s="85"/>
      <c r="F889" s="16"/>
      <c r="G889" s="29"/>
      <c r="H889" s="15"/>
    </row>
    <row r="890" spans="1:33" x14ac:dyDescent="0.2">
      <c r="B890" s="48"/>
      <c r="C890" s="56" t="s">
        <v>592</v>
      </c>
      <c r="D890" s="44"/>
      <c r="E890" s="86" t="s">
        <v>1034</v>
      </c>
      <c r="F890" s="20"/>
      <c r="G890" s="26"/>
      <c r="H890" s="21" t="b">
        <f>IF(D891="x",H$2,H$1)</f>
        <v>0</v>
      </c>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row>
    <row r="891" spans="1:33" x14ac:dyDescent="0.2">
      <c r="B891" s="52"/>
      <c r="C891" s="57" t="s">
        <v>593</v>
      </c>
      <c r="D891" s="44"/>
      <c r="E891" s="86" t="s">
        <v>1035</v>
      </c>
      <c r="F891" s="22" t="str">
        <f t="shared" ref="F891" si="237">IF(H892=1,IF(H890=H$2,H890,""),"")</f>
        <v/>
      </c>
      <c r="G891" s="26"/>
      <c r="H891" s="21" t="str">
        <f t="shared" ref="H891" si="238">IF(E$1122="comprobar",COUNTIF(D890:D894,"x"),"")</f>
        <v/>
      </c>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row>
    <row r="892" spans="1:33" x14ac:dyDescent="0.2">
      <c r="B892" s="48"/>
      <c r="C892" s="57" t="s">
        <v>594</v>
      </c>
      <c r="D892" s="44"/>
      <c r="E892" s="86" t="s">
        <v>1036</v>
      </c>
      <c r="F892" s="23" t="str">
        <f t="shared" ref="F892" si="239">IF(H892=-0.33,IF(H890=H$1,H890,""),"")</f>
        <v/>
      </c>
      <c r="G892" s="26"/>
      <c r="H892" s="24">
        <f t="shared" ref="H892" si="240">IF(H891=1,IF(H890=H$2,1,-0.33),0)</f>
        <v>0</v>
      </c>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row>
    <row r="893" spans="1:33" x14ac:dyDescent="0.2">
      <c r="B893" s="48"/>
      <c r="C893" s="57" t="s">
        <v>595</v>
      </c>
      <c r="D893" s="44"/>
      <c r="E893" s="86" t="s">
        <v>1037</v>
      </c>
      <c r="F893" s="20"/>
      <c r="G893" s="26"/>
      <c r="H893" s="2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row>
    <row r="894" spans="1:33" x14ac:dyDescent="0.2">
      <c r="B894" s="48"/>
      <c r="C894" s="8"/>
      <c r="D894" s="44"/>
      <c r="E894" s="86" t="s">
        <v>1038</v>
      </c>
      <c r="F894" s="20"/>
      <c r="G894" s="19"/>
      <c r="H894" s="2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row>
    <row r="895" spans="1:33" s="17" customFormat="1" x14ac:dyDescent="0.2">
      <c r="A895" s="4"/>
      <c r="B895" s="49" t="s">
        <v>596</v>
      </c>
      <c r="C895" s="13"/>
      <c r="D895" s="45"/>
      <c r="E895" s="85"/>
      <c r="F895" s="16"/>
      <c r="G895" s="29"/>
      <c r="H895" s="15"/>
    </row>
    <row r="896" spans="1:33" x14ac:dyDescent="0.2">
      <c r="B896" s="52"/>
      <c r="C896" s="56" t="s">
        <v>597</v>
      </c>
      <c r="D896" s="44"/>
      <c r="E896" s="86" t="s">
        <v>1034</v>
      </c>
      <c r="F896" s="20"/>
      <c r="G896" s="26"/>
      <c r="H896" s="21" t="b">
        <f>IF(D898="x",H$2,H$1)</f>
        <v>0</v>
      </c>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row>
    <row r="897" spans="1:33" x14ac:dyDescent="0.2">
      <c r="B897" s="48"/>
      <c r="C897" s="57" t="s">
        <v>598</v>
      </c>
      <c r="D897" s="44"/>
      <c r="E897" s="86" t="s">
        <v>1035</v>
      </c>
      <c r="F897" s="22" t="str">
        <f t="shared" ref="F897" si="241">IF(H898=1,IF(H896=H$2,H896,""),"")</f>
        <v/>
      </c>
      <c r="G897" s="26"/>
      <c r="H897" s="21" t="str">
        <f t="shared" ref="H897" si="242">IF(E$1122="comprobar",COUNTIF(D896:D900,"x"),"")</f>
        <v/>
      </c>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row>
    <row r="898" spans="1:33" x14ac:dyDescent="0.2">
      <c r="B898" s="48"/>
      <c r="C898" s="57" t="s">
        <v>599</v>
      </c>
      <c r="D898" s="44"/>
      <c r="E898" s="86" t="s">
        <v>1036</v>
      </c>
      <c r="F898" s="23" t="str">
        <f t="shared" ref="F898" si="243">IF(H898=-0.33,IF(H896=H$1,H896,""),"")</f>
        <v/>
      </c>
      <c r="G898" s="26"/>
      <c r="H898" s="24">
        <f t="shared" ref="H898" si="244">IF(H897=1,IF(H896=H$2,1,-0.33),0)</f>
        <v>0</v>
      </c>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row>
    <row r="899" spans="1:33" x14ac:dyDescent="0.2">
      <c r="B899" s="52"/>
      <c r="C899" s="57" t="s">
        <v>600</v>
      </c>
      <c r="D899" s="44"/>
      <c r="E899" s="86" t="s">
        <v>1037</v>
      </c>
      <c r="F899" s="20"/>
      <c r="G899" s="26"/>
      <c r="H899" s="2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row>
    <row r="900" spans="1:33" x14ac:dyDescent="0.2">
      <c r="B900" s="48"/>
      <c r="C900" s="8"/>
      <c r="D900" s="44"/>
      <c r="E900" s="86" t="s">
        <v>1038</v>
      </c>
      <c r="F900" s="20"/>
      <c r="G900" s="19"/>
      <c r="H900" s="2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row>
    <row r="901" spans="1:33" s="17" customFormat="1" x14ac:dyDescent="0.2">
      <c r="A901" s="4"/>
      <c r="B901" s="49" t="s">
        <v>601</v>
      </c>
      <c r="C901" s="13"/>
      <c r="D901" s="45"/>
      <c r="E901" s="85"/>
      <c r="F901" s="16"/>
      <c r="G901" s="29"/>
      <c r="H901" s="15"/>
    </row>
    <row r="902" spans="1:33" x14ac:dyDescent="0.2">
      <c r="B902" s="48"/>
      <c r="C902" s="56" t="s">
        <v>602</v>
      </c>
      <c r="D902" s="44"/>
      <c r="E902" s="86" t="s">
        <v>1034</v>
      </c>
      <c r="F902" s="20"/>
      <c r="G902" s="26"/>
      <c r="H902" s="21" t="b">
        <f>IF(D905="x",H$2,H$1)</f>
        <v>0</v>
      </c>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row>
    <row r="903" spans="1:33" x14ac:dyDescent="0.2">
      <c r="B903" s="52"/>
      <c r="C903" s="57" t="s">
        <v>603</v>
      </c>
      <c r="D903" s="44"/>
      <c r="E903" s="86" t="s">
        <v>1035</v>
      </c>
      <c r="F903" s="22" t="str">
        <f t="shared" ref="F903" si="245">IF(H904=1,IF(H902=H$2,H902,""),"")</f>
        <v/>
      </c>
      <c r="G903" s="26"/>
      <c r="H903" s="21" t="str">
        <f t="shared" ref="H903" si="246">IF(E$1122="comprobar",COUNTIF(D902:D906,"x"),"")</f>
        <v/>
      </c>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row>
    <row r="904" spans="1:33" x14ac:dyDescent="0.2">
      <c r="B904" s="48"/>
      <c r="C904" s="57" t="s">
        <v>604</v>
      </c>
      <c r="D904" s="44"/>
      <c r="E904" s="86" t="s">
        <v>1036</v>
      </c>
      <c r="F904" s="23" t="str">
        <f t="shared" ref="F904" si="247">IF(H904=-0.33,IF(H902=H$1,H902,""),"")</f>
        <v/>
      </c>
      <c r="G904" s="26"/>
      <c r="H904" s="24">
        <f t="shared" ref="H904" si="248">IF(H903=1,IF(H902=H$2,1,-0.33),0)</f>
        <v>0</v>
      </c>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row>
    <row r="905" spans="1:33" x14ac:dyDescent="0.2">
      <c r="B905" s="48"/>
      <c r="C905" s="57" t="s">
        <v>605</v>
      </c>
      <c r="D905" s="44"/>
      <c r="E905" s="86" t="s">
        <v>1037</v>
      </c>
      <c r="F905" s="20"/>
      <c r="G905" s="26"/>
      <c r="H905" s="2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row>
    <row r="906" spans="1:33" x14ac:dyDescent="0.2">
      <c r="B906" s="48"/>
      <c r="C906" s="8"/>
      <c r="D906" s="44"/>
      <c r="E906" s="86" t="s">
        <v>1038</v>
      </c>
      <c r="F906" s="20"/>
      <c r="G906" s="19"/>
      <c r="H906" s="2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row>
    <row r="907" spans="1:33" s="17" customFormat="1" x14ac:dyDescent="0.2">
      <c r="A907" s="4"/>
      <c r="B907" s="49" t="s">
        <v>606</v>
      </c>
      <c r="C907" s="36"/>
      <c r="D907" s="45"/>
      <c r="E907" s="85"/>
      <c r="F907" s="16"/>
      <c r="G907" s="29"/>
      <c r="H907" s="15"/>
    </row>
    <row r="908" spans="1:33" x14ac:dyDescent="0.2">
      <c r="B908" s="48"/>
      <c r="C908" s="56" t="s">
        <v>607</v>
      </c>
      <c r="D908" s="44"/>
      <c r="E908" s="86" t="s">
        <v>1034</v>
      </c>
      <c r="F908" s="20"/>
      <c r="G908" s="26"/>
      <c r="H908" s="21" t="b">
        <f>IF(D909="x",H$2,H$1)</f>
        <v>0</v>
      </c>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row>
    <row r="909" spans="1:33" x14ac:dyDescent="0.2">
      <c r="B909" s="48"/>
      <c r="C909" s="57" t="s">
        <v>608</v>
      </c>
      <c r="D909" s="44"/>
      <c r="E909" s="86" t="s">
        <v>1035</v>
      </c>
      <c r="F909" s="22" t="str">
        <f t="shared" ref="F909" si="249">IF(H910=1,IF(H908=H$2,H908,""),"")</f>
        <v/>
      </c>
      <c r="G909" s="26"/>
      <c r="H909" s="21" t="str">
        <f t="shared" ref="H909" si="250">IF(E$1122="comprobar",COUNTIF(D908:D912,"x"),"")</f>
        <v/>
      </c>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row>
    <row r="910" spans="1:33" x14ac:dyDescent="0.2">
      <c r="B910" s="48"/>
      <c r="C910" s="57" t="s">
        <v>77</v>
      </c>
      <c r="D910" s="44"/>
      <c r="E910" s="86" t="s">
        <v>1036</v>
      </c>
      <c r="F910" s="23" t="str">
        <f t="shared" ref="F910" si="251">IF(H910=-0.33,IF(H908=H$1,H908,""),"")</f>
        <v/>
      </c>
      <c r="G910" s="26"/>
      <c r="H910" s="24">
        <f t="shared" ref="H910" si="252">IF(H909=1,IF(H908=H$2,1,-0.33),0)</f>
        <v>0</v>
      </c>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row>
    <row r="911" spans="1:33" x14ac:dyDescent="0.2">
      <c r="B911" s="48"/>
      <c r="C911" s="57" t="s">
        <v>583</v>
      </c>
      <c r="D911" s="44"/>
      <c r="E911" s="86" t="s">
        <v>1037</v>
      </c>
      <c r="F911" s="20"/>
      <c r="G911" s="26"/>
      <c r="H911" s="2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row>
    <row r="912" spans="1:33" x14ac:dyDescent="0.2">
      <c r="B912" s="48"/>
      <c r="C912" s="8"/>
      <c r="D912" s="44"/>
      <c r="E912" s="86" t="s">
        <v>1038</v>
      </c>
      <c r="F912" s="20"/>
      <c r="G912" s="19"/>
      <c r="H912" s="2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row>
    <row r="913" spans="1:33" s="17" customFormat="1" x14ac:dyDescent="0.2">
      <c r="A913" s="4"/>
      <c r="B913" s="49" t="s">
        <v>609</v>
      </c>
      <c r="C913" s="13"/>
      <c r="D913" s="45"/>
      <c r="E913" s="85"/>
      <c r="F913" s="16"/>
      <c r="G913" s="29"/>
      <c r="H913" s="15"/>
    </row>
    <row r="914" spans="1:33" x14ac:dyDescent="0.2">
      <c r="B914" s="52"/>
      <c r="C914" s="56" t="s">
        <v>610</v>
      </c>
      <c r="D914" s="44"/>
      <c r="E914" s="86" t="s">
        <v>1034</v>
      </c>
      <c r="F914" s="20"/>
      <c r="G914" s="26"/>
      <c r="H914" s="21" t="b">
        <f>IF(D915="x",H$2,H$1)</f>
        <v>0</v>
      </c>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row>
    <row r="915" spans="1:33" x14ac:dyDescent="0.2">
      <c r="B915" s="48"/>
      <c r="C915" s="57" t="s">
        <v>611</v>
      </c>
      <c r="D915" s="44"/>
      <c r="E915" s="86" t="s">
        <v>1035</v>
      </c>
      <c r="F915" s="22" t="str">
        <f t="shared" ref="F915" si="253">IF(H916=1,IF(H914=H$2,H914,""),"")</f>
        <v/>
      </c>
      <c r="G915" s="26"/>
      <c r="H915" s="21" t="str">
        <f t="shared" ref="H915" si="254">IF(E$1122="comprobar",COUNTIF(D914:D918,"x"),"")</f>
        <v/>
      </c>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row>
    <row r="916" spans="1:33" x14ac:dyDescent="0.2">
      <c r="B916" s="48"/>
      <c r="C916" s="57" t="s">
        <v>612</v>
      </c>
      <c r="D916" s="44"/>
      <c r="E916" s="86" t="s">
        <v>1036</v>
      </c>
      <c r="F916" s="23" t="str">
        <f t="shared" ref="F916" si="255">IF(H916=-0.33,IF(H914=H$1,H914,""),"")</f>
        <v/>
      </c>
      <c r="G916" s="26"/>
      <c r="H916" s="24">
        <f t="shared" ref="H916" si="256">IF(H915=1,IF(H914=H$2,1,-0.33),0)</f>
        <v>0</v>
      </c>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row>
    <row r="917" spans="1:33" x14ac:dyDescent="0.2">
      <c r="B917" s="52"/>
      <c r="C917" s="57" t="s">
        <v>590</v>
      </c>
      <c r="D917" s="44"/>
      <c r="E917" s="86" t="s">
        <v>1037</v>
      </c>
      <c r="F917" s="20"/>
      <c r="G917" s="26"/>
      <c r="H917" s="2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row>
    <row r="918" spans="1:33" x14ac:dyDescent="0.2">
      <c r="B918" s="48"/>
      <c r="C918" s="8"/>
      <c r="D918" s="44"/>
      <c r="E918" s="86" t="s">
        <v>1038</v>
      </c>
      <c r="F918" s="20"/>
      <c r="G918" s="19"/>
      <c r="H918" s="2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row>
    <row r="919" spans="1:33" s="17" customFormat="1" x14ac:dyDescent="0.2">
      <c r="A919" s="4"/>
      <c r="B919" s="49" t="s">
        <v>613</v>
      </c>
      <c r="C919" s="13"/>
      <c r="D919" s="45"/>
      <c r="E919" s="85"/>
      <c r="F919" s="16"/>
      <c r="G919" s="29"/>
      <c r="H919" s="15"/>
    </row>
    <row r="920" spans="1:33" x14ac:dyDescent="0.2">
      <c r="B920" s="48"/>
      <c r="C920" s="56" t="s">
        <v>614</v>
      </c>
      <c r="D920" s="44"/>
      <c r="E920" s="86" t="s">
        <v>1034</v>
      </c>
      <c r="F920" s="20"/>
      <c r="G920" s="26"/>
      <c r="H920" s="21" t="b">
        <f>IF(D923="x",H$2,H$1)</f>
        <v>0</v>
      </c>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row>
    <row r="921" spans="1:33" x14ac:dyDescent="0.2">
      <c r="B921" s="52"/>
      <c r="C921" s="57" t="s">
        <v>615</v>
      </c>
      <c r="D921" s="44"/>
      <c r="E921" s="86" t="s">
        <v>1035</v>
      </c>
      <c r="F921" s="22" t="str">
        <f t="shared" ref="F921" si="257">IF(H922=1,IF(H920=H$2,H920,""),"")</f>
        <v/>
      </c>
      <c r="G921" s="26"/>
      <c r="H921" s="21" t="str">
        <f t="shared" ref="H921" si="258">IF(E$1122="comprobar",COUNTIF(D920:D924,"x"),"")</f>
        <v/>
      </c>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row>
    <row r="922" spans="1:33" x14ac:dyDescent="0.2">
      <c r="B922" s="52"/>
      <c r="C922" s="57" t="s">
        <v>616</v>
      </c>
      <c r="D922" s="44"/>
      <c r="E922" s="86" t="s">
        <v>1036</v>
      </c>
      <c r="F922" s="23" t="str">
        <f t="shared" ref="F922" si="259">IF(H922=-0.33,IF(H920=H$1,H920,""),"")</f>
        <v/>
      </c>
      <c r="G922" s="26"/>
      <c r="H922" s="24">
        <f t="shared" ref="H922" si="260">IF(H921=1,IF(H920=H$2,1,-0.33),0)</f>
        <v>0</v>
      </c>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row>
    <row r="923" spans="1:33" x14ac:dyDescent="0.2">
      <c r="B923" s="48"/>
      <c r="C923" s="61" t="s">
        <v>617</v>
      </c>
      <c r="D923" s="44"/>
      <c r="E923" s="86" t="s">
        <v>1037</v>
      </c>
      <c r="F923" s="20"/>
      <c r="G923" s="26"/>
      <c r="H923" s="2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row>
    <row r="924" spans="1:33" x14ac:dyDescent="0.2">
      <c r="B924" s="48"/>
      <c r="C924" s="8"/>
      <c r="D924" s="44"/>
      <c r="E924" s="86" t="s">
        <v>1038</v>
      </c>
      <c r="F924" s="20"/>
      <c r="G924" s="19"/>
      <c r="H924" s="2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row>
    <row r="925" spans="1:33" s="17" customFormat="1" x14ac:dyDescent="0.2">
      <c r="A925" s="4"/>
      <c r="B925" s="49" t="s">
        <v>618</v>
      </c>
      <c r="C925" s="13"/>
      <c r="D925" s="45"/>
      <c r="E925" s="85"/>
      <c r="F925" s="16"/>
      <c r="G925" s="29"/>
      <c r="H925" s="15"/>
    </row>
    <row r="926" spans="1:33" x14ac:dyDescent="0.2">
      <c r="B926" s="52"/>
      <c r="C926" s="56" t="s">
        <v>619</v>
      </c>
      <c r="D926" s="44"/>
      <c r="E926" s="86" t="s">
        <v>1034</v>
      </c>
      <c r="F926" s="20"/>
      <c r="G926" s="26"/>
      <c r="H926" s="21" t="b">
        <f>IF(D927="x",H$2,H$1)</f>
        <v>0</v>
      </c>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row>
    <row r="927" spans="1:33" x14ac:dyDescent="0.2">
      <c r="B927" s="48"/>
      <c r="C927" s="57" t="s">
        <v>620</v>
      </c>
      <c r="D927" s="44"/>
      <c r="E927" s="86" t="s">
        <v>1035</v>
      </c>
      <c r="F927" s="22" t="str">
        <f t="shared" ref="F927" si="261">IF(H928=1,IF(H926=H$2,H926,""),"")</f>
        <v/>
      </c>
      <c r="G927" s="26"/>
      <c r="H927" s="21" t="str">
        <f t="shared" ref="H927" si="262">IF(E$1122="comprobar",COUNTIF(D926:D930,"x"),"")</f>
        <v/>
      </c>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row>
    <row r="928" spans="1:33" x14ac:dyDescent="0.2">
      <c r="B928" s="52"/>
      <c r="C928" s="57" t="s">
        <v>621</v>
      </c>
      <c r="D928" s="44"/>
      <c r="E928" s="86" t="s">
        <v>1036</v>
      </c>
      <c r="F928" s="23" t="str">
        <f t="shared" ref="F928" si="263">IF(H928=-0.33,IF(H926=H$1,H926,""),"")</f>
        <v/>
      </c>
      <c r="G928" s="26"/>
      <c r="H928" s="24">
        <f t="shared" ref="H928" si="264">IF(H927=1,IF(H926=H$2,1,-0.33),0)</f>
        <v>0</v>
      </c>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row>
    <row r="929" spans="1:33" x14ac:dyDescent="0.2">
      <c r="B929" s="48"/>
      <c r="C929" s="57" t="s">
        <v>622</v>
      </c>
      <c r="D929" s="44"/>
      <c r="E929" s="86" t="s">
        <v>1037</v>
      </c>
      <c r="F929" s="20"/>
      <c r="G929" s="26"/>
      <c r="H929" s="2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row>
    <row r="930" spans="1:33" x14ac:dyDescent="0.2">
      <c r="B930" s="48"/>
      <c r="C930" s="8"/>
      <c r="D930" s="44"/>
      <c r="E930" s="86" t="s">
        <v>1038</v>
      </c>
      <c r="F930" s="20"/>
      <c r="G930" s="19"/>
      <c r="H930" s="2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row>
    <row r="931" spans="1:33" s="17" customFormat="1" x14ac:dyDescent="0.2">
      <c r="A931" s="4"/>
      <c r="B931" s="49" t="s">
        <v>623</v>
      </c>
      <c r="C931" s="13"/>
      <c r="D931" s="45"/>
      <c r="E931" s="85"/>
      <c r="F931" s="16"/>
      <c r="G931" s="29"/>
      <c r="H931" s="15"/>
    </row>
    <row r="932" spans="1:33" x14ac:dyDescent="0.2">
      <c r="B932" s="52"/>
      <c r="C932" s="56" t="s">
        <v>624</v>
      </c>
      <c r="D932" s="44"/>
      <c r="E932" s="86" t="s">
        <v>1034</v>
      </c>
      <c r="F932" s="20"/>
      <c r="G932" s="26"/>
      <c r="H932" s="21" t="b">
        <f>IF(D933="x",H$2,H$1)</f>
        <v>0</v>
      </c>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row>
    <row r="933" spans="1:33" x14ac:dyDescent="0.2">
      <c r="B933" s="48"/>
      <c r="C933" s="57" t="s">
        <v>625</v>
      </c>
      <c r="D933" s="44"/>
      <c r="E933" s="86" t="s">
        <v>1035</v>
      </c>
      <c r="F933" s="22" t="str">
        <f t="shared" ref="F933" si="265">IF(H934=1,IF(H932=H$2,H932,""),"")</f>
        <v/>
      </c>
      <c r="G933" s="26"/>
      <c r="H933" s="21" t="str">
        <f t="shared" ref="H933" si="266">IF(E$1122="comprobar",COUNTIF(D932:D936,"x"),"")</f>
        <v/>
      </c>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row>
    <row r="934" spans="1:33" x14ac:dyDescent="0.2">
      <c r="B934" s="48"/>
      <c r="C934" s="57" t="s">
        <v>626</v>
      </c>
      <c r="D934" s="44"/>
      <c r="E934" s="86" t="s">
        <v>1036</v>
      </c>
      <c r="F934" s="23" t="str">
        <f t="shared" ref="F934" si="267">IF(H934=-0.33,IF(H932=H$1,H932,""),"")</f>
        <v/>
      </c>
      <c r="G934" s="26"/>
      <c r="H934" s="24">
        <f t="shared" ref="H934" si="268">IF(H933=1,IF(H932=H$2,1,-0.33),0)</f>
        <v>0</v>
      </c>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row>
    <row r="935" spans="1:33" x14ac:dyDescent="0.2">
      <c r="B935" s="48"/>
      <c r="C935" s="57" t="s">
        <v>627</v>
      </c>
      <c r="D935" s="44"/>
      <c r="E935" s="86" t="s">
        <v>1037</v>
      </c>
      <c r="F935" s="20"/>
      <c r="G935" s="26"/>
      <c r="H935" s="2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row>
    <row r="936" spans="1:33" x14ac:dyDescent="0.2">
      <c r="B936" s="48"/>
      <c r="C936" s="8"/>
      <c r="D936" s="44"/>
      <c r="E936" s="86" t="s">
        <v>1038</v>
      </c>
      <c r="F936" s="12"/>
      <c r="G936" s="19"/>
      <c r="H936" s="2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row>
    <row r="937" spans="1:33" s="17" customFormat="1" x14ac:dyDescent="0.2">
      <c r="A937" s="4"/>
      <c r="B937" s="49" t="s">
        <v>628</v>
      </c>
      <c r="C937" s="13"/>
      <c r="D937" s="45"/>
      <c r="E937" s="85"/>
      <c r="F937" s="30"/>
      <c r="G937" s="29"/>
      <c r="H937" s="15"/>
    </row>
    <row r="938" spans="1:33" x14ac:dyDescent="0.2">
      <c r="B938" s="48"/>
      <c r="C938" s="56" t="s">
        <v>629</v>
      </c>
      <c r="D938" s="44"/>
      <c r="E938" s="86" t="s">
        <v>1034</v>
      </c>
      <c r="F938" s="27"/>
      <c r="G938" s="26"/>
      <c r="H938" s="21" t="b">
        <f>IF(D941="x",H$2,H$1)</f>
        <v>0</v>
      </c>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row>
    <row r="939" spans="1:33" x14ac:dyDescent="0.2">
      <c r="B939" s="48"/>
      <c r="C939" s="57" t="s">
        <v>630</v>
      </c>
      <c r="D939" s="44"/>
      <c r="E939" s="86" t="s">
        <v>1035</v>
      </c>
      <c r="F939" s="22" t="str">
        <f t="shared" ref="F939" si="269">IF(H940=1,IF(H938=H$2,H938,""),"")</f>
        <v/>
      </c>
      <c r="G939" s="26"/>
      <c r="H939" s="21" t="str">
        <f t="shared" ref="H939" si="270">IF(E$1122="comprobar",COUNTIF(D938:D942,"x"),"")</f>
        <v/>
      </c>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row>
    <row r="940" spans="1:33" x14ac:dyDescent="0.2">
      <c r="B940" s="52"/>
      <c r="C940" s="57" t="s">
        <v>631</v>
      </c>
      <c r="D940" s="44"/>
      <c r="E940" s="86" t="s">
        <v>1036</v>
      </c>
      <c r="F940" s="23" t="str">
        <f t="shared" ref="F940" si="271">IF(H940=-0.33,IF(H938=H$1,H938,""),"")</f>
        <v/>
      </c>
      <c r="G940" s="26"/>
      <c r="H940" s="24">
        <f t="shared" ref="H940" si="272">IF(H939=1,IF(H938=H$2,1,-0.33),0)</f>
        <v>0</v>
      </c>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row>
    <row r="941" spans="1:33" x14ac:dyDescent="0.2">
      <c r="B941" s="48"/>
      <c r="C941" s="57" t="s">
        <v>622</v>
      </c>
      <c r="D941" s="44"/>
      <c r="E941" s="86" t="s">
        <v>1037</v>
      </c>
      <c r="F941" s="28"/>
      <c r="G941" s="26"/>
      <c r="H941" s="2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row>
    <row r="942" spans="1:33" x14ac:dyDescent="0.2">
      <c r="B942" s="48"/>
      <c r="C942" s="8"/>
      <c r="D942" s="44"/>
      <c r="E942" s="86" t="s">
        <v>1038</v>
      </c>
      <c r="F942" s="28"/>
      <c r="G942" s="19"/>
      <c r="H942" s="2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row>
    <row r="943" spans="1:33" s="17" customFormat="1" x14ac:dyDescent="0.2">
      <c r="A943" s="4"/>
      <c r="B943" s="49" t="s">
        <v>632</v>
      </c>
      <c r="C943" s="13"/>
      <c r="D943" s="45"/>
      <c r="E943" s="85"/>
      <c r="F943" s="30"/>
      <c r="G943" s="29"/>
      <c r="H943" s="15"/>
    </row>
    <row r="944" spans="1:33" x14ac:dyDescent="0.2">
      <c r="B944" s="48"/>
      <c r="C944" s="56" t="s">
        <v>633</v>
      </c>
      <c r="D944" s="44"/>
      <c r="E944" s="86" t="s">
        <v>1034</v>
      </c>
      <c r="F944" s="27"/>
      <c r="G944" s="26"/>
      <c r="H944" s="21" t="b">
        <f>IF(D947="x",H$2,H$1)</f>
        <v>0</v>
      </c>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row>
    <row r="945" spans="1:33" x14ac:dyDescent="0.2">
      <c r="B945" s="48"/>
      <c r="C945" s="57" t="s">
        <v>634</v>
      </c>
      <c r="D945" s="44"/>
      <c r="E945" s="86" t="s">
        <v>1035</v>
      </c>
      <c r="F945" s="22" t="str">
        <f t="shared" ref="F945" si="273">IF(H946=1,IF(H944=H$2,H944,""),"")</f>
        <v/>
      </c>
      <c r="G945" s="26"/>
      <c r="H945" s="21" t="str">
        <f t="shared" ref="H945" si="274">IF(E$1122="comprobar",COUNTIF(D944:D948,"x"),"")</f>
        <v/>
      </c>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row>
    <row r="946" spans="1:33" x14ac:dyDescent="0.2">
      <c r="B946" s="52"/>
      <c r="C946" s="57" t="s">
        <v>635</v>
      </c>
      <c r="D946" s="44"/>
      <c r="E946" s="86" t="s">
        <v>1036</v>
      </c>
      <c r="F946" s="23" t="str">
        <f t="shared" ref="F946" si="275">IF(H946=-0.33,IF(H944=H$1,H944,""),"")</f>
        <v/>
      </c>
      <c r="G946" s="26"/>
      <c r="H946" s="24">
        <f t="shared" ref="H946" si="276">IF(H945=1,IF(H944=H$2,1,-0.33),0)</f>
        <v>0</v>
      </c>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row>
    <row r="947" spans="1:33" x14ac:dyDescent="0.2">
      <c r="B947" s="48"/>
      <c r="C947" s="57" t="s">
        <v>605</v>
      </c>
      <c r="D947" s="44"/>
      <c r="E947" s="86" t="s">
        <v>1037</v>
      </c>
      <c r="F947" s="20"/>
      <c r="G947" s="26"/>
      <c r="H947" s="2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row>
    <row r="948" spans="1:33" x14ac:dyDescent="0.2">
      <c r="B948" s="48"/>
      <c r="C948" s="8"/>
      <c r="D948" s="44"/>
      <c r="E948" s="86" t="s">
        <v>1038</v>
      </c>
      <c r="F948" s="28"/>
      <c r="G948" s="19"/>
      <c r="H948" s="2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row>
    <row r="949" spans="1:33" s="17" customFormat="1" x14ac:dyDescent="0.2">
      <c r="A949" s="4"/>
      <c r="B949" s="49" t="s">
        <v>636</v>
      </c>
      <c r="C949" s="13"/>
      <c r="D949" s="45"/>
      <c r="E949" s="85"/>
      <c r="F949" s="30"/>
      <c r="G949" s="29"/>
      <c r="H949" s="15"/>
    </row>
    <row r="950" spans="1:33" x14ac:dyDescent="0.2">
      <c r="B950" s="48"/>
      <c r="C950" s="56" t="s">
        <v>637</v>
      </c>
      <c r="D950" s="44"/>
      <c r="E950" s="86" t="s">
        <v>1034</v>
      </c>
      <c r="F950" s="27"/>
      <c r="G950" s="26"/>
      <c r="H950" s="21" t="b">
        <f>IF(D951="x",H$2,H$1)</f>
        <v>0</v>
      </c>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row>
    <row r="951" spans="1:33" x14ac:dyDescent="0.2">
      <c r="B951" s="48"/>
      <c r="C951" s="57" t="s">
        <v>638</v>
      </c>
      <c r="D951" s="44"/>
      <c r="E951" s="86" t="s">
        <v>1035</v>
      </c>
      <c r="F951" s="22" t="str">
        <f t="shared" ref="F951" si="277">IF(H952=1,IF(H950=H$2,H950,""),"")</f>
        <v/>
      </c>
      <c r="G951" s="26"/>
      <c r="H951" s="21" t="str">
        <f t="shared" ref="H951" si="278">IF(E$1122="comprobar",COUNTIF(D950:D954,"x"),"")</f>
        <v/>
      </c>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row>
    <row r="952" spans="1:33" x14ac:dyDescent="0.2">
      <c r="B952" s="48"/>
      <c r="C952" s="57" t="s">
        <v>583</v>
      </c>
      <c r="D952" s="44"/>
      <c r="E952" s="86" t="s">
        <v>1036</v>
      </c>
      <c r="F952" s="23" t="str">
        <f t="shared" ref="F952" si="279">IF(H952=-0.33,IF(H950=H$1,H950,""),"")</f>
        <v/>
      </c>
      <c r="G952" s="26"/>
      <c r="H952" s="24">
        <f t="shared" ref="H952" si="280">IF(H951=1,IF(H950=H$2,1,-0.33),0)</f>
        <v>0</v>
      </c>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row>
    <row r="953" spans="1:33" x14ac:dyDescent="0.2">
      <c r="B953" s="48"/>
      <c r="C953" s="57" t="s">
        <v>600</v>
      </c>
      <c r="D953" s="44"/>
      <c r="E953" s="86" t="s">
        <v>1037</v>
      </c>
      <c r="F953" s="28"/>
      <c r="G953" s="26"/>
      <c r="H953" s="2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row>
    <row r="954" spans="1:33" x14ac:dyDescent="0.2">
      <c r="B954" s="48"/>
      <c r="C954" s="8"/>
      <c r="D954" s="44"/>
      <c r="E954" s="86" t="s">
        <v>1038</v>
      </c>
      <c r="F954" s="28"/>
      <c r="G954" s="19"/>
      <c r="H954" s="2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row>
    <row r="955" spans="1:33" s="17" customFormat="1" x14ac:dyDescent="0.2">
      <c r="A955" s="4"/>
      <c r="B955" s="49" t="s">
        <v>639</v>
      </c>
      <c r="C955" s="13"/>
      <c r="D955" s="45"/>
      <c r="E955" s="85"/>
      <c r="F955" s="16"/>
      <c r="G955" s="29"/>
      <c r="H955" s="15"/>
    </row>
    <row r="956" spans="1:33" x14ac:dyDescent="0.2">
      <c r="B956" s="48"/>
      <c r="C956" s="56" t="s">
        <v>640</v>
      </c>
      <c r="D956" s="44"/>
      <c r="E956" s="86" t="s">
        <v>1034</v>
      </c>
      <c r="F956" s="20"/>
      <c r="G956" s="26"/>
      <c r="H956" s="21" t="b">
        <f>IF(D957="x",H$2,H$1)</f>
        <v>0</v>
      </c>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row>
    <row r="957" spans="1:33" x14ac:dyDescent="0.2">
      <c r="B957" s="52"/>
      <c r="C957" s="57" t="s">
        <v>641</v>
      </c>
      <c r="D957" s="44"/>
      <c r="E957" s="86" t="s">
        <v>1035</v>
      </c>
      <c r="F957" s="22" t="str">
        <f t="shared" ref="F957" si="281">IF(H958=1,IF(H956=H$2,H956,""),"")</f>
        <v/>
      </c>
      <c r="G957" s="26"/>
      <c r="H957" s="21" t="str">
        <f t="shared" ref="H957" si="282">IF(E$1122="comprobar",COUNTIF(D956:D960,"x"),"")</f>
        <v/>
      </c>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row>
    <row r="958" spans="1:33" x14ac:dyDescent="0.2">
      <c r="B958" s="52"/>
      <c r="C958" s="57" t="s">
        <v>642</v>
      </c>
      <c r="D958" s="44"/>
      <c r="E958" s="86" t="s">
        <v>1036</v>
      </c>
      <c r="F958" s="23" t="str">
        <f t="shared" ref="F958" si="283">IF(H958=-0.33,IF(H956=H$1,H956,""),"")</f>
        <v/>
      </c>
      <c r="G958" s="26"/>
      <c r="H958" s="24">
        <f t="shared" ref="H958" si="284">IF(H957=1,IF(H956=H$2,1,-0.33),0)</f>
        <v>0</v>
      </c>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row>
    <row r="959" spans="1:33" x14ac:dyDescent="0.2">
      <c r="B959" s="48"/>
      <c r="C959" s="61" t="s">
        <v>643</v>
      </c>
      <c r="D959" s="44"/>
      <c r="E959" s="86" t="s">
        <v>1037</v>
      </c>
      <c r="F959" s="20"/>
      <c r="G959" s="26"/>
      <c r="H959" s="2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row>
    <row r="960" spans="1:33" x14ac:dyDescent="0.2">
      <c r="B960" s="48"/>
      <c r="C960" s="8"/>
      <c r="D960" s="44"/>
      <c r="E960" s="86" t="s">
        <v>1038</v>
      </c>
      <c r="F960" s="20"/>
      <c r="G960" s="19"/>
      <c r="H960" s="2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row>
    <row r="961" spans="1:33" s="17" customFormat="1" x14ac:dyDescent="0.2">
      <c r="A961" s="4"/>
      <c r="B961" s="49" t="s">
        <v>644</v>
      </c>
      <c r="C961" s="13"/>
      <c r="D961" s="45"/>
      <c r="E961" s="85"/>
      <c r="F961" s="30"/>
      <c r="G961" s="29"/>
      <c r="H961" s="15"/>
    </row>
    <row r="962" spans="1:33" x14ac:dyDescent="0.2">
      <c r="B962" s="48"/>
      <c r="C962" s="56" t="s">
        <v>645</v>
      </c>
      <c r="D962" s="44"/>
      <c r="E962" s="86" t="s">
        <v>1034</v>
      </c>
      <c r="F962" s="27"/>
      <c r="G962" s="26"/>
      <c r="H962" s="21" t="b">
        <f>IF(D964="x",H$2,H$1)</f>
        <v>0</v>
      </c>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row>
    <row r="963" spans="1:33" x14ac:dyDescent="0.2">
      <c r="B963" s="48"/>
      <c r="C963" s="57" t="s">
        <v>646</v>
      </c>
      <c r="D963" s="44"/>
      <c r="E963" s="86" t="s">
        <v>1035</v>
      </c>
      <c r="F963" s="22" t="str">
        <f t="shared" ref="F963" si="285">IF(H964=1,IF(H962=H$2,H962,""),"")</f>
        <v/>
      </c>
      <c r="G963" s="26"/>
      <c r="H963" s="21" t="str">
        <f t="shared" ref="H963" si="286">IF(E$1122="comprobar",COUNTIF(D962:D966,"x"),"")</f>
        <v/>
      </c>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row>
    <row r="964" spans="1:33" x14ac:dyDescent="0.2">
      <c r="B964" s="48"/>
      <c r="C964" s="61" t="s">
        <v>647</v>
      </c>
      <c r="D964" s="44"/>
      <c r="E964" s="86" t="s">
        <v>1036</v>
      </c>
      <c r="F964" s="23" t="str">
        <f t="shared" ref="F964" si="287">IF(H964=-0.33,IF(H962=H$1,H962,""),"")</f>
        <v/>
      </c>
      <c r="G964" s="26"/>
      <c r="H964" s="24">
        <f t="shared" ref="H964" si="288">IF(H963=1,IF(H962=H$2,1,-0.33),0)</f>
        <v>0</v>
      </c>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row>
    <row r="965" spans="1:33" x14ac:dyDescent="0.2">
      <c r="B965" s="48"/>
      <c r="C965" s="57" t="s">
        <v>648</v>
      </c>
      <c r="D965" s="44"/>
      <c r="E965" s="86" t="s">
        <v>1037</v>
      </c>
      <c r="F965" s="28"/>
      <c r="G965" s="26"/>
      <c r="H965" s="2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row>
    <row r="966" spans="1:33" x14ac:dyDescent="0.2">
      <c r="B966" s="48"/>
      <c r="C966" s="8"/>
      <c r="D966" s="44"/>
      <c r="E966" s="86" t="s">
        <v>1038</v>
      </c>
      <c r="F966" s="28"/>
      <c r="G966" s="19"/>
      <c r="H966" s="2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row>
    <row r="967" spans="1:33" s="17" customFormat="1" x14ac:dyDescent="0.2">
      <c r="A967" s="4"/>
      <c r="B967" s="49" t="s">
        <v>649</v>
      </c>
      <c r="C967" s="13"/>
      <c r="D967" s="45"/>
      <c r="E967" s="85"/>
      <c r="F967" s="30"/>
      <c r="G967" s="29"/>
      <c r="H967" s="15"/>
    </row>
    <row r="968" spans="1:33" x14ac:dyDescent="0.2">
      <c r="B968" s="48"/>
      <c r="C968" s="56" t="s">
        <v>650</v>
      </c>
      <c r="D968" s="44"/>
      <c r="E968" s="86" t="s">
        <v>1034</v>
      </c>
      <c r="F968" s="28"/>
      <c r="G968" s="26"/>
      <c r="H968" s="21" t="b">
        <f>IF(D968="x",H$2,H$1)</f>
        <v>0</v>
      </c>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row>
    <row r="969" spans="1:33" x14ac:dyDescent="0.2">
      <c r="B969" s="52"/>
      <c r="C969" s="57" t="s">
        <v>651</v>
      </c>
      <c r="D969" s="44"/>
      <c r="E969" s="86" t="s">
        <v>1035</v>
      </c>
      <c r="F969" s="22" t="str">
        <f t="shared" ref="F969" si="289">IF(H970=1,IF(H968=H$2,H968,""),"")</f>
        <v/>
      </c>
      <c r="G969" s="26"/>
      <c r="H969" s="21" t="str">
        <f t="shared" ref="H969" si="290">IF(E$1122="comprobar",COUNTIF(D968:D972,"x"),"")</f>
        <v/>
      </c>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row>
    <row r="970" spans="1:33" x14ac:dyDescent="0.2">
      <c r="B970" s="48"/>
      <c r="C970" s="57" t="s">
        <v>652</v>
      </c>
      <c r="D970" s="44"/>
      <c r="E970" s="86" t="s">
        <v>1036</v>
      </c>
      <c r="F970" s="23" t="str">
        <f t="shared" ref="F970" si="291">IF(H970=-0.33,IF(H968=H$1,H968,""),"")</f>
        <v/>
      </c>
      <c r="G970" s="26"/>
      <c r="H970" s="24">
        <f t="shared" ref="H970" si="292">IF(H969=1,IF(H968=H$2,1,-0.33),0)</f>
        <v>0</v>
      </c>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row>
    <row r="971" spans="1:33" x14ac:dyDescent="0.2">
      <c r="B971" s="48"/>
      <c r="C971" s="57" t="s">
        <v>653</v>
      </c>
      <c r="D971" s="44"/>
      <c r="E971" s="86" t="s">
        <v>1037</v>
      </c>
      <c r="F971" s="28"/>
      <c r="G971" s="26"/>
      <c r="H971" s="2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row>
    <row r="972" spans="1:33" x14ac:dyDescent="0.2">
      <c r="B972" s="48"/>
      <c r="C972" s="8"/>
      <c r="D972" s="44"/>
      <c r="E972" s="86" t="s">
        <v>1038</v>
      </c>
      <c r="F972" s="28"/>
      <c r="G972" s="19"/>
      <c r="H972" s="2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row>
    <row r="973" spans="1:33" s="17" customFormat="1" x14ac:dyDescent="0.2">
      <c r="A973" s="4"/>
      <c r="B973" s="49" t="s">
        <v>654</v>
      </c>
      <c r="C973" s="13"/>
      <c r="D973" s="45"/>
      <c r="E973" s="85"/>
      <c r="F973" s="30"/>
      <c r="G973" s="29"/>
      <c r="H973" s="15"/>
    </row>
    <row r="974" spans="1:33" x14ac:dyDescent="0.2">
      <c r="B974" s="52"/>
      <c r="C974" s="56" t="s">
        <v>293</v>
      </c>
      <c r="D974" s="44"/>
      <c r="E974" s="86" t="s">
        <v>1034</v>
      </c>
      <c r="F974" s="27"/>
      <c r="G974" s="26"/>
      <c r="H974" s="21" t="b">
        <f>IF(D976="x",H$2,H$1)</f>
        <v>0</v>
      </c>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row>
    <row r="975" spans="1:33" x14ac:dyDescent="0.2">
      <c r="B975" s="48"/>
      <c r="C975" s="57" t="s">
        <v>655</v>
      </c>
      <c r="D975" s="44"/>
      <c r="E975" s="86" t="s">
        <v>1035</v>
      </c>
      <c r="F975" s="22" t="str">
        <f t="shared" ref="F975" si="293">IF(H976=1,IF(H974=H$2,H974,""),"")</f>
        <v/>
      </c>
      <c r="G975" s="26"/>
      <c r="H975" s="21" t="str">
        <f t="shared" ref="H975" si="294">IF(E$1122="comprobar",COUNTIF(D974:D978,"x"),"")</f>
        <v/>
      </c>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row>
    <row r="976" spans="1:33" x14ac:dyDescent="0.2">
      <c r="B976" s="48"/>
      <c r="C976" s="57" t="s">
        <v>656</v>
      </c>
      <c r="D976" s="44"/>
      <c r="E976" s="86" t="s">
        <v>1036</v>
      </c>
      <c r="F976" s="23" t="str">
        <f t="shared" ref="F976" si="295">IF(H976=-0.33,IF(H974=H$1,H974,""),"")</f>
        <v/>
      </c>
      <c r="G976" s="26"/>
      <c r="H976" s="24">
        <f t="shared" ref="H976" si="296">IF(H975=1,IF(H974=H$2,1,-0.33),0)</f>
        <v>0</v>
      </c>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row>
    <row r="977" spans="1:33" x14ac:dyDescent="0.2">
      <c r="B977" s="52"/>
      <c r="C977" s="57" t="s">
        <v>657</v>
      </c>
      <c r="D977" s="44"/>
      <c r="E977" s="86" t="s">
        <v>1037</v>
      </c>
      <c r="F977" s="28"/>
      <c r="G977" s="26"/>
      <c r="H977" s="2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row>
    <row r="978" spans="1:33" x14ac:dyDescent="0.2">
      <c r="B978" s="48"/>
      <c r="C978" s="8"/>
      <c r="D978" s="44"/>
      <c r="E978" s="86" t="s">
        <v>1038</v>
      </c>
      <c r="F978" s="28"/>
      <c r="G978" s="19"/>
      <c r="H978" s="2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row>
    <row r="979" spans="1:33" s="17" customFormat="1" x14ac:dyDescent="0.2">
      <c r="A979" s="4"/>
      <c r="B979" s="49" t="s">
        <v>761</v>
      </c>
      <c r="C979" s="13"/>
      <c r="D979" s="45"/>
      <c r="E979" s="85"/>
      <c r="F979" s="30"/>
      <c r="G979" s="29"/>
      <c r="H979" s="15"/>
    </row>
    <row r="980" spans="1:33" x14ac:dyDescent="0.2">
      <c r="B980" s="52"/>
      <c r="C980" s="56" t="s">
        <v>658</v>
      </c>
      <c r="D980" s="44"/>
      <c r="E980" s="86" t="s">
        <v>1034</v>
      </c>
      <c r="F980" s="28"/>
      <c r="G980" s="26"/>
      <c r="H980" s="21" t="b">
        <f>IF(D981="x",H$2,H$1)</f>
        <v>0</v>
      </c>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row>
    <row r="981" spans="1:33" x14ac:dyDescent="0.2">
      <c r="B981" s="48"/>
      <c r="C981" s="57" t="s">
        <v>659</v>
      </c>
      <c r="D981" s="44"/>
      <c r="E981" s="86" t="s">
        <v>1035</v>
      </c>
      <c r="F981" s="22" t="str">
        <f t="shared" ref="F981" si="297">IF(H982=1,IF(H980=H$2,H980,""),"")</f>
        <v/>
      </c>
      <c r="G981" s="26"/>
      <c r="H981" s="21" t="str">
        <f t="shared" ref="H981" si="298">IF(E$1122="comprobar",COUNTIF(D980:D984,"x"),"")</f>
        <v/>
      </c>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row>
    <row r="982" spans="1:33" x14ac:dyDescent="0.2">
      <c r="B982" s="48"/>
      <c r="C982" s="57" t="s">
        <v>660</v>
      </c>
      <c r="D982" s="44"/>
      <c r="E982" s="86" t="s">
        <v>1036</v>
      </c>
      <c r="F982" s="23" t="str">
        <f t="shared" ref="F982" si="299">IF(H982=-0.33,IF(H980=H$1,H980,""),"")</f>
        <v/>
      </c>
      <c r="G982" s="26"/>
      <c r="H982" s="24">
        <f t="shared" ref="H982" si="300">IF(H981=1,IF(H980=H$2,1,-0.33),0)</f>
        <v>0</v>
      </c>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row>
    <row r="983" spans="1:33" x14ac:dyDescent="0.2">
      <c r="B983" s="48"/>
      <c r="C983" s="57" t="s">
        <v>595</v>
      </c>
      <c r="D983" s="44"/>
      <c r="E983" s="86" t="s">
        <v>1037</v>
      </c>
      <c r="F983" s="28"/>
      <c r="G983" s="26"/>
      <c r="H983" s="2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row>
    <row r="984" spans="1:33" x14ac:dyDescent="0.2">
      <c r="B984" s="48"/>
      <c r="C984" s="8"/>
      <c r="D984" s="44"/>
      <c r="E984" s="86" t="s">
        <v>1038</v>
      </c>
      <c r="F984" s="28"/>
      <c r="G984" s="19"/>
      <c r="H984" s="2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row>
    <row r="985" spans="1:33" s="17" customFormat="1" x14ac:dyDescent="0.2">
      <c r="A985" s="4"/>
      <c r="B985" s="49" t="s">
        <v>661</v>
      </c>
      <c r="C985" s="13"/>
      <c r="D985" s="45"/>
      <c r="E985" s="85"/>
      <c r="F985" s="30"/>
      <c r="G985" s="29"/>
      <c r="H985" s="15"/>
    </row>
    <row r="986" spans="1:33" x14ac:dyDescent="0.2">
      <c r="B986" s="48"/>
      <c r="C986" s="56" t="s">
        <v>662</v>
      </c>
      <c r="D986" s="44"/>
      <c r="E986" s="86" t="s">
        <v>1034</v>
      </c>
      <c r="F986" s="27"/>
      <c r="G986" s="26"/>
      <c r="H986" s="21" t="b">
        <f>IF(D988="x",H$2,H$1)</f>
        <v>0</v>
      </c>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row>
    <row r="987" spans="1:33" x14ac:dyDescent="0.2">
      <c r="B987" s="52"/>
      <c r="C987" s="57" t="s">
        <v>663</v>
      </c>
      <c r="D987" s="44"/>
      <c r="E987" s="86" t="s">
        <v>1035</v>
      </c>
      <c r="F987" s="22" t="str">
        <f t="shared" ref="F987" si="301">IF(H988=1,IF(H986=H$2,H986,""),"")</f>
        <v/>
      </c>
      <c r="G987" s="26"/>
      <c r="H987" s="21" t="str">
        <f t="shared" ref="H987" si="302">IF(E$1122="comprobar",COUNTIF(D986:D990,"x"),"")</f>
        <v/>
      </c>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row>
    <row r="988" spans="1:33" x14ac:dyDescent="0.2">
      <c r="B988" s="48"/>
      <c r="C988" s="57" t="s">
        <v>664</v>
      </c>
      <c r="D988" s="44"/>
      <c r="E988" s="86" t="s">
        <v>1036</v>
      </c>
      <c r="F988" s="23" t="str">
        <f t="shared" ref="F988" si="303">IF(H988=-0.33,IF(H986=H$1,H986,""),"")</f>
        <v/>
      </c>
      <c r="G988" s="26"/>
      <c r="H988" s="24">
        <f t="shared" ref="H988" si="304">IF(H987=1,IF(H986=H$2,1,-0.33),0)</f>
        <v>0</v>
      </c>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row>
    <row r="989" spans="1:33" x14ac:dyDescent="0.2">
      <c r="B989" s="48"/>
      <c r="C989" s="57" t="s">
        <v>622</v>
      </c>
      <c r="D989" s="44"/>
      <c r="E989" s="86" t="s">
        <v>1037</v>
      </c>
      <c r="F989" s="28"/>
      <c r="G989" s="26"/>
      <c r="H989" s="2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row>
    <row r="990" spans="1:33" x14ac:dyDescent="0.2">
      <c r="B990" s="48"/>
      <c r="C990" s="8"/>
      <c r="D990" s="44"/>
      <c r="E990" s="86" t="s">
        <v>1038</v>
      </c>
      <c r="F990" s="28"/>
      <c r="G990" s="19"/>
      <c r="H990" s="2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row>
    <row r="991" spans="1:33" s="17" customFormat="1" x14ac:dyDescent="0.2">
      <c r="A991" s="4"/>
      <c r="B991" s="49" t="s">
        <v>760</v>
      </c>
      <c r="C991" s="36"/>
      <c r="D991" s="45"/>
      <c r="E991" s="85"/>
      <c r="F991" s="30"/>
      <c r="G991" s="29"/>
      <c r="H991" s="15"/>
    </row>
    <row r="992" spans="1:33" x14ac:dyDescent="0.2">
      <c r="B992" s="48"/>
      <c r="C992" s="120">
        <v>1.55E-2</v>
      </c>
      <c r="D992" s="44"/>
      <c r="E992" s="86" t="s">
        <v>1034</v>
      </c>
      <c r="F992" s="27"/>
      <c r="G992" s="26"/>
      <c r="H992" s="21" t="b">
        <f>IF(D993="x",H$2,H$1)</f>
        <v>0</v>
      </c>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row>
    <row r="993" spans="1:33" x14ac:dyDescent="0.2">
      <c r="B993" s="48"/>
      <c r="C993" s="121">
        <v>1.6E-2</v>
      </c>
      <c r="D993" s="44"/>
      <c r="E993" s="86" t="s">
        <v>1035</v>
      </c>
      <c r="F993" s="22" t="str">
        <f t="shared" ref="F993" si="305">IF(H994=1,IF(H992=H$2,H992,""),"")</f>
        <v/>
      </c>
      <c r="G993" s="26"/>
      <c r="H993" s="21" t="str">
        <f t="shared" ref="H993" si="306">IF(E$1122="comprobar",COUNTIF(D992:D996,"x"),"")</f>
        <v/>
      </c>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row>
    <row r="994" spans="1:33" x14ac:dyDescent="0.2">
      <c r="B994" s="52"/>
      <c r="C994" s="121">
        <v>6.0000000000000001E-3</v>
      </c>
      <c r="D994" s="44"/>
      <c r="E994" s="86" t="s">
        <v>1036</v>
      </c>
      <c r="F994" s="23" t="str">
        <f t="shared" ref="F994" si="307">IF(H994=-0.33,IF(H992=H$1,H992,""),"")</f>
        <v/>
      </c>
      <c r="G994" s="26"/>
      <c r="H994" s="24">
        <f t="shared" ref="H994" si="308">IF(H993=1,IF(H992=H$2,1,-0.33),0)</f>
        <v>0</v>
      </c>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row>
    <row r="995" spans="1:33" x14ac:dyDescent="0.2">
      <c r="B995" s="48"/>
      <c r="C995" s="57" t="s">
        <v>590</v>
      </c>
      <c r="D995" s="44"/>
      <c r="E995" s="86" t="s">
        <v>1037</v>
      </c>
      <c r="F995" s="28"/>
      <c r="G995" s="26"/>
      <c r="H995" s="2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row>
    <row r="996" spans="1:33" x14ac:dyDescent="0.2">
      <c r="B996" s="48"/>
      <c r="C996" s="8"/>
      <c r="D996" s="44"/>
      <c r="E996" s="86" t="s">
        <v>1038</v>
      </c>
      <c r="F996" s="28"/>
      <c r="G996" s="19"/>
      <c r="H996" s="2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row>
    <row r="997" spans="1:33" s="17" customFormat="1" x14ac:dyDescent="0.2">
      <c r="A997" s="4"/>
      <c r="B997" s="49" t="s">
        <v>665</v>
      </c>
      <c r="C997" s="13"/>
      <c r="D997" s="45"/>
      <c r="E997" s="85"/>
      <c r="F997" s="30"/>
      <c r="G997" s="29"/>
      <c r="H997" s="15"/>
    </row>
    <row r="998" spans="1:33" x14ac:dyDescent="0.2">
      <c r="B998" s="52"/>
      <c r="C998" s="56" t="s">
        <v>666</v>
      </c>
      <c r="D998" s="44"/>
      <c r="E998" s="86" t="s">
        <v>1034</v>
      </c>
      <c r="F998" s="28"/>
      <c r="G998" s="26"/>
      <c r="H998" s="21" t="b">
        <f>IF(D998="x",H$2,H$1)</f>
        <v>0</v>
      </c>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row>
    <row r="999" spans="1:33" x14ac:dyDescent="0.2">
      <c r="B999" s="48"/>
      <c r="C999" s="57" t="s">
        <v>667</v>
      </c>
      <c r="D999" s="44"/>
      <c r="E999" s="86" t="s">
        <v>1035</v>
      </c>
      <c r="F999" s="22" t="str">
        <f t="shared" ref="F999" si="309">IF(H1000=1,IF(H998=H$2,H998,""),"")</f>
        <v/>
      </c>
      <c r="G999" s="26"/>
      <c r="H999" s="21" t="str">
        <f t="shared" ref="H999" si="310">IF(E$1122="comprobar",COUNTIF(D998:D1002,"x"),"")</f>
        <v/>
      </c>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row>
    <row r="1000" spans="1:33" x14ac:dyDescent="0.2">
      <c r="B1000" s="48"/>
      <c r="C1000" s="57" t="s">
        <v>668</v>
      </c>
      <c r="D1000" s="44"/>
      <c r="E1000" s="86" t="s">
        <v>1036</v>
      </c>
      <c r="F1000" s="23" t="str">
        <f t="shared" ref="F1000" si="311">IF(H1000=-0.33,IF(H998=H$1,H998,""),"")</f>
        <v/>
      </c>
      <c r="G1000" s="26"/>
      <c r="H1000" s="24">
        <f t="shared" ref="H1000" si="312">IF(H999=1,IF(H998=H$2,1,-0.33),0)</f>
        <v>0</v>
      </c>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row>
    <row r="1001" spans="1:33" x14ac:dyDescent="0.2">
      <c r="B1001" s="48"/>
      <c r="C1001" s="57" t="s">
        <v>622</v>
      </c>
      <c r="D1001" s="44"/>
      <c r="E1001" s="86" t="s">
        <v>1037</v>
      </c>
      <c r="F1001" s="28"/>
      <c r="G1001" s="26"/>
      <c r="H1001" s="2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row>
    <row r="1002" spans="1:33" x14ac:dyDescent="0.2">
      <c r="B1002" s="48"/>
      <c r="C1002" s="8"/>
      <c r="D1002" s="44"/>
      <c r="E1002" s="86" t="s">
        <v>1038</v>
      </c>
      <c r="F1002" s="20"/>
      <c r="G1002" s="19"/>
      <c r="H1002" s="2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row>
    <row r="1003" spans="1:33" s="17" customFormat="1" x14ac:dyDescent="0.2">
      <c r="A1003" s="4"/>
      <c r="B1003" s="49" t="s">
        <v>669</v>
      </c>
      <c r="C1003" s="13"/>
      <c r="D1003" s="45"/>
      <c r="E1003" s="85"/>
      <c r="F1003" s="30"/>
      <c r="G1003" s="29"/>
      <c r="H1003" s="15"/>
    </row>
    <row r="1004" spans="1:33" x14ac:dyDescent="0.2">
      <c r="B1004" s="52"/>
      <c r="C1004" s="56" t="s">
        <v>670</v>
      </c>
      <c r="D1004" s="44"/>
      <c r="E1004" s="86" t="s">
        <v>1034</v>
      </c>
      <c r="F1004" s="28"/>
      <c r="G1004" s="26"/>
      <c r="H1004" s="21" t="b">
        <f>IF(D1006="x",H$2,H$1)</f>
        <v>0</v>
      </c>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row>
    <row r="1005" spans="1:33" x14ac:dyDescent="0.2">
      <c r="B1005" s="48"/>
      <c r="C1005" s="57" t="s">
        <v>671</v>
      </c>
      <c r="D1005" s="44"/>
      <c r="E1005" s="86" t="s">
        <v>1035</v>
      </c>
      <c r="F1005" s="22" t="str">
        <f t="shared" ref="F1005" si="313">IF(H1006=1,IF(H1004=H$2,H1004,""),"")</f>
        <v/>
      </c>
      <c r="G1005" s="26"/>
      <c r="H1005" s="21" t="str">
        <f t="shared" ref="H1005" si="314">IF(E$1122="comprobar",COUNTIF(D1004:D1008,"x"),"")</f>
        <v/>
      </c>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row>
    <row r="1006" spans="1:33" x14ac:dyDescent="0.2">
      <c r="B1006" s="48"/>
      <c r="C1006" s="57" t="s">
        <v>672</v>
      </c>
      <c r="D1006" s="44"/>
      <c r="E1006" s="86" t="s">
        <v>1036</v>
      </c>
      <c r="F1006" s="23" t="str">
        <f t="shared" ref="F1006" si="315">IF(H1006=-0.33,IF(H1004=H$1,H1004,""),"")</f>
        <v/>
      </c>
      <c r="G1006" s="26"/>
      <c r="H1006" s="24">
        <f t="shared" ref="H1006" si="316">IF(H1005=1,IF(H1004=H$2,1,-0.33),0)</f>
        <v>0</v>
      </c>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row>
    <row r="1007" spans="1:33" x14ac:dyDescent="0.2">
      <c r="B1007" s="48"/>
      <c r="C1007" s="57" t="s">
        <v>622</v>
      </c>
      <c r="D1007" s="44"/>
      <c r="E1007" s="86" t="s">
        <v>1037</v>
      </c>
      <c r="F1007" s="28"/>
      <c r="G1007" s="26"/>
      <c r="H1007" s="2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row>
    <row r="1008" spans="1:33" x14ac:dyDescent="0.2">
      <c r="B1008" s="48"/>
      <c r="C1008" s="8"/>
      <c r="D1008" s="44"/>
      <c r="E1008" s="86" t="s">
        <v>1038</v>
      </c>
      <c r="F1008" s="20"/>
      <c r="G1008" s="19"/>
      <c r="H1008" s="2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row>
    <row r="1009" spans="1:33" s="17" customFormat="1" x14ac:dyDescent="0.2">
      <c r="A1009" s="4"/>
      <c r="B1009" s="49" t="s">
        <v>673</v>
      </c>
      <c r="C1009" s="13"/>
      <c r="D1009" s="45"/>
      <c r="E1009" s="85"/>
      <c r="F1009" s="30"/>
      <c r="G1009" s="29"/>
      <c r="H1009" s="15"/>
    </row>
    <row r="1010" spans="1:33" x14ac:dyDescent="0.2">
      <c r="B1010" s="52"/>
      <c r="C1010" s="56" t="s">
        <v>674</v>
      </c>
      <c r="D1010" s="44"/>
      <c r="E1010" s="86" t="s">
        <v>1034</v>
      </c>
      <c r="F1010" s="28"/>
      <c r="G1010" s="26"/>
      <c r="H1010" s="21" t="b">
        <f>IF(D1011="x",H$2,H$1)</f>
        <v>0</v>
      </c>
      <c r="I1010" s="4"/>
      <c r="J1010" s="4"/>
      <c r="K1010" s="4"/>
      <c r="L1010" s="4"/>
      <c r="M1010" s="4"/>
      <c r="N1010" s="4"/>
      <c r="O1010" s="4"/>
      <c r="P1010" s="4"/>
      <c r="Q1010" s="4"/>
      <c r="R1010" s="4"/>
      <c r="S1010" s="4"/>
      <c r="T1010" s="4"/>
      <c r="U1010" s="4"/>
      <c r="V1010" s="4"/>
      <c r="W1010" s="4"/>
      <c r="X1010" s="4"/>
      <c r="Y1010" s="4"/>
      <c r="Z1010" s="4"/>
      <c r="AA1010" s="4"/>
      <c r="AB1010" s="4"/>
      <c r="AC1010" s="4"/>
      <c r="AD1010" s="4"/>
      <c r="AE1010" s="4"/>
      <c r="AF1010" s="4"/>
      <c r="AG1010" s="4"/>
    </row>
    <row r="1011" spans="1:33" x14ac:dyDescent="0.2">
      <c r="B1011" s="48"/>
      <c r="C1011" s="57" t="s">
        <v>675</v>
      </c>
      <c r="D1011" s="44"/>
      <c r="E1011" s="86" t="s">
        <v>1035</v>
      </c>
      <c r="F1011" s="22" t="str">
        <f t="shared" ref="F1011" si="317">IF(H1012=1,IF(H1010=H$2,H1010,""),"")</f>
        <v/>
      </c>
      <c r="G1011" s="26"/>
      <c r="H1011" s="21" t="str">
        <f t="shared" ref="H1011" si="318">IF(E$1122="comprobar",COUNTIF(D1010:D1014,"x"),"")</f>
        <v/>
      </c>
      <c r="I1011" s="4"/>
      <c r="J1011" s="4"/>
      <c r="K1011" s="4"/>
      <c r="L1011" s="4"/>
      <c r="M1011" s="4"/>
      <c r="N1011" s="4"/>
      <c r="O1011" s="4"/>
      <c r="P1011" s="4"/>
      <c r="Q1011" s="4"/>
      <c r="R1011" s="4"/>
      <c r="S1011" s="4"/>
      <c r="T1011" s="4"/>
      <c r="U1011" s="4"/>
      <c r="V1011" s="4"/>
      <c r="W1011" s="4"/>
      <c r="X1011" s="4"/>
      <c r="Y1011" s="4"/>
      <c r="Z1011" s="4"/>
      <c r="AA1011" s="4"/>
      <c r="AB1011" s="4"/>
      <c r="AC1011" s="4"/>
      <c r="AD1011" s="4"/>
      <c r="AE1011" s="4"/>
      <c r="AF1011" s="4"/>
      <c r="AG1011" s="4"/>
    </row>
    <row r="1012" spans="1:33" x14ac:dyDescent="0.2">
      <c r="B1012" s="48"/>
      <c r="C1012" s="57" t="s">
        <v>676</v>
      </c>
      <c r="D1012" s="44"/>
      <c r="E1012" s="86" t="s">
        <v>1036</v>
      </c>
      <c r="F1012" s="23" t="str">
        <f t="shared" ref="F1012" si="319">IF(H1012=-0.33,IF(H1010=H$1,H1010,""),"")</f>
        <v/>
      </c>
      <c r="G1012" s="26"/>
      <c r="H1012" s="24">
        <f t="shared" ref="H1012" si="320">IF(H1011=1,IF(H1010=H$2,1,-0.33),0)</f>
        <v>0</v>
      </c>
      <c r="I1012" s="4"/>
      <c r="J1012" s="4"/>
      <c r="K1012" s="4"/>
      <c r="L1012" s="4"/>
      <c r="M1012" s="4"/>
      <c r="N1012" s="4"/>
      <c r="O1012" s="4"/>
      <c r="P1012" s="4"/>
      <c r="Q1012" s="4"/>
      <c r="R1012" s="4"/>
      <c r="S1012" s="4"/>
      <c r="T1012" s="4"/>
      <c r="U1012" s="4"/>
      <c r="V1012" s="4"/>
      <c r="W1012" s="4"/>
      <c r="X1012" s="4"/>
      <c r="Y1012" s="4"/>
      <c r="Z1012" s="4"/>
      <c r="AA1012" s="4"/>
      <c r="AB1012" s="4"/>
      <c r="AC1012" s="4"/>
      <c r="AD1012" s="4"/>
      <c r="AE1012" s="4"/>
      <c r="AF1012" s="4"/>
      <c r="AG1012" s="4"/>
    </row>
    <row r="1013" spans="1:33" x14ac:dyDescent="0.2">
      <c r="B1013" s="48"/>
      <c r="C1013" s="57" t="s">
        <v>677</v>
      </c>
      <c r="D1013" s="44"/>
      <c r="E1013" s="86" t="s">
        <v>1037</v>
      </c>
      <c r="F1013" s="28"/>
      <c r="G1013" s="26"/>
      <c r="H1013" s="24"/>
      <c r="I1013" s="4"/>
      <c r="J1013" s="4"/>
      <c r="K1013" s="4"/>
      <c r="L1013" s="4"/>
      <c r="M1013" s="4"/>
      <c r="N1013" s="4"/>
      <c r="O1013" s="4"/>
      <c r="P1013" s="4"/>
      <c r="Q1013" s="4"/>
      <c r="R1013" s="4"/>
      <c r="S1013" s="4"/>
      <c r="T1013" s="4"/>
      <c r="U1013" s="4"/>
      <c r="V1013" s="4"/>
      <c r="W1013" s="4"/>
      <c r="X1013" s="4"/>
      <c r="Y1013" s="4"/>
      <c r="Z1013" s="4"/>
      <c r="AA1013" s="4"/>
      <c r="AB1013" s="4"/>
      <c r="AC1013" s="4"/>
      <c r="AD1013" s="4"/>
      <c r="AE1013" s="4"/>
      <c r="AF1013" s="4"/>
      <c r="AG1013" s="4"/>
    </row>
    <row r="1014" spans="1:33" x14ac:dyDescent="0.2">
      <c r="B1014" s="48"/>
      <c r="C1014" s="8"/>
      <c r="D1014" s="44"/>
      <c r="E1014" s="86" t="s">
        <v>1038</v>
      </c>
      <c r="F1014" s="20"/>
      <c r="G1014" s="19"/>
      <c r="H1014" s="24"/>
      <c r="I1014" s="4"/>
      <c r="J1014" s="4"/>
      <c r="K1014" s="4"/>
      <c r="L1014" s="4"/>
      <c r="M1014" s="4"/>
      <c r="N1014" s="4"/>
      <c r="O1014" s="4"/>
      <c r="P1014" s="4"/>
      <c r="Q1014" s="4"/>
      <c r="R1014" s="4"/>
      <c r="S1014" s="4"/>
      <c r="T1014" s="4"/>
      <c r="U1014" s="4"/>
      <c r="V1014" s="4"/>
      <c r="W1014" s="4"/>
      <c r="X1014" s="4"/>
      <c r="Y1014" s="4"/>
      <c r="Z1014" s="4"/>
      <c r="AA1014" s="4"/>
      <c r="AB1014" s="4"/>
      <c r="AC1014" s="4"/>
      <c r="AD1014" s="4"/>
      <c r="AE1014" s="4"/>
      <c r="AF1014" s="4"/>
      <c r="AG1014" s="4"/>
    </row>
    <row r="1015" spans="1:33" s="17" customFormat="1" x14ac:dyDescent="0.2">
      <c r="A1015" s="4"/>
      <c r="B1015" s="49" t="s">
        <v>678</v>
      </c>
      <c r="C1015" s="13"/>
      <c r="D1015" s="45"/>
      <c r="E1015" s="85"/>
      <c r="F1015" s="30"/>
      <c r="G1015" s="29"/>
      <c r="H1015" s="15"/>
    </row>
    <row r="1016" spans="1:33" x14ac:dyDescent="0.2">
      <c r="B1016" s="52"/>
      <c r="C1016" s="56" t="s">
        <v>679</v>
      </c>
      <c r="D1016" s="44"/>
      <c r="E1016" s="86" t="s">
        <v>1034</v>
      </c>
      <c r="F1016" s="28"/>
      <c r="G1016" s="26"/>
      <c r="H1016" s="21" t="b">
        <f>IF(D1018="x",H$2,H$1)</f>
        <v>0</v>
      </c>
      <c r="I1016" s="4"/>
      <c r="J1016" s="4"/>
      <c r="K1016" s="4"/>
      <c r="L1016" s="4"/>
      <c r="M1016" s="4"/>
      <c r="N1016" s="4"/>
      <c r="O1016" s="4"/>
      <c r="P1016" s="4"/>
      <c r="Q1016" s="4"/>
      <c r="R1016" s="4"/>
      <c r="S1016" s="4"/>
      <c r="T1016" s="4"/>
      <c r="U1016" s="4"/>
      <c r="V1016" s="4"/>
      <c r="W1016" s="4"/>
      <c r="X1016" s="4"/>
      <c r="Y1016" s="4"/>
      <c r="Z1016" s="4"/>
      <c r="AA1016" s="4"/>
      <c r="AB1016" s="4"/>
      <c r="AC1016" s="4"/>
      <c r="AD1016" s="4"/>
      <c r="AE1016" s="4"/>
      <c r="AF1016" s="4"/>
      <c r="AG1016" s="4"/>
    </row>
    <row r="1017" spans="1:33" x14ac:dyDescent="0.2">
      <c r="B1017" s="48"/>
      <c r="C1017" s="57" t="s">
        <v>680</v>
      </c>
      <c r="D1017" s="44"/>
      <c r="E1017" s="86" t="s">
        <v>1035</v>
      </c>
      <c r="F1017" s="22" t="str">
        <f t="shared" ref="F1017" si="321">IF(H1018=1,IF(H1016=H$2,H1016,""),"")</f>
        <v/>
      </c>
      <c r="G1017" s="26"/>
      <c r="H1017" s="21" t="str">
        <f t="shared" ref="H1017" si="322">IF(E$1122="comprobar",COUNTIF(D1016:D1020,"x"),"")</f>
        <v/>
      </c>
      <c r="I1017" s="4"/>
      <c r="J1017" s="4"/>
      <c r="K1017" s="4"/>
      <c r="L1017" s="4"/>
      <c r="M1017" s="4"/>
      <c r="N1017" s="4"/>
      <c r="O1017" s="4"/>
      <c r="P1017" s="4"/>
      <c r="Q1017" s="4"/>
      <c r="R1017" s="4"/>
      <c r="S1017" s="4"/>
      <c r="T1017" s="4"/>
      <c r="U1017" s="4"/>
      <c r="V1017" s="4"/>
      <c r="W1017" s="4"/>
      <c r="X1017" s="4"/>
      <c r="Y1017" s="4"/>
      <c r="Z1017" s="4"/>
      <c r="AA1017" s="4"/>
      <c r="AB1017" s="4"/>
      <c r="AC1017" s="4"/>
      <c r="AD1017" s="4"/>
      <c r="AE1017" s="4"/>
      <c r="AF1017" s="4"/>
      <c r="AG1017" s="4"/>
    </row>
    <row r="1018" spans="1:33" x14ac:dyDescent="0.2">
      <c r="B1018" s="48"/>
      <c r="C1018" s="57" t="s">
        <v>681</v>
      </c>
      <c r="D1018" s="44"/>
      <c r="E1018" s="86" t="s">
        <v>1036</v>
      </c>
      <c r="F1018" s="23" t="str">
        <f t="shared" ref="F1018" si="323">IF(H1018=-0.33,IF(H1016=H$1,H1016,""),"")</f>
        <v/>
      </c>
      <c r="G1018" s="26"/>
      <c r="H1018" s="24">
        <f t="shared" ref="H1018" si="324">IF(H1017=1,IF(H1016=H$2,1,-0.33),0)</f>
        <v>0</v>
      </c>
      <c r="I1018" s="4"/>
      <c r="J1018" s="4"/>
      <c r="K1018" s="4"/>
      <c r="L1018" s="4"/>
      <c r="M1018" s="4"/>
      <c r="N1018" s="4"/>
      <c r="O1018" s="4"/>
      <c r="P1018" s="4"/>
      <c r="Q1018" s="4"/>
      <c r="R1018" s="4"/>
      <c r="S1018" s="4"/>
      <c r="T1018" s="4"/>
      <c r="U1018" s="4"/>
      <c r="V1018" s="4"/>
      <c r="W1018" s="4"/>
      <c r="X1018" s="4"/>
      <c r="Y1018" s="4"/>
      <c r="Z1018" s="4"/>
      <c r="AA1018" s="4"/>
      <c r="AB1018" s="4"/>
      <c r="AC1018" s="4"/>
      <c r="AD1018" s="4"/>
      <c r="AE1018" s="4"/>
      <c r="AF1018" s="4"/>
      <c r="AG1018" s="4"/>
    </row>
    <row r="1019" spans="1:33" x14ac:dyDescent="0.2">
      <c r="B1019" s="48"/>
      <c r="C1019" s="57" t="s">
        <v>622</v>
      </c>
      <c r="D1019" s="44"/>
      <c r="E1019" s="86" t="s">
        <v>1037</v>
      </c>
      <c r="F1019" s="28"/>
      <c r="G1019" s="26"/>
      <c r="H1019" s="24"/>
      <c r="I1019" s="4"/>
      <c r="J1019" s="4"/>
      <c r="K1019" s="4"/>
      <c r="L1019" s="4"/>
      <c r="M1019" s="4"/>
      <c r="N1019" s="4"/>
      <c r="O1019" s="4"/>
      <c r="P1019" s="4"/>
      <c r="Q1019" s="4"/>
      <c r="R1019" s="4"/>
      <c r="S1019" s="4"/>
      <c r="T1019" s="4"/>
      <c r="U1019" s="4"/>
      <c r="V1019" s="4"/>
      <c r="W1019" s="4"/>
      <c r="X1019" s="4"/>
      <c r="Y1019" s="4"/>
      <c r="Z1019" s="4"/>
      <c r="AA1019" s="4"/>
      <c r="AB1019" s="4"/>
      <c r="AC1019" s="4"/>
      <c r="AD1019" s="4"/>
      <c r="AE1019" s="4"/>
      <c r="AF1019" s="4"/>
      <c r="AG1019" s="4"/>
    </row>
    <row r="1020" spans="1:33" x14ac:dyDescent="0.2">
      <c r="B1020" s="48"/>
      <c r="C1020" s="8"/>
      <c r="D1020" s="44"/>
      <c r="E1020" s="86" t="s">
        <v>1038</v>
      </c>
      <c r="F1020" s="20"/>
      <c r="G1020" s="19"/>
      <c r="H1020" s="24"/>
      <c r="I1020" s="4"/>
      <c r="J1020" s="4"/>
      <c r="K1020" s="4"/>
      <c r="L1020" s="4"/>
      <c r="M1020" s="4"/>
      <c r="N1020" s="4"/>
      <c r="O1020" s="4"/>
      <c r="P1020" s="4"/>
      <c r="Q1020" s="4"/>
      <c r="R1020" s="4"/>
      <c r="S1020" s="4"/>
      <c r="T1020" s="4"/>
      <c r="U1020" s="4"/>
      <c r="V1020" s="4"/>
      <c r="W1020" s="4"/>
      <c r="X1020" s="4"/>
      <c r="Y1020" s="4"/>
      <c r="Z1020" s="4"/>
      <c r="AA1020" s="4"/>
      <c r="AB1020" s="4"/>
      <c r="AC1020" s="4"/>
      <c r="AD1020" s="4"/>
      <c r="AE1020" s="4"/>
      <c r="AF1020" s="4"/>
      <c r="AG1020" s="4"/>
    </row>
    <row r="1021" spans="1:33" s="17" customFormat="1" x14ac:dyDescent="0.2">
      <c r="A1021" s="4"/>
      <c r="B1021" s="49" t="s">
        <v>682</v>
      </c>
      <c r="C1021" s="13"/>
      <c r="D1021" s="45"/>
      <c r="E1021" s="85"/>
      <c r="F1021" s="30"/>
      <c r="G1021" s="29"/>
      <c r="H1021" s="15"/>
    </row>
    <row r="1022" spans="1:33" x14ac:dyDescent="0.2">
      <c r="B1022" s="52"/>
      <c r="C1022" s="56" t="s">
        <v>683</v>
      </c>
      <c r="D1022" s="44"/>
      <c r="E1022" s="86" t="s">
        <v>1034</v>
      </c>
      <c r="F1022" s="28"/>
      <c r="G1022" s="26"/>
      <c r="H1022" s="21" t="b">
        <f>IF(D1023="x",H$2,H$1)</f>
        <v>0</v>
      </c>
      <c r="I1022" s="4"/>
      <c r="J1022" s="4"/>
      <c r="K1022" s="4"/>
      <c r="L1022" s="4"/>
      <c r="M1022" s="4"/>
      <c r="N1022" s="4"/>
      <c r="O1022" s="4"/>
      <c r="P1022" s="4"/>
      <c r="Q1022" s="4"/>
      <c r="R1022" s="4"/>
      <c r="S1022" s="4"/>
      <c r="T1022" s="4"/>
      <c r="U1022" s="4"/>
      <c r="V1022" s="4"/>
      <c r="W1022" s="4"/>
      <c r="X1022" s="4"/>
      <c r="Y1022" s="4"/>
      <c r="Z1022" s="4"/>
      <c r="AA1022" s="4"/>
      <c r="AB1022" s="4"/>
      <c r="AC1022" s="4"/>
      <c r="AD1022" s="4"/>
      <c r="AE1022" s="4"/>
      <c r="AF1022" s="4"/>
      <c r="AG1022" s="4"/>
    </row>
    <row r="1023" spans="1:33" x14ac:dyDescent="0.2">
      <c r="B1023" s="48"/>
      <c r="C1023" s="57" t="s">
        <v>684</v>
      </c>
      <c r="D1023" s="44"/>
      <c r="E1023" s="86" t="s">
        <v>1035</v>
      </c>
      <c r="F1023" s="22" t="str">
        <f t="shared" ref="F1023" si="325">IF(H1024=1,IF(H1022=H$2,H1022,""),"")</f>
        <v/>
      </c>
      <c r="G1023" s="26"/>
      <c r="H1023" s="21" t="str">
        <f t="shared" ref="H1023" si="326">IF(E$1122="comprobar",COUNTIF(D1022:D1026,"x"),"")</f>
        <v/>
      </c>
      <c r="I1023" s="4"/>
      <c r="J1023" s="4"/>
      <c r="K1023" s="4"/>
      <c r="L1023" s="4"/>
      <c r="M1023" s="4"/>
      <c r="N1023" s="4"/>
      <c r="O1023" s="4"/>
      <c r="P1023" s="4"/>
      <c r="Q1023" s="4"/>
      <c r="R1023" s="4"/>
      <c r="S1023" s="4"/>
      <c r="T1023" s="4"/>
      <c r="U1023" s="4"/>
      <c r="V1023" s="4"/>
      <c r="W1023" s="4"/>
      <c r="X1023" s="4"/>
      <c r="Y1023" s="4"/>
      <c r="Z1023" s="4"/>
      <c r="AA1023" s="4"/>
      <c r="AB1023" s="4"/>
      <c r="AC1023" s="4"/>
      <c r="AD1023" s="4"/>
      <c r="AE1023" s="4"/>
      <c r="AF1023" s="4"/>
      <c r="AG1023" s="4"/>
    </row>
    <row r="1024" spans="1:33" x14ac:dyDescent="0.2">
      <c r="B1024" s="48"/>
      <c r="C1024" s="57" t="s">
        <v>685</v>
      </c>
      <c r="D1024" s="44"/>
      <c r="E1024" s="86" t="s">
        <v>1036</v>
      </c>
      <c r="F1024" s="23" t="str">
        <f t="shared" ref="F1024" si="327">IF(H1024=-0.33,IF(H1022=H$1,H1022,""),"")</f>
        <v/>
      </c>
      <c r="G1024" s="26"/>
      <c r="H1024" s="24">
        <f t="shared" ref="H1024" si="328">IF(H1023=1,IF(H1022=H$2,1,-0.33),0)</f>
        <v>0</v>
      </c>
      <c r="I1024" s="4"/>
      <c r="J1024" s="4"/>
      <c r="K1024" s="4"/>
      <c r="L1024" s="4"/>
      <c r="M1024" s="4"/>
      <c r="N1024" s="4"/>
      <c r="O1024" s="4"/>
      <c r="P1024" s="4"/>
      <c r="Q1024" s="4"/>
      <c r="R1024" s="4"/>
      <c r="S1024" s="4"/>
      <c r="T1024" s="4"/>
      <c r="U1024" s="4"/>
      <c r="V1024" s="4"/>
      <c r="W1024" s="4"/>
      <c r="X1024" s="4"/>
      <c r="Y1024" s="4"/>
      <c r="Z1024" s="4"/>
      <c r="AA1024" s="4"/>
      <c r="AB1024" s="4"/>
      <c r="AC1024" s="4"/>
      <c r="AD1024" s="4"/>
      <c r="AE1024" s="4"/>
      <c r="AF1024" s="4"/>
      <c r="AG1024" s="4"/>
    </row>
    <row r="1025" spans="1:33" x14ac:dyDescent="0.2">
      <c r="B1025" s="48"/>
      <c r="C1025" s="57" t="s">
        <v>686</v>
      </c>
      <c r="D1025" s="44"/>
      <c r="E1025" s="86" t="s">
        <v>1037</v>
      </c>
      <c r="F1025" s="28"/>
      <c r="G1025" s="26"/>
      <c r="H1025" s="24"/>
      <c r="I1025" s="4"/>
      <c r="J1025" s="4"/>
      <c r="K1025" s="4"/>
      <c r="L1025" s="4"/>
      <c r="M1025" s="4"/>
      <c r="N1025" s="4"/>
      <c r="O1025" s="4"/>
      <c r="P1025" s="4"/>
      <c r="Q1025" s="4"/>
      <c r="R1025" s="4"/>
      <c r="S1025" s="4"/>
      <c r="T1025" s="4"/>
      <c r="U1025" s="4"/>
      <c r="V1025" s="4"/>
      <c r="W1025" s="4"/>
      <c r="X1025" s="4"/>
      <c r="Y1025" s="4"/>
      <c r="Z1025" s="4"/>
      <c r="AA1025" s="4"/>
      <c r="AB1025" s="4"/>
      <c r="AC1025" s="4"/>
      <c r="AD1025" s="4"/>
      <c r="AE1025" s="4"/>
      <c r="AF1025" s="4"/>
      <c r="AG1025" s="4"/>
    </row>
    <row r="1026" spans="1:33" x14ac:dyDescent="0.2">
      <c r="B1026" s="48"/>
      <c r="C1026" s="8"/>
      <c r="D1026" s="44"/>
      <c r="E1026" s="86" t="s">
        <v>1038</v>
      </c>
      <c r="F1026" s="20"/>
      <c r="G1026" s="19"/>
      <c r="H1026" s="24"/>
      <c r="I1026" s="4"/>
      <c r="J1026" s="4"/>
      <c r="K1026" s="4"/>
      <c r="L1026" s="4"/>
      <c r="M1026" s="4"/>
      <c r="N1026" s="4"/>
      <c r="O1026" s="4"/>
      <c r="P1026" s="4"/>
      <c r="Q1026" s="4"/>
      <c r="R1026" s="4"/>
      <c r="S1026" s="4"/>
      <c r="T1026" s="4"/>
      <c r="U1026" s="4"/>
      <c r="V1026" s="4"/>
      <c r="W1026" s="4"/>
      <c r="X1026" s="4"/>
      <c r="Y1026" s="4"/>
      <c r="Z1026" s="4"/>
      <c r="AA1026" s="4"/>
      <c r="AB1026" s="4"/>
      <c r="AC1026" s="4"/>
      <c r="AD1026" s="4"/>
      <c r="AE1026" s="4"/>
      <c r="AF1026" s="4"/>
      <c r="AG1026" s="4"/>
    </row>
    <row r="1027" spans="1:33" s="17" customFormat="1" x14ac:dyDescent="0.2">
      <c r="A1027" s="4"/>
      <c r="B1027" s="49" t="s">
        <v>687</v>
      </c>
      <c r="C1027" s="13"/>
      <c r="D1027" s="45"/>
      <c r="E1027" s="85"/>
      <c r="F1027" s="30"/>
      <c r="G1027" s="29"/>
      <c r="H1027" s="15"/>
    </row>
    <row r="1028" spans="1:33" x14ac:dyDescent="0.2">
      <c r="B1028" s="52"/>
      <c r="C1028" s="56" t="s">
        <v>688</v>
      </c>
      <c r="D1028" s="44"/>
      <c r="E1028" s="86" t="s">
        <v>1034</v>
      </c>
      <c r="F1028" s="28"/>
      <c r="G1028" s="26"/>
      <c r="H1028" s="21" t="b">
        <f>IF(D1028="x",H$2,H$1)</f>
        <v>0</v>
      </c>
      <c r="I1028" s="4"/>
      <c r="J1028" s="4"/>
      <c r="K1028" s="4"/>
      <c r="L1028" s="4"/>
      <c r="M1028" s="4"/>
      <c r="N1028" s="4"/>
      <c r="O1028" s="4"/>
      <c r="P1028" s="4"/>
      <c r="Q1028" s="4"/>
      <c r="R1028" s="4"/>
      <c r="S1028" s="4"/>
      <c r="T1028" s="4"/>
      <c r="U1028" s="4"/>
      <c r="V1028" s="4"/>
      <c r="W1028" s="4"/>
      <c r="X1028" s="4"/>
      <c r="Y1028" s="4"/>
      <c r="Z1028" s="4"/>
      <c r="AA1028" s="4"/>
      <c r="AB1028" s="4"/>
      <c r="AC1028" s="4"/>
      <c r="AD1028" s="4"/>
      <c r="AE1028" s="4"/>
      <c r="AF1028" s="4"/>
      <c r="AG1028" s="4"/>
    </row>
    <row r="1029" spans="1:33" x14ac:dyDescent="0.2">
      <c r="B1029" s="48"/>
      <c r="C1029" s="57" t="s">
        <v>689</v>
      </c>
      <c r="D1029" s="44"/>
      <c r="E1029" s="86" t="s">
        <v>1035</v>
      </c>
      <c r="F1029" s="22" t="str">
        <f t="shared" ref="F1029" si="329">IF(H1030=1,IF(H1028=H$2,H1028,""),"")</f>
        <v/>
      </c>
      <c r="G1029" s="26"/>
      <c r="H1029" s="21" t="str">
        <f t="shared" ref="H1029" si="330">IF(E$1122="comprobar",COUNTIF(D1028:D1032,"x"),"")</f>
        <v/>
      </c>
      <c r="I1029" s="4"/>
      <c r="J1029" s="4"/>
      <c r="K1029" s="4"/>
      <c r="L1029" s="4"/>
      <c r="M1029" s="4"/>
      <c r="N1029" s="4"/>
      <c r="O1029" s="4"/>
      <c r="P1029" s="4"/>
      <c r="Q1029" s="4"/>
      <c r="R1029" s="4"/>
      <c r="S1029" s="4"/>
      <c r="T1029" s="4"/>
      <c r="U1029" s="4"/>
      <c r="V1029" s="4"/>
      <c r="W1029" s="4"/>
      <c r="X1029" s="4"/>
      <c r="Y1029" s="4"/>
      <c r="Z1029" s="4"/>
      <c r="AA1029" s="4"/>
      <c r="AB1029" s="4"/>
      <c r="AC1029" s="4"/>
      <c r="AD1029" s="4"/>
      <c r="AE1029" s="4"/>
      <c r="AF1029" s="4"/>
      <c r="AG1029" s="4"/>
    </row>
    <row r="1030" spans="1:33" x14ac:dyDescent="0.2">
      <c r="B1030" s="48"/>
      <c r="C1030" s="57" t="s">
        <v>690</v>
      </c>
      <c r="D1030" s="44"/>
      <c r="E1030" s="86" t="s">
        <v>1036</v>
      </c>
      <c r="F1030" s="23" t="str">
        <f t="shared" ref="F1030" si="331">IF(H1030=-0.33,IF(H1028=H$1,H1028,""),"")</f>
        <v/>
      </c>
      <c r="G1030" s="26"/>
      <c r="H1030" s="24">
        <f t="shared" ref="H1030" si="332">IF(H1029=1,IF(H1028=H$2,1,-0.33),0)</f>
        <v>0</v>
      </c>
      <c r="I1030" s="4"/>
      <c r="J1030" s="4"/>
      <c r="K1030" s="4"/>
      <c r="L1030" s="4"/>
      <c r="M1030" s="4"/>
      <c r="N1030" s="4"/>
      <c r="O1030" s="4"/>
      <c r="P1030" s="4"/>
      <c r="Q1030" s="4"/>
      <c r="R1030" s="4"/>
      <c r="S1030" s="4"/>
      <c r="T1030" s="4"/>
      <c r="U1030" s="4"/>
      <c r="V1030" s="4"/>
      <c r="W1030" s="4"/>
      <c r="X1030" s="4"/>
      <c r="Y1030" s="4"/>
      <c r="Z1030" s="4"/>
      <c r="AA1030" s="4"/>
      <c r="AB1030" s="4"/>
      <c r="AC1030" s="4"/>
      <c r="AD1030" s="4"/>
      <c r="AE1030" s="4"/>
      <c r="AF1030" s="4"/>
      <c r="AG1030" s="4"/>
    </row>
    <row r="1031" spans="1:33" x14ac:dyDescent="0.2">
      <c r="B1031" s="48"/>
      <c r="C1031" s="57" t="s">
        <v>691</v>
      </c>
      <c r="D1031" s="44"/>
      <c r="E1031" s="86" t="s">
        <v>1037</v>
      </c>
      <c r="F1031" s="28"/>
      <c r="G1031" s="26"/>
      <c r="H1031" s="24"/>
      <c r="I1031" s="4"/>
      <c r="J1031" s="4"/>
      <c r="K1031" s="4"/>
      <c r="L1031" s="4"/>
      <c r="M1031" s="4"/>
      <c r="N1031" s="4"/>
      <c r="O1031" s="4"/>
      <c r="P1031" s="4"/>
      <c r="Q1031" s="4"/>
      <c r="R1031" s="4"/>
      <c r="S1031" s="4"/>
      <c r="T1031" s="4"/>
      <c r="U1031" s="4"/>
      <c r="V1031" s="4"/>
      <c r="W1031" s="4"/>
      <c r="X1031" s="4"/>
      <c r="Y1031" s="4"/>
      <c r="Z1031" s="4"/>
      <c r="AA1031" s="4"/>
      <c r="AB1031" s="4"/>
      <c r="AC1031" s="4"/>
      <c r="AD1031" s="4"/>
      <c r="AE1031" s="4"/>
      <c r="AF1031" s="4"/>
      <c r="AG1031" s="4"/>
    </row>
    <row r="1032" spans="1:33" x14ac:dyDescent="0.2">
      <c r="B1032" s="48"/>
      <c r="C1032" s="8"/>
      <c r="D1032" s="44"/>
      <c r="E1032" s="86" t="s">
        <v>1038</v>
      </c>
      <c r="F1032" s="20"/>
      <c r="G1032" s="19"/>
      <c r="H1032" s="24"/>
      <c r="I1032" s="4"/>
      <c r="J1032" s="4"/>
      <c r="K1032" s="4"/>
      <c r="L1032" s="4"/>
      <c r="M1032" s="4"/>
      <c r="N1032" s="4"/>
      <c r="O1032" s="4"/>
      <c r="P1032" s="4"/>
      <c r="Q1032" s="4"/>
      <c r="R1032" s="4"/>
      <c r="S1032" s="4"/>
      <c r="T1032" s="4"/>
      <c r="U1032" s="4"/>
      <c r="V1032" s="4"/>
      <c r="W1032" s="4"/>
      <c r="X1032" s="4"/>
      <c r="Y1032" s="4"/>
      <c r="Z1032" s="4"/>
      <c r="AA1032" s="4"/>
      <c r="AB1032" s="4"/>
      <c r="AC1032" s="4"/>
      <c r="AD1032" s="4"/>
      <c r="AE1032" s="4"/>
      <c r="AF1032" s="4"/>
      <c r="AG1032" s="4"/>
    </row>
    <row r="1033" spans="1:33" s="17" customFormat="1" x14ac:dyDescent="0.2">
      <c r="A1033" s="4"/>
      <c r="B1033" s="49" t="s">
        <v>692</v>
      </c>
      <c r="C1033" s="13"/>
      <c r="D1033" s="45"/>
      <c r="E1033" s="85"/>
      <c r="F1033" s="30"/>
      <c r="G1033" s="29"/>
      <c r="H1033" s="15"/>
    </row>
    <row r="1034" spans="1:33" x14ac:dyDescent="0.2">
      <c r="B1034" s="52"/>
      <c r="C1034" s="56" t="s">
        <v>693</v>
      </c>
      <c r="D1034" s="44"/>
      <c r="E1034" s="86" t="s">
        <v>1034</v>
      </c>
      <c r="F1034" s="28"/>
      <c r="G1034" s="26"/>
      <c r="H1034" s="21" t="b">
        <f>IF(D1037="x",H$2,H$1)</f>
        <v>0</v>
      </c>
      <c r="I1034" s="4"/>
      <c r="J1034" s="4"/>
      <c r="K1034" s="4"/>
      <c r="L1034" s="4"/>
      <c r="M1034" s="4"/>
      <c r="N1034" s="4"/>
      <c r="O1034" s="4"/>
      <c r="P1034" s="4"/>
      <c r="Q1034" s="4"/>
      <c r="R1034" s="4"/>
      <c r="S1034" s="4"/>
      <c r="T1034" s="4"/>
      <c r="U1034" s="4"/>
      <c r="V1034" s="4"/>
      <c r="W1034" s="4"/>
      <c r="X1034" s="4"/>
      <c r="Y1034" s="4"/>
      <c r="Z1034" s="4"/>
      <c r="AA1034" s="4"/>
      <c r="AB1034" s="4"/>
      <c r="AC1034" s="4"/>
      <c r="AD1034" s="4"/>
      <c r="AE1034" s="4"/>
      <c r="AF1034" s="4"/>
      <c r="AG1034" s="4"/>
    </row>
    <row r="1035" spans="1:33" x14ac:dyDescent="0.2">
      <c r="B1035" s="48"/>
      <c r="C1035" s="57" t="s">
        <v>694</v>
      </c>
      <c r="D1035" s="44"/>
      <c r="E1035" s="86" t="s">
        <v>1035</v>
      </c>
      <c r="F1035" s="22" t="str">
        <f t="shared" ref="F1035" si="333">IF(H1036=1,IF(H1034=H$2,H1034,""),"")</f>
        <v/>
      </c>
      <c r="G1035" s="26"/>
      <c r="H1035" s="21" t="str">
        <f t="shared" ref="H1035" si="334">IF(E$1122="comprobar",COUNTIF(D1034:D1038,"x"),"")</f>
        <v/>
      </c>
      <c r="I1035" s="4"/>
      <c r="J1035" s="4"/>
      <c r="K1035" s="4"/>
      <c r="L1035" s="4"/>
      <c r="M1035" s="4"/>
      <c r="N1035" s="4"/>
      <c r="O1035" s="4"/>
      <c r="P1035" s="4"/>
      <c r="Q1035" s="4"/>
      <c r="R1035" s="4"/>
      <c r="S1035" s="4"/>
      <c r="T1035" s="4"/>
      <c r="U1035" s="4"/>
      <c r="V1035" s="4"/>
      <c r="W1035" s="4"/>
      <c r="X1035" s="4"/>
      <c r="Y1035" s="4"/>
      <c r="Z1035" s="4"/>
      <c r="AA1035" s="4"/>
      <c r="AB1035" s="4"/>
      <c r="AC1035" s="4"/>
      <c r="AD1035" s="4"/>
      <c r="AE1035" s="4"/>
      <c r="AF1035" s="4"/>
      <c r="AG1035" s="4"/>
    </row>
    <row r="1036" spans="1:33" x14ac:dyDescent="0.2">
      <c r="B1036" s="48"/>
      <c r="C1036" s="57" t="s">
        <v>695</v>
      </c>
      <c r="D1036" s="44"/>
      <c r="E1036" s="86" t="s">
        <v>1036</v>
      </c>
      <c r="F1036" s="23" t="str">
        <f t="shared" ref="F1036" si="335">IF(H1036=-0.33,IF(H1034=H$1,H1034,""),"")</f>
        <v/>
      </c>
      <c r="G1036" s="26"/>
      <c r="H1036" s="24">
        <f t="shared" ref="H1036" si="336">IF(H1035=1,IF(H1034=H$2,1,-0.33),0)</f>
        <v>0</v>
      </c>
      <c r="I1036" s="4"/>
      <c r="J1036" s="4"/>
      <c r="K1036" s="4"/>
      <c r="L1036" s="4"/>
      <c r="M1036" s="4"/>
      <c r="N1036" s="4"/>
      <c r="O1036" s="4"/>
      <c r="P1036" s="4"/>
      <c r="Q1036" s="4"/>
      <c r="R1036" s="4"/>
      <c r="S1036" s="4"/>
      <c r="T1036" s="4"/>
      <c r="U1036" s="4"/>
      <c r="V1036" s="4"/>
      <c r="W1036" s="4"/>
      <c r="X1036" s="4"/>
      <c r="Y1036" s="4"/>
      <c r="Z1036" s="4"/>
      <c r="AA1036" s="4"/>
      <c r="AB1036" s="4"/>
      <c r="AC1036" s="4"/>
      <c r="AD1036" s="4"/>
      <c r="AE1036" s="4"/>
      <c r="AF1036" s="4"/>
      <c r="AG1036" s="4"/>
    </row>
    <row r="1037" spans="1:33" x14ac:dyDescent="0.2">
      <c r="B1037" s="48"/>
      <c r="C1037" s="57" t="s">
        <v>622</v>
      </c>
      <c r="D1037" s="44"/>
      <c r="E1037" s="86" t="s">
        <v>1037</v>
      </c>
      <c r="F1037" s="28"/>
      <c r="G1037" s="26"/>
      <c r="H1037" s="24"/>
      <c r="I1037" s="4"/>
      <c r="J1037" s="4"/>
      <c r="K1037" s="4"/>
      <c r="L1037" s="4"/>
      <c r="M1037" s="4"/>
      <c r="N1037" s="4"/>
      <c r="O1037" s="4"/>
      <c r="P1037" s="4"/>
      <c r="Q1037" s="4"/>
      <c r="R1037" s="4"/>
      <c r="S1037" s="4"/>
      <c r="T1037" s="4"/>
      <c r="U1037" s="4"/>
      <c r="V1037" s="4"/>
      <c r="W1037" s="4"/>
      <c r="X1037" s="4"/>
      <c r="Y1037" s="4"/>
      <c r="Z1037" s="4"/>
      <c r="AA1037" s="4"/>
      <c r="AB1037" s="4"/>
      <c r="AC1037" s="4"/>
      <c r="AD1037" s="4"/>
      <c r="AE1037" s="4"/>
      <c r="AF1037" s="4"/>
      <c r="AG1037" s="4"/>
    </row>
    <row r="1038" spans="1:33" x14ac:dyDescent="0.2">
      <c r="B1038" s="48"/>
      <c r="C1038" s="8"/>
      <c r="D1038" s="44"/>
      <c r="E1038" s="86" t="s">
        <v>1038</v>
      </c>
      <c r="F1038" s="20"/>
      <c r="G1038" s="19"/>
      <c r="H1038" s="24"/>
      <c r="I1038" s="4"/>
      <c r="J1038" s="4"/>
      <c r="K1038" s="4"/>
      <c r="L1038" s="4"/>
      <c r="M1038" s="4"/>
      <c r="N1038" s="4"/>
      <c r="O1038" s="4"/>
      <c r="P1038" s="4"/>
      <c r="Q1038" s="4"/>
      <c r="R1038" s="4"/>
      <c r="S1038" s="4"/>
      <c r="T1038" s="4"/>
      <c r="U1038" s="4"/>
      <c r="V1038" s="4"/>
      <c r="W1038" s="4"/>
      <c r="X1038" s="4"/>
      <c r="Y1038" s="4"/>
      <c r="Z1038" s="4"/>
      <c r="AA1038" s="4"/>
      <c r="AB1038" s="4"/>
      <c r="AC1038" s="4"/>
      <c r="AD1038" s="4"/>
      <c r="AE1038" s="4"/>
      <c r="AF1038" s="4"/>
      <c r="AG1038" s="4"/>
    </row>
    <row r="1039" spans="1:33" s="17" customFormat="1" x14ac:dyDescent="0.2">
      <c r="A1039" s="4"/>
      <c r="B1039" s="49" t="s">
        <v>762</v>
      </c>
      <c r="C1039" s="13"/>
      <c r="D1039" s="45"/>
      <c r="E1039" s="85"/>
      <c r="F1039" s="30"/>
      <c r="G1039" s="29"/>
      <c r="H1039" s="15"/>
    </row>
    <row r="1040" spans="1:33" x14ac:dyDescent="0.2">
      <c r="B1040" s="52"/>
      <c r="C1040" s="56" t="s">
        <v>696</v>
      </c>
      <c r="D1040" s="44"/>
      <c r="E1040" s="86" t="s">
        <v>1034</v>
      </c>
      <c r="F1040" s="28"/>
      <c r="G1040" s="26"/>
      <c r="H1040" s="21" t="b">
        <f>IF(D1043="x",H$2,H$1)</f>
        <v>0</v>
      </c>
      <c r="I1040" s="4"/>
      <c r="J1040" s="4"/>
      <c r="K1040" s="4"/>
      <c r="L1040" s="4"/>
      <c r="M1040" s="4"/>
      <c r="N1040" s="4"/>
      <c r="O1040" s="4"/>
      <c r="P1040" s="4"/>
      <c r="Q1040" s="4"/>
      <c r="R1040" s="4"/>
      <c r="S1040" s="4"/>
      <c r="T1040" s="4"/>
      <c r="U1040" s="4"/>
      <c r="V1040" s="4"/>
      <c r="W1040" s="4"/>
      <c r="X1040" s="4"/>
      <c r="Y1040" s="4"/>
      <c r="Z1040" s="4"/>
      <c r="AA1040" s="4"/>
      <c r="AB1040" s="4"/>
      <c r="AC1040" s="4"/>
      <c r="AD1040" s="4"/>
      <c r="AE1040" s="4"/>
      <c r="AF1040" s="4"/>
      <c r="AG1040" s="4"/>
    </row>
    <row r="1041" spans="1:33" x14ac:dyDescent="0.2">
      <c r="B1041" s="48"/>
      <c r="C1041" s="57" t="s">
        <v>102</v>
      </c>
      <c r="D1041" s="44"/>
      <c r="E1041" s="86" t="s">
        <v>1035</v>
      </c>
      <c r="F1041" s="22" t="str">
        <f t="shared" ref="F1041" si="337">IF(H1042=1,IF(H1040=H$2,H1040,""),"")</f>
        <v/>
      </c>
      <c r="G1041" s="26"/>
      <c r="H1041" s="21" t="str">
        <f t="shared" ref="H1041" si="338">IF(E$1122="comprobar",COUNTIF(D1040:D1044,"x"),"")</f>
        <v/>
      </c>
      <c r="I1041" s="4"/>
      <c r="J1041" s="4"/>
      <c r="K1041" s="4"/>
      <c r="L1041" s="4"/>
      <c r="M1041" s="4"/>
      <c r="N1041" s="4"/>
      <c r="O1041" s="4"/>
      <c r="P1041" s="4"/>
      <c r="Q1041" s="4"/>
      <c r="R1041" s="4"/>
      <c r="S1041" s="4"/>
      <c r="T1041" s="4"/>
      <c r="U1041" s="4"/>
      <c r="V1041" s="4"/>
      <c r="W1041" s="4"/>
      <c r="X1041" s="4"/>
      <c r="Y1041" s="4"/>
      <c r="Z1041" s="4"/>
      <c r="AA1041" s="4"/>
      <c r="AB1041" s="4"/>
      <c r="AC1041" s="4"/>
      <c r="AD1041" s="4"/>
      <c r="AE1041" s="4"/>
      <c r="AF1041" s="4"/>
      <c r="AG1041" s="4"/>
    </row>
    <row r="1042" spans="1:33" x14ac:dyDescent="0.2">
      <c r="B1042" s="48"/>
      <c r="C1042" s="57" t="s">
        <v>697</v>
      </c>
      <c r="D1042" s="44"/>
      <c r="E1042" s="86" t="s">
        <v>1036</v>
      </c>
      <c r="F1042" s="23" t="str">
        <f t="shared" ref="F1042" si="339">IF(H1042=-0.33,IF(H1040=H$1,H1040,""),"")</f>
        <v/>
      </c>
      <c r="G1042" s="26"/>
      <c r="H1042" s="24">
        <f t="shared" ref="H1042" si="340">IF(H1041=1,IF(H1040=H$2,1,-0.33),0)</f>
        <v>0</v>
      </c>
      <c r="I1042" s="4"/>
      <c r="J1042" s="4"/>
      <c r="K1042" s="4"/>
      <c r="L1042" s="4"/>
      <c r="M1042" s="4"/>
      <c r="N1042" s="4"/>
      <c r="O1042" s="4"/>
      <c r="P1042" s="4"/>
      <c r="Q1042" s="4"/>
      <c r="R1042" s="4"/>
      <c r="S1042" s="4"/>
      <c r="T1042" s="4"/>
      <c r="U1042" s="4"/>
      <c r="V1042" s="4"/>
      <c r="W1042" s="4"/>
      <c r="X1042" s="4"/>
      <c r="Y1042" s="4"/>
      <c r="Z1042" s="4"/>
      <c r="AA1042" s="4"/>
      <c r="AB1042" s="4"/>
      <c r="AC1042" s="4"/>
      <c r="AD1042" s="4"/>
      <c r="AE1042" s="4"/>
      <c r="AF1042" s="4"/>
      <c r="AG1042" s="4"/>
    </row>
    <row r="1043" spans="1:33" x14ac:dyDescent="0.2">
      <c r="B1043" s="48"/>
      <c r="C1043" s="57" t="s">
        <v>698</v>
      </c>
      <c r="D1043" s="44"/>
      <c r="E1043" s="86" t="s">
        <v>1037</v>
      </c>
      <c r="F1043" s="28"/>
      <c r="G1043" s="26"/>
      <c r="H1043" s="24"/>
      <c r="I1043" s="4"/>
      <c r="J1043" s="4"/>
      <c r="K1043" s="4"/>
      <c r="L1043" s="4"/>
      <c r="M1043" s="4"/>
      <c r="N1043" s="4"/>
      <c r="O1043" s="4"/>
      <c r="P1043" s="4"/>
      <c r="Q1043" s="4"/>
      <c r="R1043" s="4"/>
      <c r="S1043" s="4"/>
      <c r="T1043" s="4"/>
      <c r="U1043" s="4"/>
      <c r="V1043" s="4"/>
      <c r="W1043" s="4"/>
      <c r="X1043" s="4"/>
      <c r="Y1043" s="4"/>
      <c r="Z1043" s="4"/>
      <c r="AA1043" s="4"/>
      <c r="AB1043" s="4"/>
      <c r="AC1043" s="4"/>
      <c r="AD1043" s="4"/>
      <c r="AE1043" s="4"/>
      <c r="AF1043" s="4"/>
      <c r="AG1043" s="4"/>
    </row>
    <row r="1044" spans="1:33" x14ac:dyDescent="0.2">
      <c r="B1044" s="48"/>
      <c r="C1044" s="8"/>
      <c r="D1044" s="44"/>
      <c r="E1044" s="86" t="s">
        <v>1038</v>
      </c>
      <c r="F1044" s="20"/>
      <c r="G1044" s="19"/>
      <c r="H1044" s="24"/>
      <c r="I1044" s="4"/>
      <c r="J1044" s="4"/>
      <c r="K1044" s="4"/>
      <c r="L1044" s="4"/>
      <c r="M1044" s="4"/>
      <c r="N1044" s="4"/>
      <c r="O1044" s="4"/>
      <c r="P1044" s="4"/>
      <c r="Q1044" s="4"/>
      <c r="R1044" s="4"/>
      <c r="S1044" s="4"/>
      <c r="T1044" s="4"/>
      <c r="U1044" s="4"/>
      <c r="V1044" s="4"/>
      <c r="W1044" s="4"/>
      <c r="X1044" s="4"/>
      <c r="Y1044" s="4"/>
      <c r="Z1044" s="4"/>
      <c r="AA1044" s="4"/>
      <c r="AB1044" s="4"/>
      <c r="AC1044" s="4"/>
      <c r="AD1044" s="4"/>
      <c r="AE1044" s="4"/>
      <c r="AF1044" s="4"/>
      <c r="AG1044" s="4"/>
    </row>
    <row r="1045" spans="1:33" s="17" customFormat="1" x14ac:dyDescent="0.2">
      <c r="A1045" s="4"/>
      <c r="B1045" s="49" t="s">
        <v>699</v>
      </c>
      <c r="C1045" s="13"/>
      <c r="D1045" s="45"/>
      <c r="E1045" s="85"/>
      <c r="F1045" s="30"/>
      <c r="G1045" s="29"/>
      <c r="H1045" s="15"/>
    </row>
    <row r="1046" spans="1:33" x14ac:dyDescent="0.2">
      <c r="B1046" s="52"/>
      <c r="C1046" s="56" t="s">
        <v>700</v>
      </c>
      <c r="D1046" s="44"/>
      <c r="E1046" s="86" t="s">
        <v>1034</v>
      </c>
      <c r="F1046" s="28"/>
      <c r="G1046" s="26"/>
      <c r="H1046" s="21" t="b">
        <f>IF(D1047="x",H$2,H$1)</f>
        <v>0</v>
      </c>
      <c r="I1046" s="4"/>
      <c r="J1046" s="4"/>
      <c r="K1046" s="4"/>
      <c r="L1046" s="4"/>
      <c r="M1046" s="4"/>
      <c r="N1046" s="4"/>
      <c r="O1046" s="4"/>
      <c r="P1046" s="4"/>
      <c r="Q1046" s="4"/>
      <c r="R1046" s="4"/>
      <c r="S1046" s="4"/>
      <c r="T1046" s="4"/>
      <c r="U1046" s="4"/>
      <c r="V1046" s="4"/>
      <c r="W1046" s="4"/>
      <c r="X1046" s="4"/>
      <c r="Y1046" s="4"/>
      <c r="Z1046" s="4"/>
      <c r="AA1046" s="4"/>
      <c r="AB1046" s="4"/>
      <c r="AC1046" s="4"/>
      <c r="AD1046" s="4"/>
      <c r="AE1046" s="4"/>
      <c r="AF1046" s="4"/>
      <c r="AG1046" s="4"/>
    </row>
    <row r="1047" spans="1:33" x14ac:dyDescent="0.2">
      <c r="B1047" s="48"/>
      <c r="C1047" s="57" t="s">
        <v>701</v>
      </c>
      <c r="D1047" s="44"/>
      <c r="E1047" s="86" t="s">
        <v>1035</v>
      </c>
      <c r="F1047" s="22" t="str">
        <f t="shared" ref="F1047" si="341">IF(H1048=1,IF(H1046=H$2,H1046,""),"")</f>
        <v/>
      </c>
      <c r="G1047" s="26"/>
      <c r="H1047" s="21" t="str">
        <f t="shared" ref="H1047" si="342">IF(E$1122="comprobar",COUNTIF(D1046:D1050,"x"),"")</f>
        <v/>
      </c>
      <c r="I1047" s="4"/>
      <c r="J1047" s="4"/>
      <c r="K1047" s="4"/>
      <c r="L1047" s="4"/>
      <c r="M1047" s="4"/>
      <c r="N1047" s="4"/>
      <c r="O1047" s="4"/>
      <c r="P1047" s="4"/>
      <c r="Q1047" s="4"/>
      <c r="R1047" s="4"/>
      <c r="S1047" s="4"/>
      <c r="T1047" s="4"/>
      <c r="U1047" s="4"/>
      <c r="V1047" s="4"/>
      <c r="W1047" s="4"/>
      <c r="X1047" s="4"/>
      <c r="Y1047" s="4"/>
      <c r="Z1047" s="4"/>
      <c r="AA1047" s="4"/>
      <c r="AB1047" s="4"/>
      <c r="AC1047" s="4"/>
      <c r="AD1047" s="4"/>
      <c r="AE1047" s="4"/>
      <c r="AF1047" s="4"/>
      <c r="AG1047" s="4"/>
    </row>
    <row r="1048" spans="1:33" x14ac:dyDescent="0.2">
      <c r="B1048" s="48"/>
      <c r="C1048" s="57" t="s">
        <v>702</v>
      </c>
      <c r="D1048" s="44"/>
      <c r="E1048" s="86" t="s">
        <v>1036</v>
      </c>
      <c r="F1048" s="23" t="str">
        <f t="shared" ref="F1048" si="343">IF(H1048=-0.33,IF(H1046=H$1,H1046,""),"")</f>
        <v/>
      </c>
      <c r="G1048" s="26"/>
      <c r="H1048" s="24">
        <f t="shared" ref="H1048" si="344">IF(H1047=1,IF(H1046=H$2,1,-0.33),0)</f>
        <v>0</v>
      </c>
      <c r="I1048" s="4"/>
      <c r="J1048" s="4"/>
      <c r="K1048" s="4"/>
      <c r="L1048" s="4"/>
      <c r="M1048" s="4"/>
      <c r="N1048" s="4"/>
      <c r="O1048" s="4"/>
      <c r="P1048" s="4"/>
      <c r="Q1048" s="4"/>
      <c r="R1048" s="4"/>
      <c r="S1048" s="4"/>
      <c r="T1048" s="4"/>
      <c r="U1048" s="4"/>
      <c r="V1048" s="4"/>
      <c r="W1048" s="4"/>
      <c r="X1048" s="4"/>
      <c r="Y1048" s="4"/>
      <c r="Z1048" s="4"/>
      <c r="AA1048" s="4"/>
      <c r="AB1048" s="4"/>
      <c r="AC1048" s="4"/>
      <c r="AD1048" s="4"/>
      <c r="AE1048" s="4"/>
      <c r="AF1048" s="4"/>
      <c r="AG1048" s="4"/>
    </row>
    <row r="1049" spans="1:33" x14ac:dyDescent="0.2">
      <c r="B1049" s="48"/>
      <c r="C1049" s="57" t="s">
        <v>703</v>
      </c>
      <c r="D1049" s="44"/>
      <c r="E1049" s="86" t="s">
        <v>1037</v>
      </c>
      <c r="F1049" s="28"/>
      <c r="G1049" s="26"/>
      <c r="H1049" s="24"/>
      <c r="I1049" s="4"/>
      <c r="J1049" s="4"/>
      <c r="K1049" s="4"/>
      <c r="L1049" s="4"/>
      <c r="M1049" s="4"/>
      <c r="N1049" s="4"/>
      <c r="O1049" s="4"/>
      <c r="P1049" s="4"/>
      <c r="Q1049" s="4"/>
      <c r="R1049" s="4"/>
      <c r="S1049" s="4"/>
      <c r="T1049" s="4"/>
      <c r="U1049" s="4"/>
      <c r="V1049" s="4"/>
      <c r="W1049" s="4"/>
      <c r="X1049" s="4"/>
      <c r="Y1049" s="4"/>
      <c r="Z1049" s="4"/>
      <c r="AA1049" s="4"/>
      <c r="AB1049" s="4"/>
      <c r="AC1049" s="4"/>
      <c r="AD1049" s="4"/>
      <c r="AE1049" s="4"/>
      <c r="AF1049" s="4"/>
      <c r="AG1049" s="4"/>
    </row>
    <row r="1050" spans="1:33" x14ac:dyDescent="0.2">
      <c r="B1050" s="48"/>
      <c r="C1050" s="8"/>
      <c r="D1050" s="44"/>
      <c r="E1050" s="86" t="s">
        <v>1038</v>
      </c>
      <c r="F1050" s="20"/>
      <c r="G1050" s="19"/>
      <c r="H1050" s="24"/>
      <c r="I1050" s="4"/>
      <c r="J1050" s="4"/>
      <c r="K1050" s="4"/>
      <c r="L1050" s="4"/>
      <c r="M1050" s="4"/>
      <c r="N1050" s="4"/>
      <c r="O1050" s="4"/>
      <c r="P1050" s="4"/>
      <c r="Q1050" s="4"/>
      <c r="R1050" s="4"/>
      <c r="S1050" s="4"/>
      <c r="T1050" s="4"/>
      <c r="U1050" s="4"/>
      <c r="V1050" s="4"/>
      <c r="W1050" s="4"/>
      <c r="X1050" s="4"/>
      <c r="Y1050" s="4"/>
      <c r="Z1050" s="4"/>
      <c r="AA1050" s="4"/>
      <c r="AB1050" s="4"/>
      <c r="AC1050" s="4"/>
      <c r="AD1050" s="4"/>
      <c r="AE1050" s="4"/>
      <c r="AF1050" s="4"/>
      <c r="AG1050" s="4"/>
    </row>
    <row r="1051" spans="1:33" s="17" customFormat="1" x14ac:dyDescent="0.2">
      <c r="A1051" s="4"/>
      <c r="B1051" s="49" t="s">
        <v>704</v>
      </c>
      <c r="C1051" s="13"/>
      <c r="D1051" s="45"/>
      <c r="E1051" s="85"/>
      <c r="F1051" s="30"/>
      <c r="G1051" s="29"/>
      <c r="H1051" s="15"/>
    </row>
    <row r="1052" spans="1:33" x14ac:dyDescent="0.2">
      <c r="B1052" s="52"/>
      <c r="C1052" s="56" t="s">
        <v>705</v>
      </c>
      <c r="D1052" s="44"/>
      <c r="E1052" s="86" t="s">
        <v>1034</v>
      </c>
      <c r="F1052" s="28"/>
      <c r="G1052" s="26"/>
      <c r="H1052" s="21" t="b">
        <f>IF(D1055="x",H$2,H$1)</f>
        <v>0</v>
      </c>
      <c r="I1052" s="4"/>
      <c r="J1052" s="4"/>
      <c r="K1052" s="4"/>
      <c r="L1052" s="4"/>
      <c r="M1052" s="4"/>
      <c r="N1052" s="4"/>
      <c r="O1052" s="4"/>
      <c r="P1052" s="4"/>
      <c r="Q1052" s="4"/>
      <c r="R1052" s="4"/>
      <c r="S1052" s="4"/>
      <c r="T1052" s="4"/>
      <c r="U1052" s="4"/>
      <c r="V1052" s="4"/>
      <c r="W1052" s="4"/>
      <c r="X1052" s="4"/>
      <c r="Y1052" s="4"/>
      <c r="Z1052" s="4"/>
      <c r="AA1052" s="4"/>
      <c r="AB1052" s="4"/>
      <c r="AC1052" s="4"/>
      <c r="AD1052" s="4"/>
      <c r="AE1052" s="4"/>
      <c r="AF1052" s="4"/>
      <c r="AG1052" s="4"/>
    </row>
    <row r="1053" spans="1:33" ht="32" x14ac:dyDescent="0.2">
      <c r="B1053" s="48"/>
      <c r="C1053" s="61" t="s">
        <v>706</v>
      </c>
      <c r="D1053" s="44"/>
      <c r="E1053" s="86" t="s">
        <v>1035</v>
      </c>
      <c r="F1053" s="22" t="str">
        <f t="shared" ref="F1053" si="345">IF(H1054=1,IF(H1052=H$2,H1052,""),"")</f>
        <v/>
      </c>
      <c r="G1053" s="26"/>
      <c r="H1053" s="21" t="str">
        <f t="shared" ref="H1053" si="346">IF(E$1122="comprobar",COUNTIF(D1052:D1056,"x"),"")</f>
        <v/>
      </c>
      <c r="I1053" s="4"/>
      <c r="J1053" s="4"/>
      <c r="K1053" s="4"/>
      <c r="L1053" s="4"/>
      <c r="M1053" s="4"/>
      <c r="N1053" s="4"/>
      <c r="O1053" s="4"/>
      <c r="P1053" s="4"/>
      <c r="Q1053" s="4"/>
      <c r="R1053" s="4"/>
      <c r="S1053" s="4"/>
      <c r="T1053" s="4"/>
      <c r="U1053" s="4"/>
      <c r="V1053" s="4"/>
      <c r="W1053" s="4"/>
      <c r="X1053" s="4"/>
      <c r="Y1053" s="4"/>
      <c r="Z1053" s="4"/>
      <c r="AA1053" s="4"/>
      <c r="AB1053" s="4"/>
      <c r="AC1053" s="4"/>
      <c r="AD1053" s="4"/>
      <c r="AE1053" s="4"/>
      <c r="AF1053" s="4"/>
      <c r="AG1053" s="4"/>
    </row>
    <row r="1054" spans="1:33" x14ac:dyDescent="0.2">
      <c r="B1054" s="48"/>
      <c r="C1054" s="57" t="s">
        <v>707</v>
      </c>
      <c r="D1054" s="44"/>
      <c r="E1054" s="86" t="s">
        <v>1036</v>
      </c>
      <c r="F1054" s="23" t="str">
        <f t="shared" ref="F1054" si="347">IF(H1054=-0.33,IF(H1052=H$1,H1052,""),"")</f>
        <v/>
      </c>
      <c r="G1054" s="26"/>
      <c r="H1054" s="24">
        <f t="shared" ref="H1054" si="348">IF(H1053=1,IF(H1052=H$2,1,-0.33),0)</f>
        <v>0</v>
      </c>
      <c r="I1054" s="4"/>
      <c r="J1054" s="4"/>
      <c r="K1054" s="4"/>
      <c r="L1054" s="4"/>
      <c r="M1054" s="4"/>
      <c r="N1054" s="4"/>
      <c r="O1054" s="4"/>
      <c r="P1054" s="4"/>
      <c r="Q1054" s="4"/>
      <c r="R1054" s="4"/>
      <c r="S1054" s="4"/>
      <c r="T1054" s="4"/>
      <c r="U1054" s="4"/>
      <c r="V1054" s="4"/>
      <c r="W1054" s="4"/>
      <c r="X1054" s="4"/>
      <c r="Y1054" s="4"/>
      <c r="Z1054" s="4"/>
      <c r="AA1054" s="4"/>
      <c r="AB1054" s="4"/>
      <c r="AC1054" s="4"/>
      <c r="AD1054" s="4"/>
      <c r="AE1054" s="4"/>
      <c r="AF1054" s="4"/>
      <c r="AG1054" s="4"/>
    </row>
    <row r="1055" spans="1:33" x14ac:dyDescent="0.2">
      <c r="B1055" s="48"/>
      <c r="C1055" s="57" t="s">
        <v>708</v>
      </c>
      <c r="D1055" s="44"/>
      <c r="E1055" s="86" t="s">
        <v>1037</v>
      </c>
      <c r="F1055" s="28"/>
      <c r="G1055" s="26"/>
      <c r="H1055" s="24"/>
      <c r="I1055" s="4"/>
      <c r="J1055" s="4"/>
      <c r="K1055" s="4"/>
      <c r="L1055" s="4"/>
      <c r="M1055" s="4"/>
      <c r="N1055" s="4"/>
      <c r="O1055" s="4"/>
      <c r="P1055" s="4"/>
      <c r="Q1055" s="4"/>
      <c r="R1055" s="4"/>
      <c r="S1055" s="4"/>
      <c r="T1055" s="4"/>
      <c r="U1055" s="4"/>
      <c r="V1055" s="4"/>
      <c r="W1055" s="4"/>
      <c r="X1055" s="4"/>
      <c r="Y1055" s="4"/>
      <c r="Z1055" s="4"/>
      <c r="AA1055" s="4"/>
      <c r="AB1055" s="4"/>
      <c r="AC1055" s="4"/>
      <c r="AD1055" s="4"/>
      <c r="AE1055" s="4"/>
      <c r="AF1055" s="4"/>
      <c r="AG1055" s="4"/>
    </row>
    <row r="1056" spans="1:33" x14ac:dyDescent="0.2">
      <c r="B1056" s="48"/>
      <c r="C1056" s="8"/>
      <c r="D1056" s="44"/>
      <c r="E1056" s="86" t="s">
        <v>1038</v>
      </c>
      <c r="F1056" s="20"/>
      <c r="G1056" s="19"/>
      <c r="H1056" s="24"/>
      <c r="I1056" s="4"/>
      <c r="J1056" s="4"/>
      <c r="K1056" s="4"/>
      <c r="L1056" s="4"/>
      <c r="M1056" s="4"/>
      <c r="N1056" s="4"/>
      <c r="O1056" s="4"/>
      <c r="P1056" s="4"/>
      <c r="Q1056" s="4"/>
      <c r="R1056" s="4"/>
      <c r="S1056" s="4"/>
      <c r="T1056" s="4"/>
      <c r="U1056" s="4"/>
      <c r="V1056" s="4"/>
      <c r="W1056" s="4"/>
      <c r="X1056" s="4"/>
      <c r="Y1056" s="4"/>
      <c r="Z1056" s="4"/>
      <c r="AA1056" s="4"/>
      <c r="AB1056" s="4"/>
      <c r="AC1056" s="4"/>
      <c r="AD1056" s="4"/>
      <c r="AE1056" s="4"/>
      <c r="AF1056" s="4"/>
      <c r="AG1056" s="4"/>
    </row>
    <row r="1057" spans="1:33" s="17" customFormat="1" x14ac:dyDescent="0.2">
      <c r="A1057" s="4"/>
      <c r="B1057" s="49" t="s">
        <v>709</v>
      </c>
      <c r="C1057" s="13"/>
      <c r="D1057" s="45"/>
      <c r="E1057" s="85"/>
      <c r="F1057" s="30"/>
      <c r="G1057" s="29"/>
      <c r="H1057" s="15"/>
    </row>
    <row r="1058" spans="1:33" ht="32" x14ac:dyDescent="0.2">
      <c r="B1058" s="52"/>
      <c r="C1058" s="60" t="s">
        <v>710</v>
      </c>
      <c r="D1058" s="44"/>
      <c r="E1058" s="86" t="s">
        <v>1034</v>
      </c>
      <c r="F1058" s="28"/>
      <c r="G1058" s="26"/>
      <c r="H1058" s="21" t="b">
        <f>IF(D1061="x",H$2,H$1)</f>
        <v>0</v>
      </c>
      <c r="I1058" s="4"/>
      <c r="J1058" s="4"/>
      <c r="K1058" s="4"/>
      <c r="L1058" s="4"/>
      <c r="M1058" s="4"/>
      <c r="N1058" s="4"/>
      <c r="O1058" s="4"/>
      <c r="P1058" s="4"/>
      <c r="Q1058" s="4"/>
      <c r="R1058" s="4"/>
      <c r="S1058" s="4"/>
      <c r="T1058" s="4"/>
      <c r="U1058" s="4"/>
      <c r="V1058" s="4"/>
      <c r="W1058" s="4"/>
      <c r="X1058" s="4"/>
      <c r="Y1058" s="4"/>
      <c r="Z1058" s="4"/>
      <c r="AA1058" s="4"/>
      <c r="AB1058" s="4"/>
      <c r="AC1058" s="4"/>
      <c r="AD1058" s="4"/>
      <c r="AE1058" s="4"/>
      <c r="AF1058" s="4"/>
      <c r="AG1058" s="4"/>
    </row>
    <row r="1059" spans="1:33" x14ac:dyDescent="0.2">
      <c r="B1059" s="48"/>
      <c r="C1059" s="57" t="s">
        <v>711</v>
      </c>
      <c r="D1059" s="44"/>
      <c r="E1059" s="86" t="s">
        <v>1035</v>
      </c>
      <c r="F1059" s="22" t="str">
        <f t="shared" ref="F1059" si="349">IF(H1060=1,IF(H1058=H$2,H1058,""),"")</f>
        <v/>
      </c>
      <c r="G1059" s="26"/>
      <c r="H1059" s="21" t="str">
        <f t="shared" ref="H1059" si="350">IF(E$1122="comprobar",COUNTIF(D1058:D1062,"x"),"")</f>
        <v/>
      </c>
      <c r="I1059" s="4"/>
      <c r="J1059" s="4"/>
      <c r="K1059" s="4"/>
      <c r="L1059" s="4"/>
      <c r="M1059" s="4"/>
      <c r="N1059" s="4"/>
      <c r="O1059" s="4"/>
      <c r="P1059" s="4"/>
      <c r="Q1059" s="4"/>
      <c r="R1059" s="4"/>
      <c r="S1059" s="4"/>
      <c r="T1059" s="4"/>
      <c r="U1059" s="4"/>
      <c r="V1059" s="4"/>
      <c r="W1059" s="4"/>
      <c r="X1059" s="4"/>
      <c r="Y1059" s="4"/>
      <c r="Z1059" s="4"/>
      <c r="AA1059" s="4"/>
      <c r="AB1059" s="4"/>
      <c r="AC1059" s="4"/>
      <c r="AD1059" s="4"/>
      <c r="AE1059" s="4"/>
      <c r="AF1059" s="4"/>
      <c r="AG1059" s="4"/>
    </row>
    <row r="1060" spans="1:33" x14ac:dyDescent="0.2">
      <c r="B1060" s="48"/>
      <c r="C1060" s="57" t="s">
        <v>712</v>
      </c>
      <c r="D1060" s="44"/>
      <c r="E1060" s="86" t="s">
        <v>1036</v>
      </c>
      <c r="F1060" s="23" t="str">
        <f t="shared" ref="F1060" si="351">IF(H1060=-0.33,IF(H1058=H$1,H1058,""),"")</f>
        <v/>
      </c>
      <c r="G1060" s="26"/>
      <c r="H1060" s="24">
        <f t="shared" ref="H1060" si="352">IF(H1059=1,IF(H1058=H$2,1,-0.33),0)</f>
        <v>0</v>
      </c>
      <c r="I1060" s="4"/>
      <c r="J1060" s="4"/>
      <c r="K1060" s="4"/>
      <c r="L1060" s="4"/>
      <c r="M1060" s="4"/>
      <c r="N1060" s="4"/>
      <c r="O1060" s="4"/>
      <c r="P1060" s="4"/>
      <c r="Q1060" s="4"/>
      <c r="R1060" s="4"/>
      <c r="S1060" s="4"/>
      <c r="T1060" s="4"/>
      <c r="U1060" s="4"/>
      <c r="V1060" s="4"/>
      <c r="W1060" s="4"/>
      <c r="X1060" s="4"/>
      <c r="Y1060" s="4"/>
      <c r="Z1060" s="4"/>
      <c r="AA1060" s="4"/>
      <c r="AB1060" s="4"/>
      <c r="AC1060" s="4"/>
      <c r="AD1060" s="4"/>
      <c r="AE1060" s="4"/>
      <c r="AF1060" s="4"/>
      <c r="AG1060" s="4"/>
    </row>
    <row r="1061" spans="1:33" x14ac:dyDescent="0.2">
      <c r="B1061" s="48"/>
      <c r="C1061" s="57" t="s">
        <v>622</v>
      </c>
      <c r="D1061" s="44"/>
      <c r="E1061" s="86" t="s">
        <v>1037</v>
      </c>
      <c r="F1061" s="28"/>
      <c r="G1061" s="26"/>
      <c r="H1061" s="24"/>
      <c r="I1061" s="4"/>
      <c r="J1061" s="4"/>
      <c r="K1061" s="4"/>
      <c r="L1061" s="4"/>
      <c r="M1061" s="4"/>
      <c r="N1061" s="4"/>
      <c r="O1061" s="4"/>
      <c r="P1061" s="4"/>
      <c r="Q1061" s="4"/>
      <c r="R1061" s="4"/>
      <c r="S1061" s="4"/>
      <c r="T1061" s="4"/>
      <c r="U1061" s="4"/>
      <c r="V1061" s="4"/>
      <c r="W1061" s="4"/>
      <c r="X1061" s="4"/>
      <c r="Y1061" s="4"/>
      <c r="Z1061" s="4"/>
      <c r="AA1061" s="4"/>
      <c r="AB1061" s="4"/>
      <c r="AC1061" s="4"/>
      <c r="AD1061" s="4"/>
      <c r="AE1061" s="4"/>
      <c r="AF1061" s="4"/>
      <c r="AG1061" s="4"/>
    </row>
    <row r="1062" spans="1:33" x14ac:dyDescent="0.2">
      <c r="B1062" s="48"/>
      <c r="C1062" s="8"/>
      <c r="D1062" s="44"/>
      <c r="E1062" s="86" t="s">
        <v>1038</v>
      </c>
      <c r="F1062" s="20"/>
      <c r="G1062" s="19"/>
      <c r="H1062" s="24"/>
      <c r="I1062" s="4"/>
      <c r="J1062" s="4"/>
      <c r="K1062" s="4"/>
      <c r="L1062" s="4"/>
      <c r="M1062" s="4"/>
      <c r="N1062" s="4"/>
      <c r="O1062" s="4"/>
      <c r="P1062" s="4"/>
      <c r="Q1062" s="4"/>
      <c r="R1062" s="4"/>
      <c r="S1062" s="4"/>
      <c r="T1062" s="4"/>
      <c r="U1062" s="4"/>
      <c r="V1062" s="4"/>
      <c r="W1062" s="4"/>
      <c r="X1062" s="4"/>
      <c r="Y1062" s="4"/>
      <c r="Z1062" s="4"/>
      <c r="AA1062" s="4"/>
      <c r="AB1062" s="4"/>
      <c r="AC1062" s="4"/>
      <c r="AD1062" s="4"/>
      <c r="AE1062" s="4"/>
      <c r="AF1062" s="4"/>
      <c r="AG1062" s="4"/>
    </row>
    <row r="1063" spans="1:33" s="17" customFormat="1" x14ac:dyDescent="0.2">
      <c r="A1063" s="4"/>
      <c r="B1063" s="49" t="s">
        <v>713</v>
      </c>
      <c r="C1063" s="13"/>
      <c r="D1063" s="45"/>
      <c r="E1063" s="85"/>
      <c r="F1063" s="30"/>
      <c r="G1063" s="29"/>
      <c r="H1063" s="15"/>
    </row>
    <row r="1064" spans="1:33" x14ac:dyDescent="0.2">
      <c r="B1064" s="52"/>
      <c r="C1064" s="56" t="s">
        <v>714</v>
      </c>
      <c r="D1064" s="44"/>
      <c r="E1064" s="86" t="s">
        <v>1034</v>
      </c>
      <c r="F1064" s="28"/>
      <c r="G1064" s="26"/>
      <c r="H1064" s="21" t="b">
        <f>IF(D1067="x",H$2,H$1)</f>
        <v>0</v>
      </c>
      <c r="I1064" s="4"/>
      <c r="J1064" s="4"/>
      <c r="K1064" s="4"/>
      <c r="L1064" s="4"/>
      <c r="M1064" s="4"/>
      <c r="N1064" s="4"/>
      <c r="O1064" s="4"/>
      <c r="P1064" s="4"/>
      <c r="Q1064" s="4"/>
      <c r="R1064" s="4"/>
      <c r="S1064" s="4"/>
      <c r="T1064" s="4"/>
      <c r="U1064" s="4"/>
      <c r="V1064" s="4"/>
      <c r="W1064" s="4"/>
      <c r="X1064" s="4"/>
      <c r="Y1064" s="4"/>
      <c r="Z1064" s="4"/>
      <c r="AA1064" s="4"/>
      <c r="AB1064" s="4"/>
      <c r="AC1064" s="4"/>
      <c r="AD1064" s="4"/>
      <c r="AE1064" s="4"/>
      <c r="AF1064" s="4"/>
      <c r="AG1064" s="4"/>
    </row>
    <row r="1065" spans="1:33" x14ac:dyDescent="0.2">
      <c r="B1065" s="48"/>
      <c r="C1065" s="57" t="s">
        <v>715</v>
      </c>
      <c r="D1065" s="44"/>
      <c r="E1065" s="86" t="s">
        <v>1035</v>
      </c>
      <c r="F1065" s="22" t="str">
        <f t="shared" ref="F1065" si="353">IF(H1066=1,IF(H1064=H$2,H1064,""),"")</f>
        <v/>
      </c>
      <c r="G1065" s="26"/>
      <c r="H1065" s="21" t="str">
        <f t="shared" ref="H1065" si="354">IF(E$1122="comprobar",COUNTIF(D1064:D1068,"x"),"")</f>
        <v/>
      </c>
      <c r="I1065" s="4"/>
      <c r="J1065" s="4"/>
      <c r="K1065" s="4"/>
      <c r="L1065" s="4"/>
      <c r="M1065" s="4"/>
      <c r="N1065" s="4"/>
      <c r="O1065" s="4"/>
      <c r="P1065" s="4"/>
      <c r="Q1065" s="4"/>
      <c r="R1065" s="4"/>
      <c r="S1065" s="4"/>
      <c r="T1065" s="4"/>
      <c r="U1065" s="4"/>
      <c r="V1065" s="4"/>
      <c r="W1065" s="4"/>
      <c r="X1065" s="4"/>
      <c r="Y1065" s="4"/>
      <c r="Z1065" s="4"/>
      <c r="AA1065" s="4"/>
      <c r="AB1065" s="4"/>
      <c r="AC1065" s="4"/>
      <c r="AD1065" s="4"/>
      <c r="AE1065" s="4"/>
      <c r="AF1065" s="4"/>
      <c r="AG1065" s="4"/>
    </row>
    <row r="1066" spans="1:33" x14ac:dyDescent="0.2">
      <c r="B1066" s="48"/>
      <c r="C1066" s="57" t="s">
        <v>716</v>
      </c>
      <c r="D1066" s="44"/>
      <c r="E1066" s="86" t="s">
        <v>1036</v>
      </c>
      <c r="F1066" s="23" t="str">
        <f t="shared" ref="F1066" si="355">IF(H1066=-0.33,IF(H1064=H$1,H1064,""),"")</f>
        <v/>
      </c>
      <c r="G1066" s="26"/>
      <c r="H1066" s="24">
        <f t="shared" ref="H1066" si="356">IF(H1065=1,IF(H1064=H$2,1,-0.33),0)</f>
        <v>0</v>
      </c>
      <c r="I1066" s="4"/>
      <c r="J1066" s="4"/>
      <c r="K1066" s="4"/>
      <c r="L1066" s="4"/>
      <c r="M1066" s="4"/>
      <c r="N1066" s="4"/>
      <c r="O1066" s="4"/>
      <c r="P1066" s="4"/>
      <c r="Q1066" s="4"/>
      <c r="R1066" s="4"/>
      <c r="S1066" s="4"/>
      <c r="T1066" s="4"/>
      <c r="U1066" s="4"/>
      <c r="V1066" s="4"/>
      <c r="W1066" s="4"/>
      <c r="X1066" s="4"/>
      <c r="Y1066" s="4"/>
      <c r="Z1066" s="4"/>
      <c r="AA1066" s="4"/>
      <c r="AB1066" s="4"/>
      <c r="AC1066" s="4"/>
      <c r="AD1066" s="4"/>
      <c r="AE1066" s="4"/>
      <c r="AF1066" s="4"/>
      <c r="AG1066" s="4"/>
    </row>
    <row r="1067" spans="1:33" x14ac:dyDescent="0.2">
      <c r="B1067" s="48"/>
      <c r="C1067" s="57" t="s">
        <v>717</v>
      </c>
      <c r="D1067" s="44"/>
      <c r="E1067" s="86" t="s">
        <v>1037</v>
      </c>
      <c r="F1067" s="28"/>
      <c r="G1067" s="26"/>
      <c r="H1067" s="24"/>
      <c r="I1067" s="4"/>
      <c r="J1067" s="4"/>
      <c r="K1067" s="4"/>
      <c r="L1067" s="4"/>
      <c r="M1067" s="4"/>
      <c r="N1067" s="4"/>
      <c r="O1067" s="4"/>
      <c r="P1067" s="4"/>
      <c r="Q1067" s="4"/>
      <c r="R1067" s="4"/>
      <c r="S1067" s="4"/>
      <c r="T1067" s="4"/>
      <c r="U1067" s="4"/>
      <c r="V1067" s="4"/>
      <c r="W1067" s="4"/>
      <c r="X1067" s="4"/>
      <c r="Y1067" s="4"/>
      <c r="Z1067" s="4"/>
      <c r="AA1067" s="4"/>
      <c r="AB1067" s="4"/>
      <c r="AC1067" s="4"/>
      <c r="AD1067" s="4"/>
      <c r="AE1067" s="4"/>
      <c r="AF1067" s="4"/>
      <c r="AG1067" s="4"/>
    </row>
    <row r="1068" spans="1:33" x14ac:dyDescent="0.2">
      <c r="B1068" s="48"/>
      <c r="C1068" s="8"/>
      <c r="D1068" s="44"/>
      <c r="E1068" s="86" t="s">
        <v>1038</v>
      </c>
      <c r="F1068" s="20"/>
      <c r="G1068" s="19"/>
      <c r="H1068" s="24"/>
      <c r="I1068" s="4"/>
      <c r="J1068" s="4"/>
      <c r="K1068" s="4"/>
      <c r="L1068" s="4"/>
      <c r="M1068" s="4"/>
      <c r="N1068" s="4"/>
      <c r="O1068" s="4"/>
      <c r="P1068" s="4"/>
      <c r="Q1068" s="4"/>
      <c r="R1068" s="4"/>
      <c r="S1068" s="4"/>
      <c r="T1068" s="4"/>
      <c r="U1068" s="4"/>
      <c r="V1068" s="4"/>
      <c r="W1068" s="4"/>
      <c r="X1068" s="4"/>
      <c r="Y1068" s="4"/>
      <c r="Z1068" s="4"/>
      <c r="AA1068" s="4"/>
      <c r="AB1068" s="4"/>
      <c r="AC1068" s="4"/>
      <c r="AD1068" s="4"/>
      <c r="AE1068" s="4"/>
      <c r="AF1068" s="4"/>
      <c r="AG1068" s="4"/>
    </row>
    <row r="1069" spans="1:33" s="17" customFormat="1" x14ac:dyDescent="0.2">
      <c r="A1069" s="4"/>
      <c r="B1069" s="49" t="s">
        <v>718</v>
      </c>
      <c r="C1069" s="13"/>
      <c r="D1069" s="45"/>
      <c r="E1069" s="85"/>
      <c r="F1069" s="30"/>
      <c r="G1069" s="29"/>
      <c r="H1069" s="15"/>
    </row>
    <row r="1070" spans="1:33" x14ac:dyDescent="0.2">
      <c r="B1070" s="52"/>
      <c r="C1070" s="56" t="s">
        <v>719</v>
      </c>
      <c r="D1070" s="44"/>
      <c r="E1070" s="86" t="s">
        <v>1034</v>
      </c>
      <c r="F1070" s="28"/>
      <c r="G1070" s="26"/>
      <c r="H1070" s="21" t="b">
        <f>IF(D1071="x",H$2,H$1)</f>
        <v>0</v>
      </c>
      <c r="I1070" s="4"/>
      <c r="J1070" s="4"/>
      <c r="K1070" s="4"/>
      <c r="L1070" s="4"/>
      <c r="M1070" s="4"/>
      <c r="N1070" s="4"/>
      <c r="O1070" s="4"/>
      <c r="P1070" s="4"/>
      <c r="Q1070" s="4"/>
      <c r="R1070" s="4"/>
      <c r="S1070" s="4"/>
      <c r="T1070" s="4"/>
      <c r="U1070" s="4"/>
      <c r="V1070" s="4"/>
      <c r="W1070" s="4"/>
      <c r="X1070" s="4"/>
      <c r="Y1070" s="4"/>
      <c r="Z1070" s="4"/>
      <c r="AA1070" s="4"/>
      <c r="AB1070" s="4"/>
      <c r="AC1070" s="4"/>
      <c r="AD1070" s="4"/>
      <c r="AE1070" s="4"/>
      <c r="AF1070" s="4"/>
      <c r="AG1070" s="4"/>
    </row>
    <row r="1071" spans="1:33" ht="32" x14ac:dyDescent="0.2">
      <c r="B1071" s="48"/>
      <c r="C1071" s="61" t="s">
        <v>720</v>
      </c>
      <c r="D1071" s="44"/>
      <c r="E1071" s="86" t="s">
        <v>1035</v>
      </c>
      <c r="F1071" s="22" t="str">
        <f t="shared" ref="F1071" si="357">IF(H1072=1,IF(H1070=H$2,H1070,""),"")</f>
        <v/>
      </c>
      <c r="G1071" s="26"/>
      <c r="H1071" s="21" t="str">
        <f t="shared" ref="H1071" si="358">IF(E$1122="comprobar",COUNTIF(D1070:D1074,"x"),"")</f>
        <v/>
      </c>
      <c r="I1071" s="4"/>
      <c r="J1071" s="4"/>
      <c r="K1071" s="4"/>
      <c r="L1071" s="4"/>
      <c r="M1071" s="4"/>
      <c r="N1071" s="4"/>
      <c r="O1071" s="4"/>
      <c r="P1071" s="4"/>
      <c r="Q1071" s="4"/>
      <c r="R1071" s="4"/>
      <c r="S1071" s="4"/>
      <c r="T1071" s="4"/>
      <c r="U1071" s="4"/>
      <c r="V1071" s="4"/>
      <c r="W1071" s="4"/>
      <c r="X1071" s="4"/>
      <c r="Y1071" s="4"/>
      <c r="Z1071" s="4"/>
      <c r="AA1071" s="4"/>
      <c r="AB1071" s="4"/>
      <c r="AC1071" s="4"/>
      <c r="AD1071" s="4"/>
      <c r="AE1071" s="4"/>
      <c r="AF1071" s="4"/>
      <c r="AG1071" s="4"/>
    </row>
    <row r="1072" spans="1:33" ht="32" x14ac:dyDescent="0.2">
      <c r="B1072" s="48"/>
      <c r="C1072" s="61" t="s">
        <v>721</v>
      </c>
      <c r="D1072" s="44"/>
      <c r="E1072" s="86" t="s">
        <v>1036</v>
      </c>
      <c r="F1072" s="23" t="str">
        <f t="shared" ref="F1072" si="359">IF(H1072=-0.33,IF(H1070=H$1,H1070,""),"")</f>
        <v/>
      </c>
      <c r="G1072" s="26"/>
      <c r="H1072" s="24">
        <f t="shared" ref="H1072" si="360">IF(H1071=1,IF(H1070=H$2,1,-0.33),0)</f>
        <v>0</v>
      </c>
      <c r="I1072" s="4"/>
      <c r="J1072" s="4"/>
      <c r="K1072" s="4"/>
      <c r="L1072" s="4"/>
      <c r="M1072" s="4"/>
      <c r="N1072" s="4"/>
      <c r="O1072" s="4"/>
      <c r="P1072" s="4"/>
      <c r="Q1072" s="4"/>
      <c r="R1072" s="4"/>
      <c r="S1072" s="4"/>
      <c r="T1072" s="4"/>
      <c r="U1072" s="4"/>
      <c r="V1072" s="4"/>
      <c r="W1072" s="4"/>
      <c r="X1072" s="4"/>
      <c r="Y1072" s="4"/>
      <c r="Z1072" s="4"/>
      <c r="AA1072" s="4"/>
      <c r="AB1072" s="4"/>
      <c r="AC1072" s="4"/>
      <c r="AD1072" s="4"/>
      <c r="AE1072" s="4"/>
      <c r="AF1072" s="4"/>
      <c r="AG1072" s="4"/>
    </row>
    <row r="1073" spans="1:33" x14ac:dyDescent="0.2">
      <c r="B1073" s="48"/>
      <c r="C1073" s="57" t="s">
        <v>622</v>
      </c>
      <c r="D1073" s="44"/>
      <c r="E1073" s="86" t="s">
        <v>1037</v>
      </c>
      <c r="F1073" s="28"/>
      <c r="G1073" s="26"/>
      <c r="H1073" s="24"/>
      <c r="I1073" s="4"/>
      <c r="J1073" s="4"/>
      <c r="K1073" s="4"/>
      <c r="L1073" s="4"/>
      <c r="M1073" s="4"/>
      <c r="N1073" s="4"/>
      <c r="O1073" s="4"/>
      <c r="P1073" s="4"/>
      <c r="Q1073" s="4"/>
      <c r="R1073" s="4"/>
      <c r="S1073" s="4"/>
      <c r="T1073" s="4"/>
      <c r="U1073" s="4"/>
      <c r="V1073" s="4"/>
      <c r="W1073" s="4"/>
      <c r="X1073" s="4"/>
      <c r="Y1073" s="4"/>
      <c r="Z1073" s="4"/>
      <c r="AA1073" s="4"/>
      <c r="AB1073" s="4"/>
      <c r="AC1073" s="4"/>
      <c r="AD1073" s="4"/>
      <c r="AE1073" s="4"/>
      <c r="AF1073" s="4"/>
      <c r="AG1073" s="4"/>
    </row>
    <row r="1074" spans="1:33" x14ac:dyDescent="0.2">
      <c r="B1074" s="48"/>
      <c r="C1074" s="8"/>
      <c r="D1074" s="44"/>
      <c r="E1074" s="86" t="s">
        <v>1038</v>
      </c>
      <c r="F1074" s="20"/>
      <c r="G1074" s="19"/>
      <c r="H1074" s="24"/>
      <c r="I1074" s="4"/>
      <c r="J1074" s="4"/>
      <c r="K1074" s="4"/>
      <c r="L1074" s="4"/>
      <c r="M1074" s="4"/>
      <c r="N1074" s="4"/>
      <c r="O1074" s="4"/>
      <c r="P1074" s="4"/>
      <c r="Q1074" s="4"/>
      <c r="R1074" s="4"/>
      <c r="S1074" s="4"/>
      <c r="T1074" s="4"/>
      <c r="U1074" s="4"/>
      <c r="V1074" s="4"/>
      <c r="W1074" s="4"/>
      <c r="X1074" s="4"/>
      <c r="Y1074" s="4"/>
      <c r="Z1074" s="4"/>
      <c r="AA1074" s="4"/>
      <c r="AB1074" s="4"/>
      <c r="AC1074" s="4"/>
      <c r="AD1074" s="4"/>
      <c r="AE1074" s="4"/>
      <c r="AF1074" s="4"/>
      <c r="AG1074" s="4"/>
    </row>
    <row r="1075" spans="1:33" s="17" customFormat="1" x14ac:dyDescent="0.2">
      <c r="A1075" s="4"/>
      <c r="B1075" s="49" t="s">
        <v>722</v>
      </c>
      <c r="C1075" s="13"/>
      <c r="D1075" s="45"/>
      <c r="E1075" s="85"/>
      <c r="F1075" s="30"/>
      <c r="G1075" s="29"/>
      <c r="H1075" s="15"/>
    </row>
    <row r="1076" spans="1:33" x14ac:dyDescent="0.2">
      <c r="B1076" s="52"/>
      <c r="C1076" s="56" t="s">
        <v>723</v>
      </c>
      <c r="D1076" s="44"/>
      <c r="E1076" s="86" t="s">
        <v>1034</v>
      </c>
      <c r="F1076" s="28"/>
      <c r="G1076" s="26"/>
      <c r="H1076" s="21" t="b">
        <f>IF(D1076="x",H$2,H$1)</f>
        <v>0</v>
      </c>
      <c r="I1076" s="4"/>
      <c r="J1076" s="4"/>
      <c r="K1076" s="4"/>
      <c r="L1076" s="4"/>
      <c r="M1076" s="4"/>
      <c r="N1076" s="4"/>
      <c r="O1076" s="4"/>
      <c r="P1076" s="4"/>
      <c r="Q1076" s="4"/>
      <c r="R1076" s="4"/>
      <c r="S1076" s="4"/>
      <c r="T1076" s="4"/>
      <c r="U1076" s="4"/>
      <c r="V1076" s="4"/>
      <c r="W1076" s="4"/>
      <c r="X1076" s="4"/>
      <c r="Y1076" s="4"/>
      <c r="Z1076" s="4"/>
      <c r="AA1076" s="4"/>
      <c r="AB1076" s="4"/>
      <c r="AC1076" s="4"/>
      <c r="AD1076" s="4"/>
      <c r="AE1076" s="4"/>
      <c r="AF1076" s="4"/>
      <c r="AG1076" s="4"/>
    </row>
    <row r="1077" spans="1:33" x14ac:dyDescent="0.2">
      <c r="B1077" s="48"/>
      <c r="C1077" s="57" t="s">
        <v>724</v>
      </c>
      <c r="D1077" s="44"/>
      <c r="E1077" s="86" t="s">
        <v>1035</v>
      </c>
      <c r="F1077" s="22" t="str">
        <f t="shared" ref="F1077" si="361">IF(H1078=1,IF(H1076=H$2,H1076,""),"")</f>
        <v/>
      </c>
      <c r="G1077" s="26"/>
      <c r="H1077" s="21" t="str">
        <f t="shared" ref="H1077" si="362">IF(E$1122="comprobar",COUNTIF(D1076:D1080,"x"),"")</f>
        <v/>
      </c>
      <c r="I1077" s="4"/>
      <c r="J1077" s="4"/>
      <c r="K1077" s="4"/>
      <c r="L1077" s="4"/>
      <c r="M1077" s="4"/>
      <c r="N1077" s="4"/>
      <c r="O1077" s="4"/>
      <c r="P1077" s="4"/>
      <c r="Q1077" s="4"/>
      <c r="R1077" s="4"/>
      <c r="S1077" s="4"/>
      <c r="T1077" s="4"/>
      <c r="U1077" s="4"/>
      <c r="V1077" s="4"/>
      <c r="W1077" s="4"/>
      <c r="X1077" s="4"/>
      <c r="Y1077" s="4"/>
      <c r="Z1077" s="4"/>
      <c r="AA1077" s="4"/>
      <c r="AB1077" s="4"/>
      <c r="AC1077" s="4"/>
      <c r="AD1077" s="4"/>
      <c r="AE1077" s="4"/>
      <c r="AF1077" s="4"/>
      <c r="AG1077" s="4"/>
    </row>
    <row r="1078" spans="1:33" x14ac:dyDescent="0.2">
      <c r="B1078" s="48"/>
      <c r="C1078" s="57" t="s">
        <v>725</v>
      </c>
      <c r="D1078" s="44"/>
      <c r="E1078" s="86" t="s">
        <v>1036</v>
      </c>
      <c r="F1078" s="23" t="str">
        <f t="shared" ref="F1078" si="363">IF(H1078=-0.33,IF(H1076=H$1,H1076,""),"")</f>
        <v/>
      </c>
      <c r="G1078" s="26"/>
      <c r="H1078" s="24">
        <f t="shared" ref="H1078" si="364">IF(H1077=1,IF(H1076=H$2,1,-0.33),0)</f>
        <v>0</v>
      </c>
      <c r="I1078" s="4"/>
      <c r="J1078" s="4"/>
      <c r="K1078" s="4"/>
      <c r="L1078" s="4"/>
      <c r="M1078" s="4"/>
      <c r="N1078" s="4"/>
      <c r="O1078" s="4"/>
      <c r="P1078" s="4"/>
      <c r="Q1078" s="4"/>
      <c r="R1078" s="4"/>
      <c r="S1078" s="4"/>
      <c r="T1078" s="4"/>
      <c r="U1078" s="4"/>
      <c r="V1078" s="4"/>
      <c r="W1078" s="4"/>
      <c r="X1078" s="4"/>
      <c r="Y1078" s="4"/>
      <c r="Z1078" s="4"/>
      <c r="AA1078" s="4"/>
      <c r="AB1078" s="4"/>
      <c r="AC1078" s="4"/>
      <c r="AD1078" s="4"/>
      <c r="AE1078" s="4"/>
      <c r="AF1078" s="4"/>
      <c r="AG1078" s="4"/>
    </row>
    <row r="1079" spans="1:33" x14ac:dyDescent="0.2">
      <c r="B1079" s="48"/>
      <c r="C1079" s="57" t="s">
        <v>726</v>
      </c>
      <c r="D1079" s="44"/>
      <c r="E1079" s="86" t="s">
        <v>1037</v>
      </c>
      <c r="F1079" s="28"/>
      <c r="G1079" s="26"/>
      <c r="H1079" s="24"/>
      <c r="I1079" s="4"/>
      <c r="J1079" s="4"/>
      <c r="K1079" s="4"/>
      <c r="L1079" s="4"/>
      <c r="M1079" s="4"/>
      <c r="N1079" s="4"/>
      <c r="O1079" s="4"/>
      <c r="P1079" s="4"/>
      <c r="Q1079" s="4"/>
      <c r="R1079" s="4"/>
      <c r="S1079" s="4"/>
      <c r="T1079" s="4"/>
      <c r="U1079" s="4"/>
      <c r="V1079" s="4"/>
      <c r="W1079" s="4"/>
      <c r="X1079" s="4"/>
      <c r="Y1079" s="4"/>
      <c r="Z1079" s="4"/>
      <c r="AA1079" s="4"/>
      <c r="AB1079" s="4"/>
      <c r="AC1079" s="4"/>
      <c r="AD1079" s="4"/>
      <c r="AE1079" s="4"/>
      <c r="AF1079" s="4"/>
      <c r="AG1079" s="4"/>
    </row>
    <row r="1080" spans="1:33" x14ac:dyDescent="0.2">
      <c r="B1080" s="48"/>
      <c r="C1080" s="8"/>
      <c r="D1080" s="44"/>
      <c r="E1080" s="86" t="s">
        <v>1038</v>
      </c>
      <c r="F1080" s="20"/>
      <c r="G1080" s="19"/>
      <c r="H1080" s="24"/>
      <c r="I1080" s="4"/>
      <c r="J1080" s="4"/>
      <c r="K1080" s="4"/>
      <c r="L1080" s="4"/>
      <c r="M1080" s="4"/>
      <c r="N1080" s="4"/>
      <c r="O1080" s="4"/>
      <c r="P1080" s="4"/>
      <c r="Q1080" s="4"/>
      <c r="R1080" s="4"/>
      <c r="S1080" s="4"/>
      <c r="T1080" s="4"/>
      <c r="U1080" s="4"/>
      <c r="V1080" s="4"/>
      <c r="W1080" s="4"/>
      <c r="X1080" s="4"/>
      <c r="Y1080" s="4"/>
      <c r="Z1080" s="4"/>
      <c r="AA1080" s="4"/>
      <c r="AB1080" s="4"/>
      <c r="AC1080" s="4"/>
      <c r="AD1080" s="4"/>
      <c r="AE1080" s="4"/>
      <c r="AF1080" s="4"/>
      <c r="AG1080" s="4"/>
    </row>
    <row r="1081" spans="1:33" s="17" customFormat="1" x14ac:dyDescent="0.2">
      <c r="A1081" s="4"/>
      <c r="B1081" s="49" t="s">
        <v>727</v>
      </c>
      <c r="C1081" s="13"/>
      <c r="D1081" s="45"/>
      <c r="E1081" s="85"/>
      <c r="F1081" s="30"/>
      <c r="G1081" s="29"/>
      <c r="H1081" s="15"/>
    </row>
    <row r="1082" spans="1:33" x14ac:dyDescent="0.2">
      <c r="B1082" s="52"/>
      <c r="C1082" s="56" t="s">
        <v>728</v>
      </c>
      <c r="D1082" s="44"/>
      <c r="E1082" s="86" t="s">
        <v>1034</v>
      </c>
      <c r="F1082" s="28"/>
      <c r="G1082" s="26"/>
      <c r="H1082" s="21" t="b">
        <f>IF(D1083="x",H$2,H$1)</f>
        <v>0</v>
      </c>
      <c r="I1082" s="4"/>
      <c r="J1082" s="4"/>
      <c r="K1082" s="4"/>
      <c r="L1082" s="4"/>
      <c r="M1082" s="4"/>
      <c r="N1082" s="4"/>
      <c r="O1082" s="4"/>
      <c r="P1082" s="4"/>
      <c r="Q1082" s="4"/>
      <c r="R1082" s="4"/>
      <c r="S1082" s="4"/>
      <c r="T1082" s="4"/>
      <c r="U1082" s="4"/>
      <c r="V1082" s="4"/>
      <c r="W1082" s="4"/>
      <c r="X1082" s="4"/>
      <c r="Y1082" s="4"/>
      <c r="Z1082" s="4"/>
      <c r="AA1082" s="4"/>
      <c r="AB1082" s="4"/>
      <c r="AC1082" s="4"/>
      <c r="AD1082" s="4"/>
      <c r="AE1082" s="4"/>
      <c r="AF1082" s="4"/>
      <c r="AG1082" s="4"/>
    </row>
    <row r="1083" spans="1:33" x14ac:dyDescent="0.2">
      <c r="B1083" s="48"/>
      <c r="C1083" s="57" t="s">
        <v>729</v>
      </c>
      <c r="D1083" s="44"/>
      <c r="E1083" s="86" t="s">
        <v>1035</v>
      </c>
      <c r="F1083" s="22" t="str">
        <f t="shared" ref="F1083" si="365">IF(H1084=1,IF(H1082=H$2,H1082,""),"")</f>
        <v/>
      </c>
      <c r="G1083" s="26"/>
      <c r="H1083" s="21" t="str">
        <f t="shared" ref="H1083" si="366">IF(E$1122="comprobar",COUNTIF(D1082:D1086,"x"),"")</f>
        <v/>
      </c>
      <c r="I1083" s="4"/>
      <c r="J1083" s="4"/>
      <c r="K1083" s="4"/>
      <c r="L1083" s="4"/>
      <c r="M1083" s="4"/>
      <c r="N1083" s="4"/>
      <c r="O1083" s="4"/>
      <c r="P1083" s="4"/>
      <c r="Q1083" s="4"/>
      <c r="R1083" s="4"/>
      <c r="S1083" s="4"/>
      <c r="T1083" s="4"/>
      <c r="U1083" s="4"/>
      <c r="V1083" s="4"/>
      <c r="W1083" s="4"/>
      <c r="X1083" s="4"/>
      <c r="Y1083" s="4"/>
      <c r="Z1083" s="4"/>
      <c r="AA1083" s="4"/>
      <c r="AB1083" s="4"/>
      <c r="AC1083" s="4"/>
      <c r="AD1083" s="4"/>
      <c r="AE1083" s="4"/>
      <c r="AF1083" s="4"/>
      <c r="AG1083" s="4"/>
    </row>
    <row r="1084" spans="1:33" x14ac:dyDescent="0.2">
      <c r="B1084" s="48"/>
      <c r="C1084" s="57" t="s">
        <v>730</v>
      </c>
      <c r="D1084" s="44"/>
      <c r="E1084" s="86" t="s">
        <v>1036</v>
      </c>
      <c r="F1084" s="23" t="str">
        <f t="shared" ref="F1084" si="367">IF(H1084=-0.33,IF(H1082=H$1,H1082,""),"")</f>
        <v/>
      </c>
      <c r="G1084" s="26"/>
      <c r="H1084" s="24">
        <f t="shared" ref="H1084" si="368">IF(H1083=1,IF(H1082=H$2,1,-0.33),0)</f>
        <v>0</v>
      </c>
      <c r="I1084" s="4"/>
      <c r="J1084" s="4"/>
      <c r="K1084" s="4"/>
      <c r="L1084" s="4"/>
      <c r="M1084" s="4"/>
      <c r="N1084" s="4"/>
      <c r="O1084" s="4"/>
      <c r="P1084" s="4"/>
      <c r="Q1084" s="4"/>
      <c r="R1084" s="4"/>
      <c r="S1084" s="4"/>
      <c r="T1084" s="4"/>
      <c r="U1084" s="4"/>
      <c r="V1084" s="4"/>
      <c r="W1084" s="4"/>
      <c r="X1084" s="4"/>
      <c r="Y1084" s="4"/>
      <c r="Z1084" s="4"/>
      <c r="AA1084" s="4"/>
      <c r="AB1084" s="4"/>
      <c r="AC1084" s="4"/>
      <c r="AD1084" s="4"/>
      <c r="AE1084" s="4"/>
      <c r="AF1084" s="4"/>
      <c r="AG1084" s="4"/>
    </row>
    <row r="1085" spans="1:33" x14ac:dyDescent="0.2">
      <c r="B1085" s="48"/>
      <c r="C1085" s="57" t="s">
        <v>731</v>
      </c>
      <c r="D1085" s="44"/>
      <c r="E1085" s="86" t="s">
        <v>1037</v>
      </c>
      <c r="F1085" s="28"/>
      <c r="G1085" s="26"/>
      <c r="H1085" s="24"/>
      <c r="I1085" s="4"/>
      <c r="J1085" s="4"/>
      <c r="K1085" s="4"/>
      <c r="L1085" s="4"/>
      <c r="M1085" s="4"/>
      <c r="N1085" s="4"/>
      <c r="O1085" s="4"/>
      <c r="P1085" s="4"/>
      <c r="Q1085" s="4"/>
      <c r="R1085" s="4"/>
      <c r="S1085" s="4"/>
      <c r="T1085" s="4"/>
      <c r="U1085" s="4"/>
      <c r="V1085" s="4"/>
      <c r="W1085" s="4"/>
      <c r="X1085" s="4"/>
      <c r="Y1085" s="4"/>
      <c r="Z1085" s="4"/>
      <c r="AA1085" s="4"/>
      <c r="AB1085" s="4"/>
      <c r="AC1085" s="4"/>
      <c r="AD1085" s="4"/>
      <c r="AE1085" s="4"/>
      <c r="AF1085" s="4"/>
      <c r="AG1085" s="4"/>
    </row>
    <row r="1086" spans="1:33" x14ac:dyDescent="0.2">
      <c r="B1086" s="48"/>
      <c r="C1086" s="8"/>
      <c r="D1086" s="44"/>
      <c r="E1086" s="86" t="s">
        <v>1038</v>
      </c>
      <c r="F1086" s="20"/>
      <c r="G1086" s="19"/>
      <c r="H1086" s="24"/>
      <c r="I1086" s="4"/>
      <c r="J1086" s="4"/>
      <c r="K1086" s="4"/>
      <c r="L1086" s="4"/>
      <c r="M1086" s="4"/>
      <c r="N1086" s="4"/>
      <c r="O1086" s="4"/>
      <c r="P1086" s="4"/>
      <c r="Q1086" s="4"/>
      <c r="R1086" s="4"/>
      <c r="S1086" s="4"/>
      <c r="T1086" s="4"/>
      <c r="U1086" s="4"/>
      <c r="V1086" s="4"/>
      <c r="W1086" s="4"/>
      <c r="X1086" s="4"/>
      <c r="Y1086" s="4"/>
      <c r="Z1086" s="4"/>
      <c r="AA1086" s="4"/>
      <c r="AB1086" s="4"/>
      <c r="AC1086" s="4"/>
      <c r="AD1086" s="4"/>
      <c r="AE1086" s="4"/>
      <c r="AF1086" s="4"/>
      <c r="AG1086" s="4"/>
    </row>
    <row r="1087" spans="1:33" s="17" customFormat="1" x14ac:dyDescent="0.2">
      <c r="A1087" s="4"/>
      <c r="B1087" s="49" t="s">
        <v>732</v>
      </c>
      <c r="C1087" s="13"/>
      <c r="D1087" s="45"/>
      <c r="E1087" s="85"/>
      <c r="F1087" s="30"/>
      <c r="G1087" s="29"/>
      <c r="H1087" s="15"/>
    </row>
    <row r="1088" spans="1:33" ht="32" x14ac:dyDescent="0.2">
      <c r="B1088" s="52"/>
      <c r="C1088" s="60" t="s">
        <v>733</v>
      </c>
      <c r="D1088" s="44"/>
      <c r="E1088" s="86" t="s">
        <v>1034</v>
      </c>
      <c r="F1088" s="28"/>
      <c r="G1088" s="26"/>
      <c r="H1088" s="21" t="b">
        <f>IF(D1088="x",H$2,H$1)</f>
        <v>0</v>
      </c>
      <c r="I1088" s="4"/>
      <c r="J1088" s="4"/>
      <c r="K1088" s="4"/>
      <c r="L1088" s="4"/>
      <c r="M1088" s="4"/>
      <c r="N1088" s="4"/>
      <c r="O1088" s="4"/>
      <c r="P1088" s="4"/>
      <c r="Q1088" s="4"/>
      <c r="R1088" s="4"/>
      <c r="S1088" s="4"/>
      <c r="T1088" s="4"/>
      <c r="U1088" s="4"/>
      <c r="V1088" s="4"/>
      <c r="W1088" s="4"/>
      <c r="X1088" s="4"/>
      <c r="Y1088" s="4"/>
      <c r="Z1088" s="4"/>
      <c r="AA1088" s="4"/>
      <c r="AB1088" s="4"/>
      <c r="AC1088" s="4"/>
      <c r="AD1088" s="4"/>
      <c r="AE1088" s="4"/>
      <c r="AF1088" s="4"/>
      <c r="AG1088" s="4"/>
    </row>
    <row r="1089" spans="1:33" x14ac:dyDescent="0.2">
      <c r="B1089" s="48"/>
      <c r="C1089" s="61" t="s">
        <v>734</v>
      </c>
      <c r="D1089" s="44"/>
      <c r="E1089" s="86" t="s">
        <v>1035</v>
      </c>
      <c r="F1089" s="22" t="str">
        <f t="shared" ref="F1089" si="369">IF(H1090=1,IF(H1088=H$2,H1088,""),"")</f>
        <v/>
      </c>
      <c r="G1089" s="26"/>
      <c r="H1089" s="21" t="str">
        <f t="shared" ref="H1089" si="370">IF(E$1122="comprobar",COUNTIF(D1088:D1092,"x"),"")</f>
        <v/>
      </c>
      <c r="I1089" s="4"/>
      <c r="J1089" s="4"/>
      <c r="K1089" s="4"/>
      <c r="L1089" s="4"/>
      <c r="M1089" s="4"/>
      <c r="N1089" s="4"/>
      <c r="O1089" s="4"/>
      <c r="P1089" s="4"/>
      <c r="Q1089" s="4"/>
      <c r="R1089" s="4"/>
      <c r="S1089" s="4"/>
      <c r="T1089" s="4"/>
      <c r="U1089" s="4"/>
      <c r="V1089" s="4"/>
      <c r="W1089" s="4"/>
      <c r="X1089" s="4"/>
      <c r="Y1089" s="4"/>
      <c r="Z1089" s="4"/>
      <c r="AA1089" s="4"/>
      <c r="AB1089" s="4"/>
      <c r="AC1089" s="4"/>
      <c r="AD1089" s="4"/>
      <c r="AE1089" s="4"/>
      <c r="AF1089" s="4"/>
      <c r="AG1089" s="4"/>
    </row>
    <row r="1090" spans="1:33" ht="32" x14ac:dyDescent="0.2">
      <c r="B1090" s="48"/>
      <c r="C1090" s="61" t="s">
        <v>735</v>
      </c>
      <c r="D1090" s="44"/>
      <c r="E1090" s="86" t="s">
        <v>1036</v>
      </c>
      <c r="F1090" s="23" t="str">
        <f t="shared" ref="F1090" si="371">IF(H1090=-0.33,IF(H1088=H$1,H1088,""),"")</f>
        <v/>
      </c>
      <c r="G1090" s="26"/>
      <c r="H1090" s="24">
        <f t="shared" ref="H1090" si="372">IF(H1089=1,IF(H1088=H$2,1,-0.33),0)</f>
        <v>0</v>
      </c>
      <c r="I1090" s="4"/>
      <c r="J1090" s="4"/>
      <c r="K1090" s="4"/>
      <c r="L1090" s="4"/>
      <c r="M1090" s="4"/>
      <c r="N1090" s="4"/>
      <c r="O1090" s="4"/>
      <c r="P1090" s="4"/>
      <c r="Q1090" s="4"/>
      <c r="R1090" s="4"/>
      <c r="S1090" s="4"/>
      <c r="T1090" s="4"/>
      <c r="U1090" s="4"/>
      <c r="V1090" s="4"/>
      <c r="W1090" s="4"/>
      <c r="X1090" s="4"/>
      <c r="Y1090" s="4"/>
      <c r="Z1090" s="4"/>
      <c r="AA1090" s="4"/>
      <c r="AB1090" s="4"/>
      <c r="AC1090" s="4"/>
      <c r="AD1090" s="4"/>
      <c r="AE1090" s="4"/>
      <c r="AF1090" s="4"/>
      <c r="AG1090" s="4"/>
    </row>
    <row r="1091" spans="1:33" x14ac:dyDescent="0.2">
      <c r="B1091" s="48"/>
      <c r="C1091" s="57" t="s">
        <v>622</v>
      </c>
      <c r="D1091" s="44"/>
      <c r="E1091" s="86" t="s">
        <v>1037</v>
      </c>
      <c r="F1091" s="28"/>
      <c r="G1091" s="26"/>
      <c r="H1091" s="24"/>
      <c r="I1091" s="4"/>
      <c r="J1091" s="4"/>
      <c r="K1091" s="4"/>
      <c r="L1091" s="4"/>
      <c r="M1091" s="4"/>
      <c r="N1091" s="4"/>
      <c r="O1091" s="4"/>
      <c r="P1091" s="4"/>
      <c r="Q1091" s="4"/>
      <c r="R1091" s="4"/>
      <c r="S1091" s="4"/>
      <c r="T1091" s="4"/>
      <c r="U1091" s="4"/>
      <c r="V1091" s="4"/>
      <c r="W1091" s="4"/>
      <c r="X1091" s="4"/>
      <c r="Y1091" s="4"/>
      <c r="Z1091" s="4"/>
      <c r="AA1091" s="4"/>
      <c r="AB1091" s="4"/>
      <c r="AC1091" s="4"/>
      <c r="AD1091" s="4"/>
      <c r="AE1091" s="4"/>
      <c r="AF1091" s="4"/>
      <c r="AG1091" s="4"/>
    </row>
    <row r="1092" spans="1:33" x14ac:dyDescent="0.2">
      <c r="B1092" s="48"/>
      <c r="C1092" s="8"/>
      <c r="D1092" s="44"/>
      <c r="E1092" s="86" t="s">
        <v>1038</v>
      </c>
      <c r="F1092" s="20"/>
      <c r="G1092" s="19"/>
      <c r="H1092" s="24"/>
      <c r="I1092" s="4"/>
      <c r="J1092" s="4"/>
      <c r="K1092" s="4"/>
      <c r="L1092" s="4"/>
      <c r="M1092" s="4"/>
      <c r="N1092" s="4"/>
      <c r="O1092" s="4"/>
      <c r="P1092" s="4"/>
      <c r="Q1092" s="4"/>
      <c r="R1092" s="4"/>
      <c r="S1092" s="4"/>
      <c r="T1092" s="4"/>
      <c r="U1092" s="4"/>
      <c r="V1092" s="4"/>
      <c r="W1092" s="4"/>
      <c r="X1092" s="4"/>
      <c r="Y1092" s="4"/>
      <c r="Z1092" s="4"/>
      <c r="AA1092" s="4"/>
      <c r="AB1092" s="4"/>
      <c r="AC1092" s="4"/>
      <c r="AD1092" s="4"/>
      <c r="AE1092" s="4"/>
      <c r="AF1092" s="4"/>
      <c r="AG1092" s="4"/>
    </row>
    <row r="1093" spans="1:33" s="17" customFormat="1" x14ac:dyDescent="0.2">
      <c r="A1093" s="4"/>
      <c r="B1093" s="49" t="s">
        <v>736</v>
      </c>
      <c r="C1093" s="13"/>
      <c r="D1093" s="45"/>
      <c r="E1093" s="85"/>
      <c r="F1093" s="30"/>
      <c r="G1093" s="29"/>
      <c r="H1093" s="15"/>
    </row>
    <row r="1094" spans="1:33" x14ac:dyDescent="0.2">
      <c r="B1094" s="52"/>
      <c r="C1094" s="56" t="s">
        <v>737</v>
      </c>
      <c r="D1094" s="44"/>
      <c r="E1094" s="86" t="s">
        <v>1034</v>
      </c>
      <c r="F1094" s="28"/>
      <c r="G1094" s="26"/>
      <c r="H1094" s="21" t="b">
        <f>IF(D1097="x",H$2,H$1)</f>
        <v>0</v>
      </c>
      <c r="I1094" s="4"/>
      <c r="J1094" s="4"/>
      <c r="K1094" s="4"/>
      <c r="L1094" s="4"/>
      <c r="M1094" s="4"/>
      <c r="N1094" s="4"/>
      <c r="O1094" s="4"/>
      <c r="P1094" s="4"/>
      <c r="Q1094" s="4"/>
      <c r="R1094" s="4"/>
      <c r="S1094" s="4"/>
      <c r="T1094" s="4"/>
      <c r="U1094" s="4"/>
      <c r="V1094" s="4"/>
      <c r="W1094" s="4"/>
      <c r="X1094" s="4"/>
      <c r="Y1094" s="4"/>
      <c r="Z1094" s="4"/>
      <c r="AA1094" s="4"/>
      <c r="AB1094" s="4"/>
      <c r="AC1094" s="4"/>
      <c r="AD1094" s="4"/>
      <c r="AE1094" s="4"/>
      <c r="AF1094" s="4"/>
      <c r="AG1094" s="4"/>
    </row>
    <row r="1095" spans="1:33" x14ac:dyDescent="0.2">
      <c r="B1095" s="48"/>
      <c r="C1095" s="57" t="s">
        <v>738</v>
      </c>
      <c r="D1095" s="44"/>
      <c r="E1095" s="86" t="s">
        <v>1035</v>
      </c>
      <c r="F1095" s="22" t="str">
        <f t="shared" ref="F1095" si="373">IF(H1096=1,IF(H1094=H$2,H1094,""),"")</f>
        <v/>
      </c>
      <c r="G1095" s="26"/>
      <c r="H1095" s="21" t="str">
        <f t="shared" ref="H1095" si="374">IF(E$1122="comprobar",COUNTIF(D1094:D1098,"x"),"")</f>
        <v/>
      </c>
      <c r="I1095" s="4"/>
      <c r="J1095" s="4"/>
      <c r="K1095" s="4"/>
      <c r="L1095" s="4"/>
      <c r="M1095" s="4"/>
      <c r="N1095" s="4"/>
      <c r="O1095" s="4"/>
      <c r="P1095" s="4"/>
      <c r="Q1095" s="4"/>
      <c r="R1095" s="4"/>
      <c r="S1095" s="4"/>
      <c r="T1095" s="4"/>
      <c r="U1095" s="4"/>
      <c r="V1095" s="4"/>
      <c r="W1095" s="4"/>
      <c r="X1095" s="4"/>
      <c r="Y1095" s="4"/>
      <c r="Z1095" s="4"/>
      <c r="AA1095" s="4"/>
      <c r="AB1095" s="4"/>
      <c r="AC1095" s="4"/>
      <c r="AD1095" s="4"/>
      <c r="AE1095" s="4"/>
      <c r="AF1095" s="4"/>
      <c r="AG1095" s="4"/>
    </row>
    <row r="1096" spans="1:33" x14ac:dyDescent="0.2">
      <c r="B1096" s="48"/>
      <c r="C1096" s="57" t="s">
        <v>739</v>
      </c>
      <c r="D1096" s="44"/>
      <c r="E1096" s="86" t="s">
        <v>1036</v>
      </c>
      <c r="F1096" s="23" t="str">
        <f t="shared" ref="F1096" si="375">IF(H1096=-0.33,IF(H1094=H$1,H1094,""),"")</f>
        <v/>
      </c>
      <c r="G1096" s="26"/>
      <c r="H1096" s="24">
        <f t="shared" ref="H1096" si="376">IF(H1095=1,IF(H1094=H$2,1,-0.33),0)</f>
        <v>0</v>
      </c>
      <c r="I1096" s="4"/>
      <c r="J1096" s="4"/>
      <c r="K1096" s="4"/>
      <c r="L1096" s="4"/>
      <c r="M1096" s="4"/>
      <c r="N1096" s="4"/>
      <c r="O1096" s="4"/>
      <c r="P1096" s="4"/>
      <c r="Q1096" s="4"/>
      <c r="R1096" s="4"/>
      <c r="S1096" s="4"/>
      <c r="T1096" s="4"/>
      <c r="U1096" s="4"/>
      <c r="V1096" s="4"/>
      <c r="W1096" s="4"/>
      <c r="X1096" s="4"/>
      <c r="Y1096" s="4"/>
      <c r="Z1096" s="4"/>
      <c r="AA1096" s="4"/>
      <c r="AB1096" s="4"/>
      <c r="AC1096" s="4"/>
      <c r="AD1096" s="4"/>
      <c r="AE1096" s="4"/>
      <c r="AF1096" s="4"/>
      <c r="AG1096" s="4"/>
    </row>
    <row r="1097" spans="1:33" x14ac:dyDescent="0.2">
      <c r="B1097" s="48"/>
      <c r="C1097" s="57" t="s">
        <v>740</v>
      </c>
      <c r="D1097" s="44"/>
      <c r="E1097" s="86" t="s">
        <v>1037</v>
      </c>
      <c r="F1097" s="28"/>
      <c r="G1097" s="26"/>
      <c r="H1097" s="24"/>
      <c r="I1097" s="4"/>
      <c r="J1097" s="4"/>
      <c r="K1097" s="4"/>
      <c r="L1097" s="4"/>
      <c r="M1097" s="4"/>
      <c r="N1097" s="4"/>
      <c r="O1097" s="4"/>
      <c r="P1097" s="4"/>
      <c r="Q1097" s="4"/>
      <c r="R1097" s="4"/>
      <c r="S1097" s="4"/>
      <c r="T1097" s="4"/>
      <c r="U1097" s="4"/>
      <c r="V1097" s="4"/>
      <c r="W1097" s="4"/>
      <c r="X1097" s="4"/>
      <c r="Y1097" s="4"/>
      <c r="Z1097" s="4"/>
      <c r="AA1097" s="4"/>
      <c r="AB1097" s="4"/>
      <c r="AC1097" s="4"/>
      <c r="AD1097" s="4"/>
      <c r="AE1097" s="4"/>
      <c r="AF1097" s="4"/>
      <c r="AG1097" s="4"/>
    </row>
    <row r="1098" spans="1:33" x14ac:dyDescent="0.2">
      <c r="B1098" s="48"/>
      <c r="C1098" s="8"/>
      <c r="D1098" s="44"/>
      <c r="E1098" s="86" t="s">
        <v>1038</v>
      </c>
      <c r="F1098" s="20"/>
      <c r="G1098" s="19"/>
      <c r="H1098" s="24"/>
      <c r="I1098" s="4"/>
      <c r="J1098" s="4"/>
      <c r="K1098" s="4"/>
      <c r="L1098" s="4"/>
      <c r="M1098" s="4"/>
      <c r="N1098" s="4"/>
      <c r="O1098" s="4"/>
      <c r="P1098" s="4"/>
      <c r="Q1098" s="4"/>
      <c r="R1098" s="4"/>
      <c r="S1098" s="4"/>
      <c r="T1098" s="4"/>
      <c r="U1098" s="4"/>
      <c r="V1098" s="4"/>
      <c r="W1098" s="4"/>
      <c r="X1098" s="4"/>
      <c r="Y1098" s="4"/>
      <c r="Z1098" s="4"/>
      <c r="AA1098" s="4"/>
      <c r="AB1098" s="4"/>
      <c r="AC1098" s="4"/>
      <c r="AD1098" s="4"/>
      <c r="AE1098" s="4"/>
      <c r="AF1098" s="4"/>
      <c r="AG1098" s="4"/>
    </row>
    <row r="1099" spans="1:33" s="17" customFormat="1" x14ac:dyDescent="0.2">
      <c r="A1099" s="4"/>
      <c r="B1099" s="49" t="s">
        <v>741</v>
      </c>
      <c r="C1099" s="13"/>
      <c r="D1099" s="45"/>
      <c r="E1099" s="85"/>
      <c r="F1099" s="30"/>
      <c r="G1099" s="29"/>
      <c r="H1099" s="15"/>
    </row>
    <row r="1100" spans="1:33" x14ac:dyDescent="0.2">
      <c r="B1100" s="52"/>
      <c r="C1100" s="56" t="s">
        <v>742</v>
      </c>
      <c r="D1100" s="44"/>
      <c r="E1100" s="86" t="s">
        <v>1034</v>
      </c>
      <c r="F1100" s="28"/>
      <c r="G1100" s="26"/>
      <c r="H1100" s="21" t="b">
        <f>IF(D1103="x",H$2,H$1)</f>
        <v>0</v>
      </c>
      <c r="I1100" s="4"/>
      <c r="J1100" s="4"/>
      <c r="K1100" s="4"/>
      <c r="L1100" s="4"/>
      <c r="M1100" s="4"/>
      <c r="N1100" s="4"/>
      <c r="O1100" s="4"/>
      <c r="P1100" s="4"/>
      <c r="Q1100" s="4"/>
      <c r="R1100" s="4"/>
      <c r="S1100" s="4"/>
      <c r="T1100" s="4"/>
      <c r="U1100" s="4"/>
      <c r="V1100" s="4"/>
      <c r="W1100" s="4"/>
      <c r="X1100" s="4"/>
      <c r="Y1100" s="4"/>
      <c r="Z1100" s="4"/>
      <c r="AA1100" s="4"/>
      <c r="AB1100" s="4"/>
      <c r="AC1100" s="4"/>
      <c r="AD1100" s="4"/>
      <c r="AE1100" s="4"/>
      <c r="AF1100" s="4"/>
      <c r="AG1100" s="4"/>
    </row>
    <row r="1101" spans="1:33" x14ac:dyDescent="0.2">
      <c r="B1101" s="48"/>
      <c r="C1101" s="57" t="s">
        <v>743</v>
      </c>
      <c r="D1101" s="44"/>
      <c r="E1101" s="86" t="s">
        <v>1035</v>
      </c>
      <c r="F1101" s="22" t="str">
        <f t="shared" ref="F1101" si="377">IF(H1102=1,IF(H1100=H$2,H1100,""),"")</f>
        <v/>
      </c>
      <c r="G1101" s="26"/>
      <c r="H1101" s="21" t="str">
        <f t="shared" ref="H1101" si="378">IF(E$1122="comprobar",COUNTIF(D1100:D1104,"x"),"")</f>
        <v/>
      </c>
      <c r="I1101" s="4"/>
      <c r="J1101" s="4"/>
      <c r="K1101" s="4"/>
      <c r="L1101" s="4"/>
      <c r="M1101" s="4"/>
      <c r="N1101" s="4"/>
      <c r="O1101" s="4"/>
      <c r="P1101" s="4"/>
      <c r="Q1101" s="4"/>
      <c r="R1101" s="4"/>
      <c r="S1101" s="4"/>
      <c r="T1101" s="4"/>
      <c r="U1101" s="4"/>
      <c r="V1101" s="4"/>
      <c r="W1101" s="4"/>
      <c r="X1101" s="4"/>
      <c r="Y1101" s="4"/>
      <c r="Z1101" s="4"/>
      <c r="AA1101" s="4"/>
      <c r="AB1101" s="4"/>
      <c r="AC1101" s="4"/>
      <c r="AD1101" s="4"/>
      <c r="AE1101" s="4"/>
      <c r="AF1101" s="4"/>
      <c r="AG1101" s="4"/>
    </row>
    <row r="1102" spans="1:33" x14ac:dyDescent="0.2">
      <c r="B1102" s="48"/>
      <c r="C1102" s="57" t="s">
        <v>744</v>
      </c>
      <c r="D1102" s="44"/>
      <c r="E1102" s="86" t="s">
        <v>1036</v>
      </c>
      <c r="F1102" s="23" t="str">
        <f t="shared" ref="F1102" si="379">IF(H1102=-0.33,IF(H1100=H$1,H1100,""),"")</f>
        <v/>
      </c>
      <c r="G1102" s="26"/>
      <c r="H1102" s="24">
        <f t="shared" ref="H1102" si="380">IF(H1101=1,IF(H1100=H$2,1,-0.33),0)</f>
        <v>0</v>
      </c>
      <c r="I1102" s="4"/>
      <c r="J1102" s="4"/>
      <c r="K1102" s="4"/>
      <c r="L1102" s="4"/>
      <c r="M1102" s="4"/>
      <c r="N1102" s="4"/>
      <c r="O1102" s="4"/>
      <c r="P1102" s="4"/>
      <c r="Q1102" s="4"/>
      <c r="R1102" s="4"/>
      <c r="S1102" s="4"/>
      <c r="T1102" s="4"/>
      <c r="U1102" s="4"/>
      <c r="V1102" s="4"/>
      <c r="W1102" s="4"/>
      <c r="X1102" s="4"/>
      <c r="Y1102" s="4"/>
      <c r="Z1102" s="4"/>
      <c r="AA1102" s="4"/>
      <c r="AB1102" s="4"/>
      <c r="AC1102" s="4"/>
      <c r="AD1102" s="4"/>
      <c r="AE1102" s="4"/>
      <c r="AF1102" s="4"/>
      <c r="AG1102" s="4"/>
    </row>
    <row r="1103" spans="1:33" x14ac:dyDescent="0.2">
      <c r="B1103" s="48"/>
      <c r="C1103" s="57" t="s">
        <v>745</v>
      </c>
      <c r="D1103" s="44"/>
      <c r="E1103" s="86" t="s">
        <v>1037</v>
      </c>
      <c r="F1103" s="28"/>
      <c r="G1103" s="26"/>
      <c r="H1103" s="24"/>
      <c r="I1103" s="4"/>
      <c r="J1103" s="4"/>
      <c r="K1103" s="4"/>
      <c r="L1103" s="4"/>
      <c r="M1103" s="4"/>
      <c r="N1103" s="4"/>
      <c r="O1103" s="4"/>
      <c r="P1103" s="4"/>
      <c r="Q1103" s="4"/>
      <c r="R1103" s="4"/>
      <c r="S1103" s="4"/>
      <c r="T1103" s="4"/>
      <c r="U1103" s="4"/>
      <c r="V1103" s="4"/>
      <c r="W1103" s="4"/>
      <c r="X1103" s="4"/>
      <c r="Y1103" s="4"/>
      <c r="Z1103" s="4"/>
      <c r="AA1103" s="4"/>
      <c r="AB1103" s="4"/>
      <c r="AC1103" s="4"/>
      <c r="AD1103" s="4"/>
      <c r="AE1103" s="4"/>
      <c r="AF1103" s="4"/>
      <c r="AG1103" s="4"/>
    </row>
    <row r="1104" spans="1:33" x14ac:dyDescent="0.2">
      <c r="B1104" s="48"/>
      <c r="C1104" s="8"/>
      <c r="D1104" s="44"/>
      <c r="E1104" s="86" t="s">
        <v>1038</v>
      </c>
      <c r="F1104" s="20"/>
      <c r="G1104" s="19"/>
      <c r="H1104" s="24"/>
      <c r="I1104" s="4"/>
      <c r="J1104" s="4"/>
      <c r="K1104" s="4"/>
      <c r="L1104" s="4"/>
      <c r="M1104" s="4"/>
      <c r="N1104" s="4"/>
      <c r="O1104" s="4"/>
      <c r="P1104" s="4"/>
      <c r="Q1104" s="4"/>
      <c r="R1104" s="4"/>
      <c r="S1104" s="4"/>
      <c r="T1104" s="4"/>
      <c r="U1104" s="4"/>
      <c r="V1104" s="4"/>
      <c r="W1104" s="4"/>
      <c r="X1104" s="4"/>
      <c r="Y1104" s="4"/>
      <c r="Z1104" s="4"/>
      <c r="AA1104" s="4"/>
      <c r="AB1104" s="4"/>
      <c r="AC1104" s="4"/>
      <c r="AD1104" s="4"/>
      <c r="AE1104" s="4"/>
      <c r="AF1104" s="4"/>
      <c r="AG1104" s="4"/>
    </row>
    <row r="1105" spans="1:33" s="17" customFormat="1" x14ac:dyDescent="0.2">
      <c r="A1105" s="4"/>
      <c r="B1105" s="49" t="s">
        <v>746</v>
      </c>
      <c r="C1105" s="13"/>
      <c r="D1105" s="45"/>
      <c r="E1105" s="85"/>
      <c r="F1105" s="30"/>
      <c r="G1105" s="29"/>
      <c r="H1105" s="15"/>
    </row>
    <row r="1106" spans="1:33" x14ac:dyDescent="0.2">
      <c r="B1106" s="52"/>
      <c r="C1106" s="56" t="s">
        <v>747</v>
      </c>
      <c r="D1106" s="44"/>
      <c r="E1106" s="86" t="s">
        <v>1034</v>
      </c>
      <c r="F1106" s="28"/>
      <c r="G1106" s="26"/>
      <c r="H1106" s="21" t="b">
        <f>IF(D1108="x",H$2,H$1)</f>
        <v>0</v>
      </c>
      <c r="I1106" s="4"/>
      <c r="J1106" s="4"/>
      <c r="K1106" s="4"/>
      <c r="L1106" s="4"/>
      <c r="M1106" s="4"/>
      <c r="N1106" s="4"/>
      <c r="O1106" s="4"/>
      <c r="P1106" s="4"/>
      <c r="Q1106" s="4"/>
      <c r="R1106" s="4"/>
      <c r="S1106" s="4"/>
      <c r="T1106" s="4"/>
      <c r="U1106" s="4"/>
      <c r="V1106" s="4"/>
      <c r="W1106" s="4"/>
      <c r="X1106" s="4"/>
      <c r="Y1106" s="4"/>
      <c r="Z1106" s="4"/>
      <c r="AA1106" s="4"/>
      <c r="AB1106" s="4"/>
      <c r="AC1106" s="4"/>
      <c r="AD1106" s="4"/>
      <c r="AE1106" s="4"/>
      <c r="AF1106" s="4"/>
      <c r="AG1106" s="4"/>
    </row>
    <row r="1107" spans="1:33" x14ac:dyDescent="0.2">
      <c r="B1107" s="48"/>
      <c r="C1107" s="57" t="s">
        <v>748</v>
      </c>
      <c r="D1107" s="44"/>
      <c r="E1107" s="86" t="s">
        <v>1035</v>
      </c>
      <c r="F1107" s="22" t="str">
        <f t="shared" ref="F1107" si="381">IF(H1108=1,IF(H1106=H$2,H1106,""),"")</f>
        <v/>
      </c>
      <c r="G1107" s="26"/>
      <c r="H1107" s="21" t="str">
        <f t="shared" ref="H1107" si="382">IF(E$1122="comprobar",COUNTIF(D1106:D1110,"x"),"")</f>
        <v/>
      </c>
      <c r="I1107" s="4"/>
      <c r="J1107" s="4"/>
      <c r="K1107" s="4"/>
      <c r="L1107" s="4"/>
      <c r="M1107" s="4"/>
      <c r="N1107" s="4"/>
      <c r="O1107" s="4"/>
      <c r="P1107" s="4"/>
      <c r="Q1107" s="4"/>
      <c r="R1107" s="4"/>
      <c r="S1107" s="4"/>
      <c r="T1107" s="4"/>
      <c r="U1107" s="4"/>
      <c r="V1107" s="4"/>
      <c r="W1107" s="4"/>
      <c r="X1107" s="4"/>
      <c r="Y1107" s="4"/>
      <c r="Z1107" s="4"/>
      <c r="AA1107" s="4"/>
      <c r="AB1107" s="4"/>
      <c r="AC1107" s="4"/>
      <c r="AD1107" s="4"/>
      <c r="AE1107" s="4"/>
      <c r="AF1107" s="4"/>
      <c r="AG1107" s="4"/>
    </row>
    <row r="1108" spans="1:33" x14ac:dyDescent="0.2">
      <c r="B1108" s="48"/>
      <c r="C1108" s="57" t="s">
        <v>749</v>
      </c>
      <c r="D1108" s="44"/>
      <c r="E1108" s="86" t="s">
        <v>1036</v>
      </c>
      <c r="F1108" s="23" t="str">
        <f t="shared" ref="F1108" si="383">IF(H1108=-0.33,IF(H1106=H$1,H1106,""),"")</f>
        <v/>
      </c>
      <c r="G1108" s="26"/>
      <c r="H1108" s="24">
        <f t="shared" ref="H1108" si="384">IF(H1107=1,IF(H1106=H$2,1,-0.33),0)</f>
        <v>0</v>
      </c>
      <c r="I1108" s="4"/>
      <c r="J1108" s="4"/>
      <c r="K1108" s="4"/>
      <c r="L1108" s="4"/>
      <c r="M1108" s="4"/>
      <c r="N1108" s="4"/>
      <c r="O1108" s="4"/>
      <c r="P1108" s="4"/>
      <c r="Q1108" s="4"/>
      <c r="R1108" s="4"/>
      <c r="S1108" s="4"/>
      <c r="T1108" s="4"/>
      <c r="U1108" s="4"/>
      <c r="V1108" s="4"/>
      <c r="W1108" s="4"/>
      <c r="X1108" s="4"/>
      <c r="Y1108" s="4"/>
      <c r="Z1108" s="4"/>
      <c r="AA1108" s="4"/>
      <c r="AB1108" s="4"/>
      <c r="AC1108" s="4"/>
      <c r="AD1108" s="4"/>
      <c r="AE1108" s="4"/>
      <c r="AF1108" s="4"/>
      <c r="AG1108" s="4"/>
    </row>
    <row r="1109" spans="1:33" x14ac:dyDescent="0.2">
      <c r="B1109" s="48"/>
      <c r="C1109" s="57"/>
      <c r="D1109" s="44"/>
      <c r="E1109" s="86" t="s">
        <v>1037</v>
      </c>
      <c r="F1109" s="28"/>
      <c r="G1109" s="26"/>
      <c r="H1109" s="24"/>
      <c r="I1109" s="4"/>
      <c r="J1109" s="4"/>
      <c r="K1109" s="4"/>
      <c r="L1109" s="4"/>
      <c r="M1109" s="4"/>
      <c r="N1109" s="4"/>
      <c r="O1109" s="4"/>
      <c r="P1109" s="4"/>
      <c r="Q1109" s="4"/>
      <c r="R1109" s="4"/>
      <c r="S1109" s="4"/>
      <c r="T1109" s="4"/>
      <c r="U1109" s="4"/>
      <c r="V1109" s="4"/>
      <c r="W1109" s="4"/>
      <c r="X1109" s="4"/>
      <c r="Y1109" s="4"/>
      <c r="Z1109" s="4"/>
      <c r="AA1109" s="4"/>
      <c r="AB1109" s="4"/>
      <c r="AC1109" s="4"/>
      <c r="AD1109" s="4"/>
      <c r="AE1109" s="4"/>
      <c r="AF1109" s="4"/>
      <c r="AG1109" s="4"/>
    </row>
    <row r="1110" spans="1:33" x14ac:dyDescent="0.2">
      <c r="B1110" s="48"/>
      <c r="C1110" s="8"/>
      <c r="D1110" s="44"/>
      <c r="E1110" s="86" t="s">
        <v>1038</v>
      </c>
      <c r="F1110" s="20"/>
      <c r="G1110" s="19"/>
      <c r="H1110" s="24"/>
      <c r="I1110" s="4"/>
      <c r="J1110" s="4"/>
      <c r="K1110" s="4"/>
      <c r="L1110" s="4"/>
      <c r="M1110" s="4"/>
      <c r="N1110" s="4"/>
      <c r="O1110" s="4"/>
      <c r="P1110" s="4"/>
      <c r="Q1110" s="4"/>
      <c r="R1110" s="4"/>
      <c r="S1110" s="4"/>
      <c r="T1110" s="4"/>
      <c r="U1110" s="4"/>
      <c r="V1110" s="4"/>
      <c r="W1110" s="4"/>
      <c r="X1110" s="4"/>
      <c r="Y1110" s="4"/>
      <c r="Z1110" s="4"/>
      <c r="AA1110" s="4"/>
      <c r="AB1110" s="4"/>
      <c r="AC1110" s="4"/>
      <c r="AD1110" s="4"/>
      <c r="AE1110" s="4"/>
      <c r="AF1110" s="4"/>
      <c r="AG1110" s="4"/>
    </row>
    <row r="1111" spans="1:33" s="17" customFormat="1" x14ac:dyDescent="0.2">
      <c r="A1111" s="4"/>
      <c r="B1111" s="49" t="s">
        <v>750</v>
      </c>
      <c r="C1111" s="13"/>
      <c r="D1111" s="45"/>
      <c r="E1111" s="85"/>
      <c r="F1111" s="30"/>
      <c r="G1111" s="29"/>
      <c r="H1111" s="15"/>
    </row>
    <row r="1112" spans="1:33" x14ac:dyDescent="0.2">
      <c r="B1112" s="52"/>
      <c r="C1112" s="56" t="s">
        <v>751</v>
      </c>
      <c r="D1112" s="44"/>
      <c r="E1112" s="86" t="s">
        <v>1034</v>
      </c>
      <c r="F1112" s="28"/>
      <c r="G1112" s="26"/>
      <c r="H1112" s="21" t="b">
        <f>IF(D1114="x",H$2,H$1)</f>
        <v>0</v>
      </c>
      <c r="I1112" s="4"/>
      <c r="J1112" s="4"/>
      <c r="K1112" s="4"/>
      <c r="L1112" s="4"/>
      <c r="M1112" s="4"/>
      <c r="N1112" s="4"/>
      <c r="O1112" s="4"/>
      <c r="P1112" s="4"/>
      <c r="Q1112" s="4"/>
      <c r="R1112" s="4"/>
      <c r="S1112" s="4"/>
      <c r="T1112" s="4"/>
      <c r="U1112" s="4"/>
      <c r="V1112" s="4"/>
      <c r="W1112" s="4"/>
      <c r="X1112" s="4"/>
      <c r="Y1112" s="4"/>
      <c r="Z1112" s="4"/>
      <c r="AA1112" s="4"/>
      <c r="AB1112" s="4"/>
      <c r="AC1112" s="4"/>
      <c r="AD1112" s="4"/>
      <c r="AE1112" s="4"/>
      <c r="AF1112" s="4"/>
      <c r="AG1112" s="4"/>
    </row>
    <row r="1113" spans="1:33" x14ac:dyDescent="0.2">
      <c r="B1113" s="48"/>
      <c r="C1113" s="57" t="s">
        <v>752</v>
      </c>
      <c r="D1113" s="44"/>
      <c r="E1113" s="86" t="s">
        <v>1035</v>
      </c>
      <c r="F1113" s="22" t="str">
        <f t="shared" ref="F1113" si="385">IF(H1114=1,IF(H1112=H$2,H1112,""),"")</f>
        <v/>
      </c>
      <c r="G1113" s="26"/>
      <c r="H1113" s="21" t="str">
        <f t="shared" ref="H1113" si="386">IF(E$1122="comprobar",COUNTIF(D1112:D1116,"x"),"")</f>
        <v/>
      </c>
      <c r="I1113" s="4"/>
      <c r="J1113" s="4"/>
      <c r="K1113" s="4"/>
      <c r="L1113" s="4"/>
      <c r="M1113" s="4"/>
      <c r="N1113" s="4"/>
      <c r="O1113" s="4"/>
      <c r="P1113" s="4"/>
      <c r="Q1113" s="4"/>
      <c r="R1113" s="4"/>
      <c r="S1113" s="4"/>
      <c r="T1113" s="4"/>
      <c r="U1113" s="4"/>
      <c r="V1113" s="4"/>
      <c r="W1113" s="4"/>
      <c r="X1113" s="4"/>
      <c r="Y1113" s="4"/>
      <c r="Z1113" s="4"/>
      <c r="AA1113" s="4"/>
      <c r="AB1113" s="4"/>
      <c r="AC1113" s="4"/>
      <c r="AD1113" s="4"/>
      <c r="AE1113" s="4"/>
      <c r="AF1113" s="4"/>
      <c r="AG1113" s="4"/>
    </row>
    <row r="1114" spans="1:33" x14ac:dyDescent="0.2">
      <c r="B1114" s="48"/>
      <c r="C1114" s="57" t="s">
        <v>753</v>
      </c>
      <c r="D1114" s="44"/>
      <c r="E1114" s="86" t="s">
        <v>1036</v>
      </c>
      <c r="F1114" s="23" t="str">
        <f t="shared" ref="F1114" si="387">IF(H1114=-0.33,IF(H1112=H$1,H1112,""),"")</f>
        <v/>
      </c>
      <c r="G1114" s="26"/>
      <c r="H1114" s="24">
        <f t="shared" ref="H1114" si="388">IF(H1113=1,IF(H1112=H$2,1,-0.33),0)</f>
        <v>0</v>
      </c>
      <c r="I1114" s="4"/>
      <c r="J1114" s="4"/>
      <c r="K1114" s="4"/>
      <c r="L1114" s="4"/>
      <c r="M1114" s="4"/>
      <c r="N1114" s="4"/>
      <c r="O1114" s="4"/>
      <c r="P1114" s="4"/>
      <c r="Q1114" s="4"/>
      <c r="R1114" s="4"/>
      <c r="S1114" s="4"/>
      <c r="T1114" s="4"/>
      <c r="U1114" s="4"/>
      <c r="V1114" s="4"/>
      <c r="W1114" s="4"/>
      <c r="X1114" s="4"/>
      <c r="Y1114" s="4"/>
      <c r="Z1114" s="4"/>
      <c r="AA1114" s="4"/>
      <c r="AB1114" s="4"/>
      <c r="AC1114" s="4"/>
      <c r="AD1114" s="4"/>
      <c r="AE1114" s="4"/>
      <c r="AF1114" s="4"/>
      <c r="AG1114" s="4"/>
    </row>
    <row r="1115" spans="1:33" x14ac:dyDescent="0.2">
      <c r="B1115" s="48"/>
      <c r="C1115" s="57" t="s">
        <v>754</v>
      </c>
      <c r="D1115" s="44"/>
      <c r="E1115" s="86" t="s">
        <v>1037</v>
      </c>
      <c r="F1115" s="28"/>
      <c r="G1115" s="26"/>
      <c r="H1115" s="24"/>
      <c r="I1115" s="4"/>
      <c r="J1115" s="4"/>
      <c r="K1115" s="4"/>
      <c r="L1115" s="4"/>
      <c r="M1115" s="4"/>
      <c r="N1115" s="4"/>
      <c r="O1115" s="4"/>
      <c r="P1115" s="4"/>
      <c r="Q1115" s="4"/>
      <c r="R1115" s="4"/>
      <c r="S1115" s="4"/>
      <c r="T1115" s="4"/>
      <c r="U1115" s="4"/>
      <c r="V1115" s="4"/>
      <c r="W1115" s="4"/>
      <c r="X1115" s="4"/>
      <c r="Y1115" s="4"/>
      <c r="Z1115" s="4"/>
      <c r="AA1115" s="4"/>
      <c r="AB1115" s="4"/>
      <c r="AC1115" s="4"/>
      <c r="AD1115" s="4"/>
      <c r="AE1115" s="4"/>
      <c r="AF1115" s="4"/>
      <c r="AG1115" s="4"/>
    </row>
    <row r="1116" spans="1:33" x14ac:dyDescent="0.2">
      <c r="B1116" s="48"/>
      <c r="C1116" s="8"/>
      <c r="D1116" s="44"/>
      <c r="E1116" s="86" t="s">
        <v>1038</v>
      </c>
      <c r="F1116" s="20"/>
      <c r="G1116" s="19"/>
      <c r="H1116" s="24"/>
      <c r="I1116" s="4"/>
      <c r="J1116" s="4"/>
      <c r="K1116" s="4"/>
      <c r="L1116" s="4"/>
      <c r="M1116" s="4"/>
      <c r="N1116" s="4"/>
      <c r="O1116" s="4"/>
      <c r="P1116" s="4"/>
      <c r="Q1116" s="4"/>
      <c r="R1116" s="4"/>
      <c r="S1116" s="4"/>
      <c r="T1116" s="4"/>
      <c r="U1116" s="4"/>
      <c r="V1116" s="4"/>
      <c r="W1116" s="4"/>
      <c r="X1116" s="4"/>
      <c r="Y1116" s="4"/>
      <c r="Z1116" s="4"/>
      <c r="AA1116" s="4"/>
      <c r="AB1116" s="4"/>
      <c r="AC1116" s="4"/>
      <c r="AD1116" s="4"/>
      <c r="AE1116" s="4"/>
      <c r="AF1116" s="4"/>
      <c r="AG1116" s="4"/>
    </row>
    <row r="1117" spans="1:33" s="17" customFormat="1" x14ac:dyDescent="0.2">
      <c r="A1117" s="4"/>
      <c r="B1117" s="49" t="s">
        <v>755</v>
      </c>
      <c r="C1117" s="13"/>
      <c r="D1117" s="45"/>
      <c r="E1117" s="85"/>
      <c r="F1117" s="30"/>
      <c r="G1117" s="29"/>
      <c r="H1117" s="15"/>
    </row>
    <row r="1118" spans="1:33" x14ac:dyDescent="0.2">
      <c r="B1118" s="52"/>
      <c r="C1118" s="56" t="s">
        <v>756</v>
      </c>
      <c r="D1118" s="44"/>
      <c r="E1118" s="86" t="s">
        <v>1034</v>
      </c>
      <c r="F1118" s="28"/>
      <c r="G1118" s="26"/>
      <c r="H1118" s="21" t="b">
        <f>IF(D1121="x",H$2,H$1)</f>
        <v>0</v>
      </c>
      <c r="I1118" s="4"/>
      <c r="J1118" s="4"/>
      <c r="K1118" s="4"/>
      <c r="L1118" s="4"/>
      <c r="M1118" s="4"/>
      <c r="N1118" s="4"/>
      <c r="O1118" s="4"/>
      <c r="P1118" s="4"/>
      <c r="Q1118" s="4"/>
      <c r="R1118" s="4"/>
      <c r="S1118" s="4"/>
      <c r="T1118" s="4"/>
      <c r="U1118" s="4"/>
      <c r="V1118" s="4"/>
      <c r="W1118" s="4"/>
      <c r="X1118" s="4"/>
      <c r="Y1118" s="4"/>
      <c r="Z1118" s="4"/>
      <c r="AA1118" s="4"/>
      <c r="AB1118" s="4"/>
      <c r="AC1118" s="4"/>
      <c r="AD1118" s="4"/>
      <c r="AE1118" s="4"/>
      <c r="AF1118" s="4"/>
      <c r="AG1118" s="4"/>
    </row>
    <row r="1119" spans="1:33" x14ac:dyDescent="0.2">
      <c r="B1119" s="48"/>
      <c r="C1119" s="57" t="s">
        <v>757</v>
      </c>
      <c r="D1119" s="44"/>
      <c r="E1119" s="86" t="s">
        <v>1035</v>
      </c>
      <c r="F1119" s="22" t="str">
        <f t="shared" ref="F1119" si="389">IF(H1120=1,IF(H1118=H$2,H1118,""),"")</f>
        <v/>
      </c>
      <c r="G1119" s="26"/>
      <c r="H1119" s="21" t="str">
        <f>IF(E$1122="comprobar",COUNTIF(D1118:D1122,"x"),"")</f>
        <v/>
      </c>
      <c r="I1119" s="4"/>
      <c r="J1119" s="4"/>
      <c r="K1119" s="4"/>
      <c r="L1119" s="4"/>
      <c r="M1119" s="4"/>
      <c r="N1119" s="4"/>
      <c r="O1119" s="4"/>
      <c r="P1119" s="4"/>
      <c r="Q1119" s="4"/>
      <c r="R1119" s="4"/>
      <c r="S1119" s="4"/>
      <c r="T1119" s="4"/>
      <c r="U1119" s="4"/>
      <c r="V1119" s="4"/>
      <c r="W1119" s="4"/>
      <c r="X1119" s="4"/>
      <c r="Y1119" s="4"/>
      <c r="Z1119" s="4"/>
      <c r="AA1119" s="4"/>
      <c r="AB1119" s="4"/>
      <c r="AC1119" s="4"/>
      <c r="AD1119" s="4"/>
      <c r="AE1119" s="4"/>
      <c r="AF1119" s="4"/>
      <c r="AG1119" s="4"/>
    </row>
    <row r="1120" spans="1:33" x14ac:dyDescent="0.2">
      <c r="B1120" s="48"/>
      <c r="C1120" s="57" t="s">
        <v>758</v>
      </c>
      <c r="D1120" s="44"/>
      <c r="E1120" s="86" t="s">
        <v>1036</v>
      </c>
      <c r="F1120" s="23" t="str">
        <f t="shared" ref="F1120" si="390">IF(H1120=-0.33,IF(H1118=H$1,H1118,""),"")</f>
        <v/>
      </c>
      <c r="G1120" s="26"/>
      <c r="H1120" s="24">
        <f t="shared" ref="H1120" si="391">IF(H1119=1,IF(H1118=H$2,1,-0.33),0)</f>
        <v>0</v>
      </c>
      <c r="I1120" s="4"/>
      <c r="J1120" s="4"/>
      <c r="K1120" s="4"/>
      <c r="L1120" s="4"/>
      <c r="M1120" s="4"/>
      <c r="N1120" s="4"/>
      <c r="O1120" s="4"/>
      <c r="P1120" s="4"/>
      <c r="Q1120" s="4"/>
      <c r="R1120" s="4"/>
      <c r="S1120" s="4"/>
      <c r="T1120" s="4"/>
      <c r="U1120" s="4"/>
      <c r="V1120" s="4"/>
      <c r="W1120" s="4"/>
      <c r="X1120" s="4"/>
      <c r="Y1120" s="4"/>
      <c r="Z1120" s="4"/>
      <c r="AA1120" s="4"/>
      <c r="AB1120" s="4"/>
      <c r="AC1120" s="4"/>
      <c r="AD1120" s="4"/>
      <c r="AE1120" s="4"/>
      <c r="AF1120" s="4"/>
      <c r="AG1120" s="4"/>
    </row>
    <row r="1121" spans="1:33" x14ac:dyDescent="0.2">
      <c r="B1121" s="48"/>
      <c r="C1121" s="57" t="s">
        <v>759</v>
      </c>
      <c r="D1121" s="44"/>
      <c r="E1121" s="86" t="s">
        <v>1037</v>
      </c>
      <c r="F1121" s="28"/>
      <c r="G1121" s="26"/>
      <c r="H1121" s="24"/>
      <c r="I1121" s="4"/>
      <c r="J1121" s="4"/>
      <c r="K1121" s="4"/>
      <c r="L1121" s="4"/>
      <c r="M1121" s="4"/>
      <c r="N1121" s="4"/>
      <c r="O1121" s="4"/>
      <c r="P1121" s="4"/>
      <c r="Q1121" s="4"/>
      <c r="R1121" s="4"/>
      <c r="S1121" s="4"/>
      <c r="T1121" s="4"/>
      <c r="U1121" s="4"/>
      <c r="V1121" s="4"/>
      <c r="W1121" s="4"/>
      <c r="X1121" s="4"/>
      <c r="Y1121" s="4"/>
      <c r="Z1121" s="4"/>
      <c r="AA1121" s="4"/>
      <c r="AB1121" s="4"/>
      <c r="AC1121" s="4"/>
      <c r="AD1121" s="4"/>
      <c r="AE1121" s="4"/>
      <c r="AF1121" s="4"/>
      <c r="AG1121" s="4"/>
    </row>
    <row r="1122" spans="1:33" x14ac:dyDescent="0.2">
      <c r="B1122" s="48"/>
      <c r="C1122" s="8"/>
      <c r="D1122" s="44"/>
      <c r="E1122" s="97"/>
      <c r="F1122" s="20"/>
      <c r="G1122" s="19"/>
      <c r="H1122" s="19"/>
      <c r="I1122" s="4"/>
      <c r="J1122" s="4"/>
      <c r="K1122" s="4"/>
      <c r="L1122" s="4"/>
      <c r="M1122" s="4"/>
      <c r="N1122" s="4"/>
      <c r="O1122" s="4"/>
      <c r="P1122" s="4"/>
      <c r="Q1122" s="4"/>
      <c r="R1122" s="4"/>
      <c r="S1122" s="4"/>
      <c r="T1122" s="4"/>
      <c r="U1122" s="4"/>
      <c r="V1122" s="4"/>
      <c r="W1122" s="4"/>
      <c r="X1122" s="4"/>
      <c r="Y1122" s="4"/>
      <c r="Z1122" s="4"/>
      <c r="AA1122" s="4"/>
      <c r="AB1122" s="4"/>
      <c r="AC1122" s="4"/>
      <c r="AD1122" s="4"/>
      <c r="AE1122" s="4"/>
      <c r="AF1122" s="4"/>
      <c r="AG1122" s="4"/>
    </row>
    <row r="1123" spans="1:33" x14ac:dyDescent="0.2">
      <c r="B1123" s="52"/>
      <c r="C1123" s="18"/>
      <c r="D1123" s="73"/>
      <c r="E1123" s="93"/>
      <c r="F1123" s="31" t="s">
        <v>93</v>
      </c>
      <c r="G1123" s="19" t="s">
        <v>91</v>
      </c>
      <c r="H1123" s="19" t="s">
        <v>92</v>
      </c>
      <c r="I1123" s="4"/>
      <c r="J1123" s="4"/>
      <c r="K1123" s="4"/>
      <c r="L1123" s="4"/>
      <c r="M1123" s="4"/>
      <c r="N1123" s="4"/>
      <c r="O1123" s="4"/>
      <c r="P1123" s="4"/>
      <c r="Q1123" s="4"/>
      <c r="R1123" s="4"/>
      <c r="S1123" s="4"/>
      <c r="T1123" s="4"/>
      <c r="U1123" s="4"/>
      <c r="V1123" s="4"/>
      <c r="W1123" s="4"/>
      <c r="X1123" s="4"/>
      <c r="Y1123" s="4"/>
      <c r="Z1123" s="4"/>
      <c r="AA1123" s="4"/>
      <c r="AB1123" s="4"/>
      <c r="AC1123" s="4"/>
      <c r="AD1123" s="4"/>
      <c r="AE1123" s="4"/>
      <c r="AF1123" s="4"/>
      <c r="AG1123" s="4"/>
    </row>
    <row r="1124" spans="1:33" ht="20" x14ac:dyDescent="0.2">
      <c r="B1124" s="52"/>
      <c r="C1124" s="18"/>
      <c r="D1124" s="115"/>
      <c r="E1124" s="115"/>
      <c r="F1124" s="32" t="str">
        <f>IF(E1122="comprobar",H1060+H1054+H1048+H1042+H1036+H1030+H1024+H1018+H1012+H1006+H1066+H1072+H1078+H1084+H1090+H1096+H1102+H1108+H1114+H1120+H1000+H994+H988+H982+H970+H976+H964+H958+H952+H946+H940+H934+H928+H922+H916+H910+H904+H898+H892+H886,"")</f>
        <v/>
      </c>
      <c r="G1124" s="19">
        <f>40/2</f>
        <v>20</v>
      </c>
      <c r="H1124" s="19"/>
      <c r="I1124" s="4"/>
      <c r="J1124" s="4"/>
      <c r="K1124" s="4"/>
      <c r="L1124" s="4"/>
      <c r="M1124" s="4"/>
      <c r="N1124" s="4"/>
      <c r="O1124" s="4"/>
      <c r="P1124" s="4"/>
      <c r="Q1124" s="4"/>
      <c r="R1124" s="4"/>
      <c r="S1124" s="4"/>
      <c r="T1124" s="4"/>
      <c r="U1124" s="4"/>
      <c r="V1124" s="4"/>
      <c r="W1124" s="4"/>
      <c r="X1124" s="4"/>
      <c r="Y1124" s="4"/>
      <c r="Z1124" s="4"/>
      <c r="AA1124" s="4"/>
      <c r="AB1124" s="4"/>
      <c r="AC1124" s="4"/>
      <c r="AD1124" s="4"/>
      <c r="AE1124" s="4"/>
      <c r="AF1124" s="4"/>
      <c r="AG1124" s="4"/>
    </row>
    <row r="1125" spans="1:33" ht="17" thickBot="1" x14ac:dyDescent="0.25">
      <c r="B1125" s="53"/>
      <c r="C1125" s="33"/>
      <c r="D1125" s="34"/>
      <c r="E1125" s="88"/>
      <c r="F1125" s="35" t="str">
        <f>IF(F1124&gt;G1124,G1123,H1123)</f>
        <v>APROBADO</v>
      </c>
      <c r="G1125" s="19"/>
      <c r="H1125" s="19"/>
      <c r="I1125" s="4"/>
      <c r="J1125" s="4"/>
      <c r="K1125" s="4"/>
      <c r="L1125" s="4"/>
      <c r="M1125" s="4"/>
      <c r="N1125" s="4"/>
      <c r="O1125" s="4"/>
      <c r="P1125" s="4"/>
      <c r="Q1125" s="4"/>
      <c r="R1125" s="4"/>
      <c r="S1125" s="4"/>
      <c r="T1125" s="4"/>
      <c r="U1125" s="4"/>
      <c r="V1125" s="4"/>
      <c r="W1125" s="4"/>
      <c r="X1125" s="4"/>
      <c r="Y1125" s="4"/>
      <c r="Z1125" s="4"/>
      <c r="AA1125" s="4"/>
      <c r="AB1125" s="4"/>
      <c r="AC1125" s="4"/>
      <c r="AD1125" s="4"/>
      <c r="AE1125" s="4"/>
      <c r="AF1125" s="4"/>
      <c r="AG1125" s="4"/>
    </row>
    <row r="1126" spans="1:33" ht="29" x14ac:dyDescent="0.35">
      <c r="B1126" s="54" t="s">
        <v>0</v>
      </c>
      <c r="C1126" s="113" t="s">
        <v>763</v>
      </c>
      <c r="D1126" s="113"/>
      <c r="E1126" s="113"/>
      <c r="F1126" s="114"/>
      <c r="G1126" s="19"/>
      <c r="H1126" s="19"/>
      <c r="I1126" s="4"/>
      <c r="J1126" s="4"/>
      <c r="K1126" s="4"/>
      <c r="L1126" s="4"/>
      <c r="M1126" s="4"/>
      <c r="N1126" s="4"/>
      <c r="O1126" s="4"/>
      <c r="P1126" s="4"/>
      <c r="Q1126" s="4"/>
      <c r="R1126" s="4"/>
      <c r="S1126" s="4"/>
      <c r="T1126" s="4"/>
      <c r="U1126" s="4"/>
      <c r="V1126" s="4"/>
      <c r="W1126" s="4"/>
      <c r="X1126" s="4"/>
      <c r="Y1126" s="4"/>
      <c r="Z1126" s="4"/>
      <c r="AA1126" s="4"/>
      <c r="AB1126" s="4"/>
      <c r="AC1126" s="4"/>
      <c r="AD1126" s="4"/>
      <c r="AE1126" s="4"/>
      <c r="AF1126" s="4"/>
      <c r="AG1126" s="4"/>
    </row>
    <row r="1127" spans="1:33" x14ac:dyDescent="0.2">
      <c r="B1127" s="49" t="s">
        <v>764</v>
      </c>
      <c r="C1127" s="13"/>
      <c r="D1127" s="14"/>
      <c r="E1127" s="85"/>
      <c r="F1127" s="16"/>
      <c r="G1127" s="15"/>
      <c r="H1127" s="15"/>
      <c r="I1127" s="4"/>
      <c r="J1127" s="4"/>
      <c r="K1127" s="4"/>
      <c r="L1127" s="4"/>
      <c r="M1127" s="4"/>
      <c r="N1127" s="4"/>
      <c r="O1127" s="4"/>
      <c r="P1127" s="4"/>
      <c r="Q1127" s="4"/>
      <c r="R1127" s="4"/>
      <c r="S1127" s="4"/>
      <c r="T1127" s="4"/>
      <c r="U1127" s="4"/>
      <c r="V1127" s="4"/>
      <c r="W1127" s="4"/>
      <c r="X1127" s="4"/>
      <c r="Y1127" s="4"/>
      <c r="Z1127" s="4"/>
      <c r="AA1127" s="4"/>
      <c r="AB1127" s="4"/>
      <c r="AC1127" s="4"/>
      <c r="AD1127" s="4"/>
      <c r="AE1127" s="4"/>
      <c r="AF1127" s="4"/>
      <c r="AG1127" s="4"/>
    </row>
    <row r="1128" spans="1:33" x14ac:dyDescent="0.2">
      <c r="B1128" s="48"/>
      <c r="C1128" s="56" t="s">
        <v>765</v>
      </c>
      <c r="D1128" s="44"/>
      <c r="E1128" s="86" t="s">
        <v>1034</v>
      </c>
      <c r="F1128" s="20"/>
      <c r="G1128" s="19"/>
      <c r="H1128" s="21" t="b">
        <f>IF(D1129="x",H$2,H$1)</f>
        <v>0</v>
      </c>
      <c r="I1128" s="4"/>
      <c r="J1128" s="4"/>
      <c r="K1128" s="4"/>
      <c r="L1128" s="4"/>
      <c r="M1128" s="4"/>
      <c r="N1128" s="4"/>
      <c r="O1128" s="4"/>
      <c r="P1128" s="4"/>
      <c r="Q1128" s="4"/>
      <c r="R1128" s="4"/>
      <c r="S1128" s="4"/>
      <c r="T1128" s="4"/>
      <c r="U1128" s="4"/>
      <c r="V1128" s="4"/>
      <c r="W1128" s="4"/>
      <c r="X1128" s="4"/>
      <c r="Y1128" s="4"/>
      <c r="Z1128" s="4"/>
      <c r="AA1128" s="4"/>
      <c r="AB1128" s="4"/>
      <c r="AC1128" s="4"/>
      <c r="AD1128" s="4"/>
      <c r="AE1128" s="4"/>
      <c r="AF1128" s="4"/>
      <c r="AG1128" s="4"/>
    </row>
    <row r="1129" spans="1:33" x14ac:dyDescent="0.2">
      <c r="B1129" s="48"/>
      <c r="C1129" s="57" t="s">
        <v>766</v>
      </c>
      <c r="D1129" s="44"/>
      <c r="E1129" s="86" t="s">
        <v>1035</v>
      </c>
      <c r="F1129" s="22" t="str">
        <f>IF(H1130=1,IF(H1128=H$2,H1128,""),"")</f>
        <v/>
      </c>
      <c r="G1129" s="19"/>
      <c r="H1129" s="21" t="str">
        <f>IF(E$1247="comprobar",COUNTIF(D1128:D1132,"x"),"")</f>
        <v/>
      </c>
      <c r="I1129" s="4"/>
      <c r="J1129" s="4"/>
      <c r="K1129" s="4"/>
      <c r="L1129" s="4"/>
      <c r="M1129" s="4"/>
      <c r="N1129" s="4"/>
      <c r="O1129" s="4"/>
      <c r="P1129" s="4"/>
      <c r="Q1129" s="4"/>
      <c r="R1129" s="4"/>
      <c r="S1129" s="4"/>
      <c r="T1129" s="4"/>
      <c r="U1129" s="4"/>
      <c r="V1129" s="4"/>
      <c r="W1129" s="4"/>
      <c r="X1129" s="4"/>
      <c r="Y1129" s="4"/>
      <c r="Z1129" s="4"/>
      <c r="AA1129" s="4"/>
      <c r="AB1129" s="4"/>
      <c r="AC1129" s="4"/>
      <c r="AD1129" s="4"/>
      <c r="AE1129" s="4"/>
      <c r="AF1129" s="4"/>
      <c r="AG1129" s="4"/>
    </row>
    <row r="1130" spans="1:33" x14ac:dyDescent="0.2">
      <c r="B1130" s="48"/>
      <c r="C1130" s="57" t="s">
        <v>767</v>
      </c>
      <c r="D1130" s="44"/>
      <c r="E1130" s="86" t="s">
        <v>1036</v>
      </c>
      <c r="F1130" s="23" t="str">
        <f>IF(H1130=-0.33,IF(H1128=H$1,H1128,""),"")</f>
        <v/>
      </c>
      <c r="G1130" s="19"/>
      <c r="H1130" s="24">
        <f>IF(H1129=1,IF(H1128=H$2,1,-0.33),0)</f>
        <v>0</v>
      </c>
      <c r="I1130" s="4"/>
      <c r="J1130" s="4"/>
      <c r="K1130" s="4"/>
      <c r="L1130" s="4"/>
      <c r="M1130" s="4"/>
      <c r="N1130" s="4"/>
      <c r="O1130" s="4"/>
      <c r="P1130" s="4"/>
      <c r="Q1130" s="4"/>
      <c r="R1130" s="4"/>
      <c r="S1130" s="4"/>
      <c r="T1130" s="4"/>
      <c r="U1130" s="4"/>
      <c r="V1130" s="4"/>
      <c r="W1130" s="4"/>
      <c r="X1130" s="4"/>
      <c r="Y1130" s="4"/>
      <c r="Z1130" s="4"/>
      <c r="AA1130" s="4"/>
      <c r="AB1130" s="4"/>
      <c r="AC1130" s="4"/>
      <c r="AD1130" s="4"/>
      <c r="AE1130" s="4"/>
      <c r="AF1130" s="4"/>
      <c r="AG1130" s="4"/>
    </row>
    <row r="1131" spans="1:33" x14ac:dyDescent="0.2">
      <c r="B1131" s="48"/>
      <c r="C1131" s="57" t="s">
        <v>768</v>
      </c>
      <c r="D1131" s="44"/>
      <c r="E1131" s="86" t="s">
        <v>1037</v>
      </c>
      <c r="F1131" s="20"/>
      <c r="G1131" s="19"/>
      <c r="H1131" s="24"/>
      <c r="I1131" s="4"/>
      <c r="J1131" s="4"/>
      <c r="K1131" s="4"/>
      <c r="L1131" s="4"/>
      <c r="M1131" s="4"/>
      <c r="N1131" s="4"/>
      <c r="O1131" s="4"/>
      <c r="P1131" s="4"/>
      <c r="Q1131" s="4"/>
      <c r="R1131" s="4"/>
      <c r="S1131" s="4"/>
      <c r="T1131" s="4"/>
      <c r="U1131" s="4"/>
      <c r="V1131" s="4"/>
      <c r="W1131" s="4"/>
      <c r="X1131" s="4"/>
      <c r="Y1131" s="4"/>
      <c r="Z1131" s="4"/>
      <c r="AA1131" s="4"/>
      <c r="AB1131" s="4"/>
      <c r="AC1131" s="4"/>
      <c r="AD1131" s="4"/>
      <c r="AE1131" s="4"/>
      <c r="AF1131" s="4"/>
      <c r="AG1131" s="4"/>
    </row>
    <row r="1132" spans="1:33" x14ac:dyDescent="0.2">
      <c r="B1132" s="48"/>
      <c r="C1132" s="8"/>
      <c r="D1132" s="44"/>
      <c r="E1132" s="86" t="s">
        <v>1038</v>
      </c>
      <c r="F1132" s="20"/>
      <c r="G1132" s="19"/>
      <c r="H1132" s="24"/>
      <c r="I1132" s="4"/>
      <c r="J1132" s="4"/>
      <c r="K1132" s="4"/>
      <c r="L1132" s="4"/>
      <c r="M1132" s="4"/>
      <c r="N1132" s="4"/>
      <c r="O1132" s="4"/>
      <c r="P1132" s="4"/>
      <c r="Q1132" s="4"/>
      <c r="R1132" s="4"/>
      <c r="S1132" s="4"/>
      <c r="T1132" s="4"/>
      <c r="U1132" s="4"/>
      <c r="V1132" s="4"/>
      <c r="W1132" s="4"/>
      <c r="X1132" s="4"/>
      <c r="Y1132" s="4"/>
      <c r="Z1132" s="4"/>
      <c r="AA1132" s="4"/>
      <c r="AB1132" s="4"/>
      <c r="AC1132" s="4"/>
      <c r="AD1132" s="4"/>
      <c r="AE1132" s="4"/>
      <c r="AF1132" s="4"/>
      <c r="AG1132" s="4"/>
    </row>
    <row r="1133" spans="1:33" s="17" customFormat="1" x14ac:dyDescent="0.2">
      <c r="A1133" s="4"/>
      <c r="B1133" s="49" t="s">
        <v>769</v>
      </c>
      <c r="C1133" s="13"/>
      <c r="D1133" s="45"/>
      <c r="E1133" s="85"/>
      <c r="F1133" s="16"/>
      <c r="G1133" s="15"/>
      <c r="H1133" s="15"/>
    </row>
    <row r="1134" spans="1:33" s="4" customFormat="1" x14ac:dyDescent="0.2">
      <c r="B1134" s="48"/>
      <c r="C1134" s="56" t="s">
        <v>770</v>
      </c>
      <c r="D1134" s="44"/>
      <c r="E1134" s="86" t="s">
        <v>1034</v>
      </c>
      <c r="F1134" s="20"/>
      <c r="G1134" s="19"/>
      <c r="H1134" s="21" t="b">
        <f>IF(D1134="x",H$2,H$1)</f>
        <v>0</v>
      </c>
    </row>
    <row r="1135" spans="1:33" x14ac:dyDescent="0.2">
      <c r="B1135" s="52"/>
      <c r="C1135" s="57" t="s">
        <v>771</v>
      </c>
      <c r="D1135" s="44"/>
      <c r="E1135" s="86" t="s">
        <v>1035</v>
      </c>
      <c r="F1135" s="22" t="str">
        <f>IF(H1136=1,IF(H1134=H$2,H1134,""),"")</f>
        <v/>
      </c>
      <c r="G1135" s="19"/>
      <c r="H1135" s="21" t="str">
        <f t="shared" ref="H1135" si="392">IF(E$1247="comprobar",COUNTIF(D1134:D1138,"x"),"")</f>
        <v/>
      </c>
      <c r="I1135" s="4"/>
      <c r="J1135" s="4"/>
      <c r="K1135" s="4"/>
      <c r="L1135" s="4"/>
      <c r="M1135" s="4"/>
      <c r="N1135" s="4"/>
      <c r="O1135" s="4"/>
      <c r="P1135" s="4"/>
      <c r="Q1135" s="4"/>
      <c r="R1135" s="4"/>
      <c r="S1135" s="4"/>
      <c r="T1135" s="4"/>
      <c r="U1135" s="4"/>
      <c r="V1135" s="4"/>
      <c r="W1135" s="4"/>
      <c r="X1135" s="4"/>
      <c r="Y1135" s="4"/>
      <c r="Z1135" s="4"/>
      <c r="AA1135" s="4"/>
      <c r="AB1135" s="4"/>
      <c r="AC1135" s="4"/>
      <c r="AD1135" s="4"/>
      <c r="AE1135" s="4"/>
      <c r="AF1135" s="4"/>
      <c r="AG1135" s="4"/>
    </row>
    <row r="1136" spans="1:33" ht="32" x14ac:dyDescent="0.2">
      <c r="B1136" s="48"/>
      <c r="C1136" s="61" t="s">
        <v>772</v>
      </c>
      <c r="D1136" s="44"/>
      <c r="E1136" s="86" t="s">
        <v>1036</v>
      </c>
      <c r="F1136" s="23" t="str">
        <f>IF(H1136=-0.33,IF(H1134=H$1,H1134,""),"")</f>
        <v/>
      </c>
      <c r="G1136" s="19"/>
      <c r="H1136" s="24">
        <f t="shared" ref="H1136" si="393">IF(H1135=1,IF(H1134=H$2,1,-0.33),0)</f>
        <v>0</v>
      </c>
      <c r="I1136" s="4"/>
      <c r="J1136" s="4"/>
      <c r="K1136" s="4"/>
      <c r="L1136" s="4"/>
      <c r="M1136" s="4"/>
      <c r="N1136" s="4"/>
      <c r="O1136" s="4"/>
      <c r="P1136" s="4"/>
      <c r="Q1136" s="4"/>
      <c r="R1136" s="4"/>
      <c r="S1136" s="4"/>
      <c r="T1136" s="4"/>
      <c r="U1136" s="4"/>
      <c r="V1136" s="4"/>
      <c r="W1136" s="4"/>
      <c r="X1136" s="4"/>
      <c r="Y1136" s="4"/>
      <c r="Z1136" s="4"/>
      <c r="AA1136" s="4"/>
      <c r="AB1136" s="4"/>
      <c r="AC1136" s="4"/>
      <c r="AD1136" s="4"/>
      <c r="AE1136" s="4"/>
      <c r="AF1136" s="4"/>
      <c r="AG1136" s="4"/>
    </row>
    <row r="1137" spans="1:33" x14ac:dyDescent="0.2">
      <c r="B1137" s="48"/>
      <c r="C1137" s="57" t="s">
        <v>152</v>
      </c>
      <c r="D1137" s="44"/>
      <c r="E1137" s="86" t="s">
        <v>1037</v>
      </c>
      <c r="F1137" s="20"/>
      <c r="G1137" s="19"/>
      <c r="H1137" s="24"/>
      <c r="I1137" s="4"/>
      <c r="J1137" s="4"/>
      <c r="K1137" s="4"/>
      <c r="L1137" s="4"/>
      <c r="M1137" s="4"/>
      <c r="N1137" s="4"/>
      <c r="O1137" s="4"/>
      <c r="P1137" s="4"/>
      <c r="Q1137" s="4"/>
      <c r="R1137" s="4"/>
      <c r="S1137" s="4"/>
      <c r="T1137" s="4"/>
      <c r="U1137" s="4"/>
      <c r="V1137" s="4"/>
      <c r="W1137" s="4"/>
      <c r="X1137" s="4"/>
      <c r="Y1137" s="4"/>
      <c r="Z1137" s="4"/>
      <c r="AA1137" s="4"/>
      <c r="AB1137" s="4"/>
      <c r="AC1137" s="4"/>
      <c r="AD1137" s="4"/>
      <c r="AE1137" s="4"/>
      <c r="AF1137" s="4"/>
      <c r="AG1137" s="4"/>
    </row>
    <row r="1138" spans="1:33" x14ac:dyDescent="0.2">
      <c r="B1138" s="48"/>
      <c r="C1138" s="8"/>
      <c r="D1138" s="44"/>
      <c r="E1138" s="86" t="s">
        <v>1038</v>
      </c>
      <c r="F1138" s="20"/>
      <c r="G1138" s="19"/>
      <c r="H1138" s="24"/>
      <c r="I1138" s="4"/>
      <c r="J1138" s="4"/>
      <c r="K1138" s="4"/>
      <c r="L1138" s="4"/>
      <c r="M1138" s="4"/>
      <c r="N1138" s="4"/>
      <c r="O1138" s="4"/>
      <c r="P1138" s="4"/>
      <c r="Q1138" s="4"/>
      <c r="R1138" s="4"/>
      <c r="S1138" s="4"/>
      <c r="T1138" s="4"/>
      <c r="U1138" s="4"/>
      <c r="V1138" s="4"/>
      <c r="W1138" s="4"/>
      <c r="X1138" s="4"/>
      <c r="Y1138" s="4"/>
      <c r="Z1138" s="4"/>
      <c r="AA1138" s="4"/>
      <c r="AB1138" s="4"/>
      <c r="AC1138" s="4"/>
      <c r="AD1138" s="4"/>
      <c r="AE1138" s="4"/>
      <c r="AF1138" s="4"/>
      <c r="AG1138" s="4"/>
    </row>
    <row r="1139" spans="1:33" s="17" customFormat="1" x14ac:dyDescent="0.2">
      <c r="A1139" s="4"/>
      <c r="B1139" s="49" t="s">
        <v>773</v>
      </c>
      <c r="C1139" s="13"/>
      <c r="D1139" s="45"/>
      <c r="E1139" s="85"/>
      <c r="F1139" s="16"/>
      <c r="G1139" s="15"/>
      <c r="H1139" s="15"/>
    </row>
    <row r="1140" spans="1:33" x14ac:dyDescent="0.2">
      <c r="B1140" s="52"/>
      <c r="C1140" s="56" t="s">
        <v>774</v>
      </c>
      <c r="D1140" s="44"/>
      <c r="E1140" s="86" t="s">
        <v>1034</v>
      </c>
      <c r="F1140" s="20"/>
      <c r="G1140" s="19"/>
      <c r="H1140" s="21" t="b">
        <f>IF(D1141="x",H$2,H$1)</f>
        <v>0</v>
      </c>
      <c r="I1140" s="4"/>
      <c r="J1140" s="4"/>
      <c r="K1140" s="4"/>
      <c r="L1140" s="4"/>
      <c r="M1140" s="4"/>
      <c r="N1140" s="4"/>
      <c r="O1140" s="4"/>
      <c r="P1140" s="4"/>
      <c r="Q1140" s="4"/>
      <c r="R1140" s="4"/>
      <c r="S1140" s="4"/>
      <c r="T1140" s="4"/>
      <c r="U1140" s="4"/>
      <c r="V1140" s="4"/>
      <c r="W1140" s="4"/>
      <c r="X1140" s="4"/>
      <c r="Y1140" s="4"/>
      <c r="Z1140" s="4"/>
      <c r="AA1140" s="4"/>
      <c r="AB1140" s="4"/>
      <c r="AC1140" s="4"/>
      <c r="AD1140" s="4"/>
      <c r="AE1140" s="4"/>
      <c r="AF1140" s="4"/>
      <c r="AG1140" s="4"/>
    </row>
    <row r="1141" spans="1:33" x14ac:dyDescent="0.2">
      <c r="B1141" s="48"/>
      <c r="C1141" s="57" t="s">
        <v>775</v>
      </c>
      <c r="D1141" s="44"/>
      <c r="E1141" s="86" t="s">
        <v>1035</v>
      </c>
      <c r="F1141" s="22" t="str">
        <f>IF(H1142=1,IF(H1140=H$2,H1140,""),"")</f>
        <v/>
      </c>
      <c r="G1141" s="19"/>
      <c r="H1141" s="21" t="str">
        <f t="shared" ref="H1141" si="394">IF(E$1247="comprobar",COUNTIF(D1140:D1144,"x"),"")</f>
        <v/>
      </c>
      <c r="I1141" s="4"/>
      <c r="J1141" s="4"/>
      <c r="K1141" s="4"/>
      <c r="L1141" s="4"/>
      <c r="M1141" s="4"/>
      <c r="N1141" s="4"/>
      <c r="O1141" s="4"/>
      <c r="P1141" s="4"/>
      <c r="Q1141" s="4"/>
      <c r="R1141" s="4"/>
      <c r="S1141" s="4"/>
      <c r="T1141" s="4"/>
      <c r="U1141" s="4"/>
      <c r="V1141" s="4"/>
      <c r="W1141" s="4"/>
      <c r="X1141" s="4"/>
      <c r="Y1141" s="4"/>
      <c r="Z1141" s="4"/>
      <c r="AA1141" s="4"/>
      <c r="AB1141" s="4"/>
      <c r="AC1141" s="4"/>
      <c r="AD1141" s="4"/>
      <c r="AE1141" s="4"/>
      <c r="AF1141" s="4"/>
      <c r="AG1141" s="4"/>
    </row>
    <row r="1142" spans="1:33" x14ac:dyDescent="0.2">
      <c r="B1142" s="48"/>
      <c r="C1142" s="57" t="s">
        <v>776</v>
      </c>
      <c r="D1142" s="44"/>
      <c r="E1142" s="86" t="s">
        <v>1036</v>
      </c>
      <c r="F1142" s="23" t="str">
        <f>IF(H1142=-0.33,IF(H1140=H$1,H1140,""),"")</f>
        <v/>
      </c>
      <c r="G1142" s="19"/>
      <c r="H1142" s="24">
        <f t="shared" ref="H1142" si="395">IF(H1141=1,IF(H1140=H$2,1,-0.33),0)</f>
        <v>0</v>
      </c>
      <c r="I1142" s="4"/>
      <c r="J1142" s="4"/>
      <c r="K1142" s="4"/>
      <c r="L1142" s="4"/>
      <c r="M1142" s="4"/>
      <c r="N1142" s="4"/>
      <c r="O1142" s="4"/>
      <c r="P1142" s="4"/>
      <c r="Q1142" s="4"/>
      <c r="R1142" s="4"/>
      <c r="S1142" s="4"/>
      <c r="T1142" s="4"/>
      <c r="U1142" s="4"/>
      <c r="V1142" s="4"/>
      <c r="W1142" s="4"/>
      <c r="X1142" s="4"/>
      <c r="Y1142" s="4"/>
      <c r="Z1142" s="4"/>
      <c r="AA1142" s="4"/>
      <c r="AB1142" s="4"/>
      <c r="AC1142" s="4"/>
      <c r="AD1142" s="4"/>
      <c r="AE1142" s="4"/>
      <c r="AF1142" s="4"/>
      <c r="AG1142" s="4"/>
    </row>
    <row r="1143" spans="1:33" x14ac:dyDescent="0.2">
      <c r="B1143" s="52"/>
      <c r="C1143" s="57" t="s">
        <v>777</v>
      </c>
      <c r="D1143" s="44"/>
      <c r="E1143" s="86" t="s">
        <v>1037</v>
      </c>
      <c r="F1143" s="20"/>
      <c r="G1143" s="19"/>
      <c r="H1143" s="24"/>
      <c r="I1143" s="4"/>
      <c r="J1143" s="4"/>
      <c r="K1143" s="4"/>
      <c r="L1143" s="4"/>
      <c r="M1143" s="4"/>
      <c r="N1143" s="4"/>
      <c r="O1143" s="4"/>
      <c r="P1143" s="4"/>
      <c r="Q1143" s="4"/>
      <c r="R1143" s="4"/>
      <c r="S1143" s="4"/>
      <c r="T1143" s="4"/>
      <c r="U1143" s="4"/>
      <c r="V1143" s="4"/>
      <c r="W1143" s="4"/>
      <c r="X1143" s="4"/>
      <c r="Y1143" s="4"/>
      <c r="Z1143" s="4"/>
      <c r="AA1143" s="4"/>
      <c r="AB1143" s="4"/>
      <c r="AC1143" s="4"/>
      <c r="AD1143" s="4"/>
      <c r="AE1143" s="4"/>
      <c r="AF1143" s="4"/>
      <c r="AG1143" s="4"/>
    </row>
    <row r="1144" spans="1:33" x14ac:dyDescent="0.2">
      <c r="B1144" s="48"/>
      <c r="C1144" s="8"/>
      <c r="D1144" s="44"/>
      <c r="E1144" s="86" t="s">
        <v>1038</v>
      </c>
      <c r="F1144" s="20"/>
      <c r="G1144" s="19"/>
      <c r="H1144" s="24"/>
      <c r="I1144" s="4"/>
      <c r="J1144" s="4"/>
      <c r="K1144" s="4"/>
      <c r="L1144" s="4"/>
      <c r="M1144" s="4"/>
      <c r="N1144" s="4"/>
      <c r="O1144" s="4"/>
      <c r="P1144" s="4"/>
      <c r="Q1144" s="4"/>
      <c r="R1144" s="4"/>
      <c r="S1144" s="4"/>
      <c r="T1144" s="4"/>
      <c r="U1144" s="4"/>
      <c r="V1144" s="4"/>
      <c r="W1144" s="4"/>
      <c r="X1144" s="4"/>
      <c r="Y1144" s="4"/>
      <c r="Z1144" s="4"/>
      <c r="AA1144" s="4"/>
      <c r="AB1144" s="4"/>
      <c r="AC1144" s="4"/>
      <c r="AD1144" s="4"/>
      <c r="AE1144" s="4"/>
      <c r="AF1144" s="4"/>
      <c r="AG1144" s="4"/>
    </row>
    <row r="1145" spans="1:33" s="17" customFormat="1" x14ac:dyDescent="0.2">
      <c r="A1145" s="4"/>
      <c r="B1145" s="49" t="s">
        <v>778</v>
      </c>
      <c r="C1145" s="13"/>
      <c r="D1145" s="45"/>
      <c r="E1145" s="85"/>
      <c r="F1145" s="16"/>
      <c r="G1145" s="15"/>
      <c r="H1145" s="15"/>
    </row>
    <row r="1146" spans="1:33" x14ac:dyDescent="0.2">
      <c r="B1146" s="48"/>
      <c r="C1146" s="56" t="s">
        <v>779</v>
      </c>
      <c r="D1146" s="44"/>
      <c r="E1146" s="86" t="s">
        <v>1034</v>
      </c>
      <c r="F1146" s="20"/>
      <c r="G1146" s="19"/>
      <c r="H1146" s="21" t="b">
        <f>IF(D1148="x",H$2,H$1)</f>
        <v>0</v>
      </c>
      <c r="I1146" s="4"/>
      <c r="J1146" s="4"/>
      <c r="K1146" s="4"/>
      <c r="L1146" s="4"/>
      <c r="M1146" s="4"/>
      <c r="N1146" s="4"/>
      <c r="O1146" s="4"/>
      <c r="P1146" s="4"/>
      <c r="Q1146" s="4"/>
      <c r="R1146" s="4"/>
      <c r="S1146" s="4"/>
      <c r="T1146" s="4"/>
      <c r="U1146" s="4"/>
      <c r="V1146" s="4"/>
      <c r="W1146" s="4"/>
      <c r="X1146" s="4"/>
      <c r="Y1146" s="4"/>
      <c r="Z1146" s="4"/>
      <c r="AA1146" s="4"/>
      <c r="AB1146" s="4"/>
      <c r="AC1146" s="4"/>
      <c r="AD1146" s="4"/>
      <c r="AE1146" s="4"/>
      <c r="AF1146" s="4"/>
      <c r="AG1146" s="4"/>
    </row>
    <row r="1147" spans="1:33" x14ac:dyDescent="0.2">
      <c r="B1147" s="52"/>
      <c r="C1147" s="57" t="s">
        <v>780</v>
      </c>
      <c r="D1147" s="44"/>
      <c r="E1147" s="86" t="s">
        <v>1035</v>
      </c>
      <c r="F1147" s="22" t="str">
        <f>IF(H1148=1,IF(H1146=H$2,H1146,""),"")</f>
        <v/>
      </c>
      <c r="G1147" s="19"/>
      <c r="H1147" s="21" t="str">
        <f t="shared" ref="H1147" si="396">IF(E$1247="comprobar",COUNTIF(D1146:D1150,"x"),"")</f>
        <v/>
      </c>
      <c r="I1147" s="4"/>
      <c r="J1147" s="4"/>
      <c r="K1147" s="4"/>
      <c r="L1147" s="4"/>
      <c r="M1147" s="4"/>
      <c r="N1147" s="4"/>
      <c r="O1147" s="4"/>
      <c r="P1147" s="4"/>
      <c r="Q1147" s="4"/>
      <c r="R1147" s="4"/>
      <c r="S1147" s="4"/>
      <c r="T1147" s="4"/>
      <c r="U1147" s="4"/>
      <c r="V1147" s="4"/>
      <c r="W1147" s="4"/>
      <c r="X1147" s="4"/>
      <c r="Y1147" s="4"/>
      <c r="Z1147" s="4"/>
      <c r="AA1147" s="4"/>
      <c r="AB1147" s="4"/>
      <c r="AC1147" s="4"/>
      <c r="AD1147" s="4"/>
      <c r="AE1147" s="4"/>
      <c r="AF1147" s="4"/>
      <c r="AG1147" s="4"/>
    </row>
    <row r="1148" spans="1:33" x14ac:dyDescent="0.2">
      <c r="B1148" s="48"/>
      <c r="C1148" s="57" t="s">
        <v>781</v>
      </c>
      <c r="D1148" s="44"/>
      <c r="E1148" s="86" t="s">
        <v>1036</v>
      </c>
      <c r="F1148" s="23" t="str">
        <f>IF(H1148=-0.33,IF(H1146=H$1,H1146,""),"")</f>
        <v/>
      </c>
      <c r="G1148" s="19"/>
      <c r="H1148" s="24">
        <f t="shared" ref="H1148" si="397">IF(H1147=1,IF(H1146=H$2,1,-0.33),0)</f>
        <v>0</v>
      </c>
      <c r="I1148" s="4"/>
      <c r="J1148" s="4"/>
      <c r="K1148" s="4"/>
      <c r="L1148" s="4"/>
      <c r="M1148" s="4"/>
      <c r="N1148" s="4"/>
      <c r="O1148" s="4"/>
      <c r="P1148" s="4"/>
      <c r="Q1148" s="4"/>
      <c r="R1148" s="4"/>
      <c r="S1148" s="4"/>
      <c r="T1148" s="4"/>
      <c r="U1148" s="4"/>
      <c r="V1148" s="4"/>
      <c r="W1148" s="4"/>
      <c r="X1148" s="4"/>
      <c r="Y1148" s="4"/>
      <c r="Z1148" s="4"/>
      <c r="AA1148" s="4"/>
      <c r="AB1148" s="4"/>
      <c r="AC1148" s="4"/>
      <c r="AD1148" s="4"/>
      <c r="AE1148" s="4"/>
      <c r="AF1148" s="4"/>
      <c r="AG1148" s="4"/>
    </row>
    <row r="1149" spans="1:33" x14ac:dyDescent="0.2">
      <c r="B1149" s="48"/>
      <c r="C1149" s="57" t="s">
        <v>782</v>
      </c>
      <c r="D1149" s="44"/>
      <c r="E1149" s="86" t="s">
        <v>1037</v>
      </c>
      <c r="F1149" s="20"/>
      <c r="G1149" s="19"/>
      <c r="H1149" s="24"/>
      <c r="I1149" s="4"/>
      <c r="J1149" s="4"/>
      <c r="K1149" s="4"/>
      <c r="L1149" s="4"/>
      <c r="M1149" s="4"/>
      <c r="N1149" s="4"/>
      <c r="O1149" s="4"/>
      <c r="P1149" s="4"/>
      <c r="Q1149" s="4"/>
      <c r="R1149" s="4"/>
      <c r="S1149" s="4"/>
      <c r="T1149" s="4"/>
      <c r="U1149" s="4"/>
      <c r="V1149" s="4"/>
      <c r="W1149" s="4"/>
      <c r="X1149" s="4"/>
      <c r="Y1149" s="4"/>
      <c r="Z1149" s="4"/>
      <c r="AA1149" s="4"/>
      <c r="AB1149" s="4"/>
      <c r="AC1149" s="4"/>
      <c r="AD1149" s="4"/>
      <c r="AE1149" s="4"/>
      <c r="AF1149" s="4"/>
      <c r="AG1149" s="4"/>
    </row>
    <row r="1150" spans="1:33" x14ac:dyDescent="0.2">
      <c r="B1150" s="48"/>
      <c r="C1150" s="8"/>
      <c r="D1150" s="44"/>
      <c r="E1150" s="86" t="s">
        <v>1038</v>
      </c>
      <c r="F1150" s="20"/>
      <c r="G1150" s="19"/>
      <c r="H1150" s="24"/>
      <c r="I1150" s="4"/>
      <c r="J1150" s="4"/>
      <c r="K1150" s="4"/>
      <c r="L1150" s="4"/>
      <c r="M1150" s="4"/>
      <c r="N1150" s="4"/>
      <c r="O1150" s="4"/>
      <c r="P1150" s="4"/>
      <c r="Q1150" s="4"/>
      <c r="R1150" s="4"/>
      <c r="S1150" s="4"/>
      <c r="T1150" s="4"/>
      <c r="U1150" s="4"/>
      <c r="V1150" s="4"/>
      <c r="W1150" s="4"/>
      <c r="X1150" s="4"/>
      <c r="Y1150" s="4"/>
      <c r="Z1150" s="4"/>
      <c r="AA1150" s="4"/>
      <c r="AB1150" s="4"/>
      <c r="AC1150" s="4"/>
      <c r="AD1150" s="4"/>
      <c r="AE1150" s="4"/>
      <c r="AF1150" s="4"/>
      <c r="AG1150" s="4"/>
    </row>
    <row r="1151" spans="1:33" s="17" customFormat="1" x14ac:dyDescent="0.2">
      <c r="A1151" s="4"/>
      <c r="B1151" s="49" t="s">
        <v>783</v>
      </c>
      <c r="C1151" s="36"/>
      <c r="D1151" s="45"/>
      <c r="E1151" s="85"/>
      <c r="F1151" s="16"/>
      <c r="G1151" s="15"/>
      <c r="H1151" s="15"/>
    </row>
    <row r="1152" spans="1:33" x14ac:dyDescent="0.2">
      <c r="B1152" s="48"/>
      <c r="C1152" s="56" t="s">
        <v>784</v>
      </c>
      <c r="D1152" s="44"/>
      <c r="E1152" s="86" t="s">
        <v>1034</v>
      </c>
      <c r="F1152" s="20"/>
      <c r="G1152" s="19"/>
      <c r="H1152" s="21" t="b">
        <f>IF(D1154="x",H$2,H$1)</f>
        <v>0</v>
      </c>
      <c r="I1152" s="4"/>
      <c r="J1152" s="4"/>
      <c r="K1152" s="4"/>
      <c r="L1152" s="4"/>
      <c r="M1152" s="4"/>
      <c r="N1152" s="4"/>
      <c r="O1152" s="4"/>
      <c r="P1152" s="4"/>
      <c r="Q1152" s="4"/>
      <c r="R1152" s="4"/>
      <c r="S1152" s="4"/>
      <c r="T1152" s="4"/>
      <c r="U1152" s="4"/>
      <c r="V1152" s="4"/>
      <c r="W1152" s="4"/>
      <c r="X1152" s="4"/>
      <c r="Y1152" s="4"/>
      <c r="Z1152" s="4"/>
      <c r="AA1152" s="4"/>
      <c r="AB1152" s="4"/>
      <c r="AC1152" s="4"/>
      <c r="AD1152" s="4"/>
      <c r="AE1152" s="4"/>
      <c r="AF1152" s="4"/>
      <c r="AG1152" s="4"/>
    </row>
    <row r="1153" spans="1:33" x14ac:dyDescent="0.2">
      <c r="B1153" s="48"/>
      <c r="C1153" s="57" t="s">
        <v>785</v>
      </c>
      <c r="D1153" s="44"/>
      <c r="E1153" s="86" t="s">
        <v>1035</v>
      </c>
      <c r="F1153" s="22" t="str">
        <f>IF(H1154=1,IF(H1152=H$2,H1152,""),"")</f>
        <v/>
      </c>
      <c r="G1153" s="19"/>
      <c r="H1153" s="21" t="str">
        <f t="shared" ref="H1153" si="398">IF(E$1247="comprobar",COUNTIF(D1152:D1156,"x"),"")</f>
        <v/>
      </c>
      <c r="I1153" s="4"/>
      <c r="J1153" s="4"/>
      <c r="K1153" s="4"/>
      <c r="L1153" s="4"/>
      <c r="M1153" s="4"/>
      <c r="N1153" s="4"/>
      <c r="O1153" s="4"/>
      <c r="P1153" s="4"/>
      <c r="Q1153" s="4"/>
      <c r="R1153" s="4"/>
      <c r="S1153" s="4"/>
      <c r="T1153" s="4"/>
      <c r="U1153" s="4"/>
      <c r="V1153" s="4"/>
      <c r="W1153" s="4"/>
      <c r="X1153" s="4"/>
      <c r="Y1153" s="4"/>
      <c r="Z1153" s="4"/>
      <c r="AA1153" s="4"/>
      <c r="AB1153" s="4"/>
      <c r="AC1153" s="4"/>
      <c r="AD1153" s="4"/>
      <c r="AE1153" s="4"/>
      <c r="AF1153" s="4"/>
      <c r="AG1153" s="4"/>
    </row>
    <row r="1154" spans="1:33" x14ac:dyDescent="0.2">
      <c r="B1154" s="48"/>
      <c r="C1154" s="57" t="s">
        <v>786</v>
      </c>
      <c r="D1154" s="44"/>
      <c r="E1154" s="86" t="s">
        <v>1036</v>
      </c>
      <c r="F1154" s="23" t="str">
        <f>IF(H1154=-0.33,IF(H1152=H$1,H1152,""),"")</f>
        <v/>
      </c>
      <c r="G1154" s="19"/>
      <c r="H1154" s="24">
        <f t="shared" ref="H1154" si="399">IF(H1153=1,IF(H1152=H$2,1,-0.33),0)</f>
        <v>0</v>
      </c>
      <c r="I1154" s="4"/>
      <c r="J1154" s="4"/>
      <c r="K1154" s="4"/>
      <c r="L1154" s="4"/>
      <c r="M1154" s="4"/>
      <c r="N1154" s="4"/>
      <c r="O1154" s="4"/>
      <c r="P1154" s="4"/>
      <c r="Q1154" s="4"/>
      <c r="R1154" s="4"/>
      <c r="S1154" s="4"/>
      <c r="T1154" s="4"/>
      <c r="U1154" s="4"/>
      <c r="V1154" s="4"/>
      <c r="W1154" s="4"/>
      <c r="X1154" s="4"/>
      <c r="Y1154" s="4"/>
      <c r="Z1154" s="4"/>
      <c r="AA1154" s="4"/>
      <c r="AB1154" s="4"/>
      <c r="AC1154" s="4"/>
      <c r="AD1154" s="4"/>
      <c r="AE1154" s="4"/>
      <c r="AF1154" s="4"/>
      <c r="AG1154" s="4"/>
    </row>
    <row r="1155" spans="1:33" s="4" customFormat="1" x14ac:dyDescent="0.2">
      <c r="B1155" s="48"/>
      <c r="C1155" s="57" t="s">
        <v>787</v>
      </c>
      <c r="D1155" s="44"/>
      <c r="E1155" s="86" t="s">
        <v>1037</v>
      </c>
      <c r="F1155" s="20"/>
      <c r="G1155" s="19"/>
      <c r="H1155" s="24"/>
    </row>
    <row r="1156" spans="1:33" x14ac:dyDescent="0.2">
      <c r="B1156" s="48"/>
      <c r="C1156" s="8"/>
      <c r="D1156" s="44"/>
      <c r="E1156" s="86" t="s">
        <v>1038</v>
      </c>
      <c r="F1156" s="20"/>
      <c r="G1156" s="19"/>
      <c r="H1156" s="24"/>
      <c r="I1156" s="4"/>
      <c r="J1156" s="4"/>
      <c r="K1156" s="4"/>
      <c r="L1156" s="4"/>
      <c r="M1156" s="4"/>
      <c r="N1156" s="4"/>
      <c r="O1156" s="4"/>
      <c r="P1156" s="4"/>
      <c r="Q1156" s="4"/>
      <c r="R1156" s="4"/>
      <c r="S1156" s="4"/>
      <c r="T1156" s="4"/>
      <c r="U1156" s="4"/>
      <c r="V1156" s="4"/>
      <c r="W1156" s="4"/>
      <c r="X1156" s="4"/>
      <c r="Y1156" s="4"/>
      <c r="Z1156" s="4"/>
      <c r="AA1156" s="4"/>
      <c r="AB1156" s="4"/>
      <c r="AC1156" s="4"/>
      <c r="AD1156" s="4"/>
      <c r="AE1156" s="4"/>
      <c r="AF1156" s="4"/>
      <c r="AG1156" s="4"/>
    </row>
    <row r="1157" spans="1:33" s="17" customFormat="1" x14ac:dyDescent="0.2">
      <c r="A1157" s="4"/>
      <c r="B1157" s="49" t="s">
        <v>788</v>
      </c>
      <c r="C1157" s="13"/>
      <c r="D1157" s="45"/>
      <c r="E1157" s="85"/>
      <c r="F1157" s="16"/>
      <c r="G1157" s="15"/>
      <c r="H1157" s="15"/>
    </row>
    <row r="1158" spans="1:33" x14ac:dyDescent="0.2">
      <c r="B1158" s="52"/>
      <c r="C1158" s="56" t="s">
        <v>789</v>
      </c>
      <c r="D1158" s="44"/>
      <c r="E1158" s="86" t="s">
        <v>1034</v>
      </c>
      <c r="F1158" s="20"/>
      <c r="G1158" s="19"/>
      <c r="H1158" s="21" t="b">
        <f>IF(D1158="x",H$2,H$1)</f>
        <v>0</v>
      </c>
      <c r="I1158" s="4"/>
      <c r="J1158" s="4"/>
      <c r="K1158" s="4"/>
      <c r="L1158" s="4"/>
      <c r="M1158" s="4"/>
      <c r="N1158" s="4"/>
      <c r="O1158" s="4"/>
      <c r="P1158" s="4"/>
      <c r="Q1158" s="4"/>
      <c r="R1158" s="4"/>
      <c r="S1158" s="4"/>
      <c r="T1158" s="4"/>
      <c r="U1158" s="4"/>
      <c r="V1158" s="4"/>
      <c r="W1158" s="4"/>
      <c r="X1158" s="4"/>
      <c r="Y1158" s="4"/>
      <c r="Z1158" s="4"/>
      <c r="AA1158" s="4"/>
      <c r="AB1158" s="4"/>
      <c r="AC1158" s="4"/>
      <c r="AD1158" s="4"/>
      <c r="AE1158" s="4"/>
      <c r="AF1158" s="4"/>
      <c r="AG1158" s="4"/>
    </row>
    <row r="1159" spans="1:33" x14ac:dyDescent="0.2">
      <c r="B1159" s="48"/>
      <c r="C1159" s="57" t="s">
        <v>790</v>
      </c>
      <c r="D1159" s="44"/>
      <c r="E1159" s="86" t="s">
        <v>1035</v>
      </c>
      <c r="F1159" s="22" t="str">
        <f>IF(H1160=1,IF(H1158=H$2,H1158,""),"")</f>
        <v/>
      </c>
      <c r="G1159" s="19"/>
      <c r="H1159" s="21" t="str">
        <f t="shared" ref="H1159" si="400">IF(E$1247="comprobar",COUNTIF(D1158:D1162,"x"),"")</f>
        <v/>
      </c>
      <c r="I1159" s="4"/>
      <c r="J1159" s="4"/>
      <c r="K1159" s="4"/>
      <c r="L1159" s="4"/>
      <c r="M1159" s="4"/>
      <c r="N1159" s="4"/>
      <c r="O1159" s="4"/>
      <c r="P1159" s="4"/>
      <c r="Q1159" s="4"/>
      <c r="R1159" s="4"/>
      <c r="S1159" s="4"/>
      <c r="T1159" s="4"/>
      <c r="U1159" s="4"/>
      <c r="V1159" s="4"/>
      <c r="W1159" s="4"/>
      <c r="X1159" s="4"/>
      <c r="Y1159" s="4"/>
      <c r="Z1159" s="4"/>
      <c r="AA1159" s="4"/>
      <c r="AB1159" s="4"/>
      <c r="AC1159" s="4"/>
      <c r="AD1159" s="4"/>
      <c r="AE1159" s="4"/>
      <c r="AF1159" s="4"/>
      <c r="AG1159" s="4"/>
    </row>
    <row r="1160" spans="1:33" x14ac:dyDescent="0.2">
      <c r="B1160" s="48"/>
      <c r="C1160" s="57" t="s">
        <v>791</v>
      </c>
      <c r="D1160" s="44"/>
      <c r="E1160" s="86" t="s">
        <v>1036</v>
      </c>
      <c r="F1160" s="23" t="str">
        <f>IF(H1160=-0.33,IF(H1158=H$1,H1158,""),"")</f>
        <v/>
      </c>
      <c r="G1160" s="19"/>
      <c r="H1160" s="24">
        <f t="shared" ref="H1160" si="401">IF(H1159=1,IF(H1158=H$2,1,-0.33),0)</f>
        <v>0</v>
      </c>
      <c r="I1160" s="4"/>
      <c r="J1160" s="4"/>
      <c r="K1160" s="4"/>
      <c r="L1160" s="4"/>
      <c r="M1160" s="4"/>
      <c r="N1160" s="4"/>
      <c r="O1160" s="4"/>
      <c r="P1160" s="4"/>
      <c r="Q1160" s="4"/>
      <c r="R1160" s="4"/>
      <c r="S1160" s="4"/>
      <c r="T1160" s="4"/>
      <c r="U1160" s="4"/>
      <c r="V1160" s="4"/>
      <c r="W1160" s="4"/>
      <c r="X1160" s="4"/>
      <c r="Y1160" s="4"/>
      <c r="Z1160" s="4"/>
      <c r="AA1160" s="4"/>
      <c r="AB1160" s="4"/>
      <c r="AC1160" s="4"/>
      <c r="AD1160" s="4"/>
      <c r="AE1160" s="4"/>
      <c r="AF1160" s="4"/>
      <c r="AG1160" s="4"/>
    </row>
    <row r="1161" spans="1:33" x14ac:dyDescent="0.2">
      <c r="B1161" s="52"/>
      <c r="C1161" s="57"/>
      <c r="D1161" s="44"/>
      <c r="E1161" s="86" t="s">
        <v>1037</v>
      </c>
      <c r="F1161" s="20"/>
      <c r="G1161" s="19"/>
      <c r="H1161" s="24"/>
      <c r="I1161" s="4"/>
      <c r="J1161" s="4"/>
      <c r="K1161" s="4"/>
      <c r="L1161" s="4"/>
      <c r="M1161" s="4"/>
      <c r="N1161" s="4"/>
      <c r="O1161" s="4"/>
      <c r="P1161" s="4"/>
      <c r="Q1161" s="4"/>
      <c r="R1161" s="4"/>
      <c r="S1161" s="4"/>
      <c r="T1161" s="4"/>
      <c r="U1161" s="4"/>
      <c r="V1161" s="4"/>
      <c r="W1161" s="4"/>
      <c r="X1161" s="4"/>
      <c r="Y1161" s="4"/>
      <c r="Z1161" s="4"/>
      <c r="AA1161" s="4"/>
      <c r="AB1161" s="4"/>
      <c r="AC1161" s="4"/>
      <c r="AD1161" s="4"/>
      <c r="AE1161" s="4"/>
      <c r="AF1161" s="4"/>
      <c r="AG1161" s="4"/>
    </row>
    <row r="1162" spans="1:33" x14ac:dyDescent="0.2">
      <c r="B1162" s="48"/>
      <c r="C1162" s="8"/>
      <c r="D1162" s="44"/>
      <c r="E1162" s="86" t="s">
        <v>1038</v>
      </c>
      <c r="F1162" s="20"/>
      <c r="G1162" s="19"/>
      <c r="H1162" s="24"/>
      <c r="I1162" s="4"/>
      <c r="J1162" s="4"/>
      <c r="K1162" s="4"/>
      <c r="L1162" s="4"/>
      <c r="M1162" s="4"/>
      <c r="N1162" s="4"/>
      <c r="O1162" s="4"/>
      <c r="P1162" s="4"/>
      <c r="Q1162" s="4"/>
      <c r="R1162" s="4"/>
      <c r="S1162" s="4"/>
      <c r="T1162" s="4"/>
      <c r="U1162" s="4"/>
      <c r="V1162" s="4"/>
      <c r="W1162" s="4"/>
      <c r="X1162" s="4"/>
      <c r="Y1162" s="4"/>
      <c r="Z1162" s="4"/>
      <c r="AA1162" s="4"/>
      <c r="AB1162" s="4"/>
      <c r="AC1162" s="4"/>
      <c r="AD1162" s="4"/>
      <c r="AE1162" s="4"/>
      <c r="AF1162" s="4"/>
      <c r="AG1162" s="4"/>
    </row>
    <row r="1163" spans="1:33" s="58" customFormat="1" x14ac:dyDescent="0.2">
      <c r="A1163" s="100"/>
      <c r="B1163" s="109" t="s">
        <v>792</v>
      </c>
      <c r="C1163" s="110"/>
      <c r="D1163" s="96"/>
      <c r="E1163" s="85"/>
      <c r="F1163" s="82"/>
      <c r="G1163" s="59"/>
      <c r="H1163" s="59"/>
    </row>
    <row r="1164" spans="1:33" x14ac:dyDescent="0.2">
      <c r="B1164" s="48"/>
      <c r="C1164" s="56" t="s">
        <v>793</v>
      </c>
      <c r="D1164" s="44"/>
      <c r="E1164" s="86" t="s">
        <v>1034</v>
      </c>
      <c r="F1164" s="20"/>
      <c r="G1164" s="19"/>
      <c r="H1164" s="21" t="b">
        <f>IF(D1165="x",H$2,H$1)</f>
        <v>0</v>
      </c>
      <c r="I1164" s="4"/>
      <c r="J1164" s="4"/>
      <c r="K1164" s="4"/>
      <c r="L1164" s="4"/>
      <c r="M1164" s="4"/>
      <c r="N1164" s="4"/>
      <c r="O1164" s="4"/>
      <c r="P1164" s="4"/>
      <c r="Q1164" s="4"/>
      <c r="R1164" s="4"/>
      <c r="S1164" s="4"/>
      <c r="T1164" s="4"/>
      <c r="U1164" s="4"/>
      <c r="V1164" s="4"/>
      <c r="W1164" s="4"/>
      <c r="X1164" s="4"/>
      <c r="Y1164" s="4"/>
      <c r="Z1164" s="4"/>
      <c r="AA1164" s="4"/>
      <c r="AB1164" s="4"/>
      <c r="AC1164" s="4"/>
      <c r="AD1164" s="4"/>
      <c r="AE1164" s="4"/>
      <c r="AF1164" s="4"/>
      <c r="AG1164" s="4"/>
    </row>
    <row r="1165" spans="1:33" x14ac:dyDescent="0.2">
      <c r="B1165" s="52"/>
      <c r="C1165" s="57" t="s">
        <v>794</v>
      </c>
      <c r="D1165" s="44"/>
      <c r="E1165" s="86" t="s">
        <v>1035</v>
      </c>
      <c r="F1165" s="22" t="str">
        <f>IF(H1166=1,IF(H1164=H$2,H1164,""),"")</f>
        <v/>
      </c>
      <c r="G1165" s="19"/>
      <c r="H1165" s="21" t="str">
        <f t="shared" ref="H1165" si="402">IF(E$1247="comprobar",COUNTIF(D1164:D1168,"x"),"")</f>
        <v/>
      </c>
      <c r="I1165" s="4"/>
      <c r="J1165" s="4"/>
      <c r="K1165" s="4"/>
      <c r="L1165" s="4"/>
      <c r="M1165" s="4"/>
      <c r="N1165" s="4"/>
      <c r="O1165" s="4"/>
      <c r="P1165" s="4"/>
      <c r="Q1165" s="4"/>
      <c r="R1165" s="4"/>
      <c r="S1165" s="4"/>
      <c r="T1165" s="4"/>
      <c r="U1165" s="4"/>
      <c r="V1165" s="4"/>
      <c r="W1165" s="4"/>
      <c r="X1165" s="4"/>
      <c r="Y1165" s="4"/>
      <c r="Z1165" s="4"/>
      <c r="AA1165" s="4"/>
      <c r="AB1165" s="4"/>
      <c r="AC1165" s="4"/>
      <c r="AD1165" s="4"/>
      <c r="AE1165" s="4"/>
      <c r="AF1165" s="4"/>
      <c r="AG1165" s="4"/>
    </row>
    <row r="1166" spans="1:33" x14ac:dyDescent="0.2">
      <c r="B1166" s="52"/>
      <c r="C1166" s="57" t="s">
        <v>795</v>
      </c>
      <c r="D1166" s="44"/>
      <c r="E1166" s="86" t="s">
        <v>1036</v>
      </c>
      <c r="F1166" s="23" t="str">
        <f>IF(H1166=-0.33,IF(H1164=H$1,H1164,""),"")</f>
        <v/>
      </c>
      <c r="G1166" s="19"/>
      <c r="H1166" s="24">
        <f t="shared" ref="H1166" si="403">IF(H1165=1,IF(H1164=H$2,1,-0.33),0)</f>
        <v>0</v>
      </c>
      <c r="I1166" s="4"/>
      <c r="J1166" s="4"/>
      <c r="K1166" s="4"/>
      <c r="L1166" s="4"/>
      <c r="M1166" s="4"/>
      <c r="N1166" s="4"/>
      <c r="O1166" s="4"/>
      <c r="P1166" s="4"/>
      <c r="Q1166" s="4"/>
      <c r="R1166" s="4"/>
      <c r="S1166" s="4"/>
      <c r="T1166" s="4"/>
      <c r="U1166" s="4"/>
      <c r="V1166" s="4"/>
      <c r="W1166" s="4"/>
      <c r="X1166" s="4"/>
      <c r="Y1166" s="4"/>
      <c r="Z1166" s="4"/>
      <c r="AA1166" s="4"/>
      <c r="AB1166" s="4"/>
      <c r="AC1166" s="4"/>
      <c r="AD1166" s="4"/>
      <c r="AE1166" s="4"/>
      <c r="AF1166" s="4"/>
      <c r="AG1166" s="4"/>
    </row>
    <row r="1167" spans="1:33" x14ac:dyDescent="0.2">
      <c r="B1167" s="48"/>
      <c r="C1167" s="57" t="s">
        <v>796</v>
      </c>
      <c r="D1167" s="44"/>
      <c r="E1167" s="86" t="s">
        <v>1037</v>
      </c>
      <c r="F1167" s="20"/>
      <c r="G1167" s="19"/>
      <c r="H1167" s="24"/>
      <c r="I1167" s="4"/>
      <c r="J1167" s="4"/>
      <c r="K1167" s="4"/>
      <c r="L1167" s="4"/>
      <c r="M1167" s="4"/>
      <c r="N1167" s="4"/>
      <c r="O1167" s="4"/>
      <c r="P1167" s="4"/>
      <c r="Q1167" s="4"/>
      <c r="R1167" s="4"/>
      <c r="S1167" s="4"/>
      <c r="T1167" s="4"/>
      <c r="U1167" s="4"/>
      <c r="V1167" s="4"/>
      <c r="W1167" s="4"/>
      <c r="X1167" s="4"/>
      <c r="Y1167" s="4"/>
      <c r="Z1167" s="4"/>
      <c r="AA1167" s="4"/>
      <c r="AB1167" s="4"/>
      <c r="AC1167" s="4"/>
      <c r="AD1167" s="4"/>
      <c r="AE1167" s="4"/>
      <c r="AF1167" s="4"/>
      <c r="AG1167" s="4"/>
    </row>
    <row r="1168" spans="1:33" x14ac:dyDescent="0.2">
      <c r="B1168" s="48"/>
      <c r="C1168" s="8"/>
      <c r="D1168" s="44"/>
      <c r="E1168" s="86" t="s">
        <v>1038</v>
      </c>
      <c r="F1168" s="20"/>
      <c r="G1168" s="19"/>
      <c r="H1168" s="24"/>
      <c r="I1168" s="4"/>
      <c r="J1168" s="4"/>
      <c r="K1168" s="4"/>
      <c r="L1168" s="4"/>
      <c r="M1168" s="4"/>
      <c r="N1168" s="4"/>
      <c r="O1168" s="4"/>
      <c r="P1168" s="4"/>
      <c r="Q1168" s="4"/>
      <c r="R1168" s="4"/>
      <c r="S1168" s="4"/>
      <c r="T1168" s="4"/>
      <c r="U1168" s="4"/>
      <c r="V1168" s="4"/>
      <c r="W1168" s="4"/>
      <c r="X1168" s="4"/>
      <c r="Y1168" s="4"/>
      <c r="Z1168" s="4"/>
      <c r="AA1168" s="4"/>
      <c r="AB1168" s="4"/>
      <c r="AC1168" s="4"/>
      <c r="AD1168" s="4"/>
      <c r="AE1168" s="4"/>
      <c r="AF1168" s="4"/>
      <c r="AG1168" s="4"/>
    </row>
    <row r="1169" spans="1:33" x14ac:dyDescent="0.2">
      <c r="B1169" s="49" t="s">
        <v>797</v>
      </c>
      <c r="C1169" s="13"/>
      <c r="D1169" s="45"/>
      <c r="E1169" s="85"/>
      <c r="F1169" s="16"/>
      <c r="G1169" s="15"/>
      <c r="H1169" s="15"/>
      <c r="I1169" s="4"/>
      <c r="J1169" s="4"/>
      <c r="K1169" s="4"/>
      <c r="L1169" s="4"/>
      <c r="M1169" s="4"/>
      <c r="N1169" s="4"/>
      <c r="O1169" s="4"/>
      <c r="P1169" s="4"/>
      <c r="Q1169" s="4"/>
      <c r="R1169" s="4"/>
      <c r="S1169" s="4"/>
      <c r="T1169" s="4"/>
      <c r="U1169" s="4"/>
      <c r="V1169" s="4"/>
      <c r="W1169" s="4"/>
      <c r="X1169" s="4"/>
      <c r="Y1169" s="4"/>
      <c r="Z1169" s="4"/>
      <c r="AA1169" s="4"/>
      <c r="AB1169" s="4"/>
      <c r="AC1169" s="4"/>
      <c r="AD1169" s="4"/>
      <c r="AE1169" s="4"/>
      <c r="AF1169" s="4"/>
      <c r="AG1169" s="4"/>
    </row>
    <row r="1170" spans="1:33" x14ac:dyDescent="0.2">
      <c r="B1170" s="52"/>
      <c r="C1170" s="56" t="s">
        <v>798</v>
      </c>
      <c r="D1170" s="44"/>
      <c r="E1170" s="86" t="s">
        <v>1034</v>
      </c>
      <c r="F1170" s="20"/>
      <c r="G1170" s="19"/>
      <c r="H1170" s="21" t="b">
        <f>IF(D1172="x",H$2,H$1)</f>
        <v>0</v>
      </c>
      <c r="I1170" s="4"/>
      <c r="J1170" s="4"/>
      <c r="K1170" s="4"/>
      <c r="L1170" s="4"/>
      <c r="M1170" s="4"/>
      <c r="N1170" s="4"/>
      <c r="O1170" s="4"/>
      <c r="P1170" s="4"/>
      <c r="Q1170" s="4"/>
      <c r="R1170" s="4"/>
      <c r="S1170" s="4"/>
      <c r="T1170" s="4"/>
      <c r="U1170" s="4"/>
      <c r="V1170" s="4"/>
      <c r="W1170" s="4"/>
      <c r="X1170" s="4"/>
      <c r="Y1170" s="4"/>
      <c r="Z1170" s="4"/>
      <c r="AA1170" s="4"/>
      <c r="AB1170" s="4"/>
      <c r="AC1170" s="4"/>
      <c r="AD1170" s="4"/>
      <c r="AE1170" s="4"/>
      <c r="AF1170" s="4"/>
      <c r="AG1170" s="4"/>
    </row>
    <row r="1171" spans="1:33" x14ac:dyDescent="0.2">
      <c r="B1171" s="48"/>
      <c r="C1171" s="57" t="s">
        <v>799</v>
      </c>
      <c r="D1171" s="44"/>
      <c r="E1171" s="86" t="s">
        <v>1035</v>
      </c>
      <c r="F1171" s="22" t="str">
        <f>IF(H1172=1,IF(H1170=H$2,H1170,""),"")</f>
        <v/>
      </c>
      <c r="G1171" s="19"/>
      <c r="H1171" s="21" t="str">
        <f t="shared" ref="H1171" si="404">IF(E$1247="comprobar",COUNTIF(D1170:D1174,"x"),"")</f>
        <v/>
      </c>
      <c r="I1171" s="4"/>
      <c r="J1171" s="4"/>
      <c r="K1171" s="4"/>
      <c r="L1171" s="4"/>
      <c r="M1171" s="4"/>
      <c r="N1171" s="4"/>
      <c r="O1171" s="4"/>
      <c r="P1171" s="4"/>
      <c r="Q1171" s="4"/>
      <c r="R1171" s="4"/>
      <c r="S1171" s="4"/>
      <c r="T1171" s="4"/>
      <c r="U1171" s="4"/>
      <c r="V1171" s="4"/>
      <c r="W1171" s="4"/>
      <c r="X1171" s="4"/>
      <c r="Y1171" s="4"/>
      <c r="Z1171" s="4"/>
      <c r="AA1171" s="4"/>
      <c r="AB1171" s="4"/>
      <c r="AC1171" s="4"/>
      <c r="AD1171" s="4"/>
      <c r="AE1171" s="4"/>
      <c r="AF1171" s="4"/>
      <c r="AG1171" s="4"/>
    </row>
    <row r="1172" spans="1:33" x14ac:dyDescent="0.2">
      <c r="B1172" s="52"/>
      <c r="C1172" s="57" t="s">
        <v>800</v>
      </c>
      <c r="D1172" s="44"/>
      <c r="E1172" s="86" t="s">
        <v>1036</v>
      </c>
      <c r="F1172" s="23" t="str">
        <f>IF(H1172=-0.33,IF(H1170=H$1,H1170,""),"")</f>
        <v/>
      </c>
      <c r="G1172" s="19"/>
      <c r="H1172" s="24">
        <f t="shared" ref="H1172" si="405">IF(H1171=1,IF(H1170=H$2,1,-0.33),0)</f>
        <v>0</v>
      </c>
      <c r="I1172" s="4"/>
      <c r="J1172" s="4"/>
      <c r="K1172" s="4"/>
      <c r="L1172" s="4"/>
      <c r="M1172" s="4"/>
      <c r="N1172" s="4"/>
      <c r="O1172" s="4"/>
      <c r="P1172" s="4"/>
      <c r="Q1172" s="4"/>
      <c r="R1172" s="4"/>
      <c r="S1172" s="4"/>
      <c r="T1172" s="4"/>
      <c r="U1172" s="4"/>
      <c r="V1172" s="4"/>
      <c r="W1172" s="4"/>
      <c r="X1172" s="4"/>
      <c r="Y1172" s="4"/>
      <c r="Z1172" s="4"/>
      <c r="AA1172" s="4"/>
      <c r="AB1172" s="4"/>
      <c r="AC1172" s="4"/>
      <c r="AD1172" s="4"/>
      <c r="AE1172" s="4"/>
      <c r="AF1172" s="4"/>
      <c r="AG1172" s="4"/>
    </row>
    <row r="1173" spans="1:33" x14ac:dyDescent="0.2">
      <c r="B1173" s="48"/>
      <c r="C1173" s="57" t="s">
        <v>801</v>
      </c>
      <c r="D1173" s="44"/>
      <c r="E1173" s="86" t="s">
        <v>1037</v>
      </c>
      <c r="F1173" s="20"/>
      <c r="G1173" s="19"/>
      <c r="H1173" s="24"/>
      <c r="I1173" s="4"/>
      <c r="J1173" s="4"/>
      <c r="K1173" s="4"/>
      <c r="L1173" s="4"/>
      <c r="M1173" s="4"/>
      <c r="N1173" s="4"/>
      <c r="O1173" s="4"/>
      <c r="P1173" s="4"/>
      <c r="Q1173" s="4"/>
      <c r="R1173" s="4"/>
      <c r="S1173" s="4"/>
      <c r="T1173" s="4"/>
      <c r="U1173" s="4"/>
      <c r="V1173" s="4"/>
      <c r="W1173" s="4"/>
      <c r="X1173" s="4"/>
      <c r="Y1173" s="4"/>
      <c r="Z1173" s="4"/>
      <c r="AA1173" s="4"/>
      <c r="AB1173" s="4"/>
      <c r="AC1173" s="4"/>
      <c r="AD1173" s="4"/>
      <c r="AE1173" s="4"/>
      <c r="AF1173" s="4"/>
      <c r="AG1173" s="4"/>
    </row>
    <row r="1174" spans="1:33" x14ac:dyDescent="0.2">
      <c r="B1174" s="48"/>
      <c r="C1174" s="8"/>
      <c r="D1174" s="44"/>
      <c r="E1174" s="86" t="s">
        <v>1038</v>
      </c>
      <c r="F1174" s="20"/>
      <c r="G1174" s="19"/>
      <c r="H1174" s="24"/>
      <c r="I1174" s="4"/>
      <c r="J1174" s="4"/>
      <c r="K1174" s="4"/>
      <c r="L1174" s="4"/>
      <c r="M1174" s="4"/>
      <c r="N1174" s="4"/>
      <c r="O1174" s="4"/>
      <c r="P1174" s="4"/>
      <c r="Q1174" s="4"/>
      <c r="R1174" s="4"/>
      <c r="S1174" s="4"/>
      <c r="T1174" s="4"/>
      <c r="U1174" s="4"/>
      <c r="V1174" s="4"/>
      <c r="W1174" s="4"/>
      <c r="X1174" s="4"/>
      <c r="Y1174" s="4"/>
      <c r="Z1174" s="4"/>
      <c r="AA1174" s="4"/>
      <c r="AB1174" s="4"/>
      <c r="AC1174" s="4"/>
      <c r="AD1174" s="4"/>
      <c r="AE1174" s="4"/>
      <c r="AF1174" s="4"/>
      <c r="AG1174" s="4"/>
    </row>
    <row r="1175" spans="1:33" s="17" customFormat="1" x14ac:dyDescent="0.2">
      <c r="A1175" s="4"/>
      <c r="B1175" s="49" t="s">
        <v>802</v>
      </c>
      <c r="C1175" s="13"/>
      <c r="D1175" s="45"/>
      <c r="E1175" s="85"/>
      <c r="F1175" s="16"/>
      <c r="G1175" s="15"/>
      <c r="H1175" s="15"/>
    </row>
    <row r="1176" spans="1:33" s="4" customFormat="1" x14ac:dyDescent="0.2">
      <c r="B1176" s="52"/>
      <c r="C1176" s="56" t="s">
        <v>803</v>
      </c>
      <c r="D1176" s="44"/>
      <c r="E1176" s="86" t="s">
        <v>1034</v>
      </c>
      <c r="F1176" s="20"/>
      <c r="G1176" s="19"/>
      <c r="H1176" s="21" t="b">
        <f>IF(D1178="x",H$2,H$1)</f>
        <v>0</v>
      </c>
    </row>
    <row r="1177" spans="1:33" x14ac:dyDescent="0.2">
      <c r="B1177" s="48"/>
      <c r="C1177" s="57" t="s">
        <v>804</v>
      </c>
      <c r="D1177" s="44"/>
      <c r="E1177" s="86" t="s">
        <v>1035</v>
      </c>
      <c r="F1177" s="22" t="str">
        <f>IF(H1178=1,IF(H1176=H$2,H1176,""),"")</f>
        <v/>
      </c>
      <c r="G1177" s="19"/>
      <c r="H1177" s="21" t="str">
        <f t="shared" ref="H1177" si="406">IF(E$1247="comprobar",COUNTIF(D1176:D1180,"x"),"")</f>
        <v/>
      </c>
      <c r="I1177" s="4"/>
      <c r="J1177" s="4"/>
      <c r="K1177" s="4"/>
      <c r="L1177" s="4"/>
      <c r="M1177" s="4"/>
      <c r="N1177" s="4"/>
      <c r="O1177" s="4"/>
      <c r="P1177" s="4"/>
      <c r="Q1177" s="4"/>
      <c r="R1177" s="4"/>
      <c r="S1177" s="4"/>
      <c r="T1177" s="4"/>
      <c r="U1177" s="4"/>
      <c r="V1177" s="4"/>
      <c r="W1177" s="4"/>
      <c r="X1177" s="4"/>
      <c r="Y1177" s="4"/>
      <c r="Z1177" s="4"/>
      <c r="AA1177" s="4"/>
      <c r="AB1177" s="4"/>
      <c r="AC1177" s="4"/>
      <c r="AD1177" s="4"/>
      <c r="AE1177" s="4"/>
      <c r="AF1177" s="4"/>
      <c r="AG1177" s="4"/>
    </row>
    <row r="1178" spans="1:33" ht="32" x14ac:dyDescent="0.2">
      <c r="B1178" s="48"/>
      <c r="C1178" s="61" t="s">
        <v>805</v>
      </c>
      <c r="D1178" s="44"/>
      <c r="E1178" s="86" t="s">
        <v>1036</v>
      </c>
      <c r="F1178" s="23" t="str">
        <f>IF(H1178=-0.33,IF(H1176=H$1,H1176,""),"")</f>
        <v/>
      </c>
      <c r="G1178" s="19"/>
      <c r="H1178" s="24">
        <f t="shared" ref="H1178" si="407">IF(H1177=1,IF(H1176=H$2,1,-0.33),0)</f>
        <v>0</v>
      </c>
      <c r="I1178" s="4"/>
      <c r="J1178" s="4"/>
      <c r="K1178" s="4"/>
      <c r="L1178" s="4"/>
      <c r="M1178" s="4"/>
      <c r="N1178" s="4"/>
      <c r="O1178" s="4"/>
      <c r="P1178" s="4"/>
      <c r="Q1178" s="4"/>
      <c r="R1178" s="4"/>
      <c r="S1178" s="4"/>
      <c r="T1178" s="4"/>
      <c r="U1178" s="4"/>
      <c r="V1178" s="4"/>
      <c r="W1178" s="4"/>
      <c r="X1178" s="4"/>
      <c r="Y1178" s="4"/>
      <c r="Z1178" s="4"/>
      <c r="AA1178" s="4"/>
      <c r="AB1178" s="4"/>
      <c r="AC1178" s="4"/>
      <c r="AD1178" s="4"/>
      <c r="AE1178" s="4"/>
      <c r="AF1178" s="4"/>
      <c r="AG1178" s="4"/>
    </row>
    <row r="1179" spans="1:33" x14ac:dyDescent="0.2">
      <c r="B1179" s="48"/>
      <c r="C1179" s="57" t="s">
        <v>806</v>
      </c>
      <c r="D1179" s="44"/>
      <c r="E1179" s="86" t="s">
        <v>1037</v>
      </c>
      <c r="F1179" s="20"/>
      <c r="G1179" s="19"/>
      <c r="H1179" s="24"/>
      <c r="I1179" s="4"/>
      <c r="J1179" s="4"/>
      <c r="K1179" s="4"/>
      <c r="L1179" s="4"/>
      <c r="M1179" s="4"/>
      <c r="N1179" s="4"/>
      <c r="O1179" s="4"/>
      <c r="P1179" s="4"/>
      <c r="Q1179" s="4"/>
      <c r="R1179" s="4"/>
      <c r="S1179" s="4"/>
      <c r="T1179" s="4"/>
      <c r="U1179" s="4"/>
      <c r="V1179" s="4"/>
      <c r="W1179" s="4"/>
      <c r="X1179" s="4"/>
      <c r="Y1179" s="4"/>
      <c r="Z1179" s="4"/>
      <c r="AA1179" s="4"/>
      <c r="AB1179" s="4"/>
      <c r="AC1179" s="4"/>
      <c r="AD1179" s="4"/>
      <c r="AE1179" s="4"/>
      <c r="AF1179" s="4"/>
      <c r="AG1179" s="4"/>
    </row>
    <row r="1180" spans="1:33" x14ac:dyDescent="0.2">
      <c r="B1180" s="48"/>
      <c r="C1180" s="8"/>
      <c r="D1180" s="44"/>
      <c r="E1180" s="86" t="s">
        <v>1038</v>
      </c>
      <c r="F1180" s="12"/>
      <c r="G1180" s="19"/>
      <c r="H1180" s="24"/>
      <c r="I1180" s="4"/>
      <c r="J1180" s="4"/>
      <c r="K1180" s="4"/>
      <c r="L1180" s="4"/>
      <c r="M1180" s="4"/>
      <c r="N1180" s="4"/>
      <c r="O1180" s="4"/>
      <c r="P1180" s="4"/>
      <c r="Q1180" s="4"/>
      <c r="R1180" s="4"/>
      <c r="S1180" s="4"/>
      <c r="T1180" s="4"/>
      <c r="U1180" s="4"/>
      <c r="V1180" s="4"/>
      <c r="W1180" s="4"/>
      <c r="X1180" s="4"/>
      <c r="Y1180" s="4"/>
      <c r="Z1180" s="4"/>
      <c r="AA1180" s="4"/>
      <c r="AB1180" s="4"/>
      <c r="AC1180" s="4"/>
      <c r="AD1180" s="4"/>
      <c r="AE1180" s="4"/>
      <c r="AF1180" s="4"/>
      <c r="AG1180" s="4"/>
    </row>
    <row r="1181" spans="1:33" s="17" customFormat="1" x14ac:dyDescent="0.2">
      <c r="A1181" s="4"/>
      <c r="B1181" s="49" t="s">
        <v>807</v>
      </c>
      <c r="C1181" s="13"/>
      <c r="D1181" s="45"/>
      <c r="E1181" s="85"/>
      <c r="F1181" s="30"/>
      <c r="G1181" s="29"/>
      <c r="H1181" s="15"/>
    </row>
    <row r="1182" spans="1:33" x14ac:dyDescent="0.2">
      <c r="B1182" s="48"/>
      <c r="C1182" s="56" t="s">
        <v>808</v>
      </c>
      <c r="D1182" s="44"/>
      <c r="E1182" s="86" t="s">
        <v>1034</v>
      </c>
      <c r="F1182" s="27"/>
      <c r="G1182" s="26"/>
      <c r="H1182" s="21" t="b">
        <f>IF(D1182="x",H$2,H$1)</f>
        <v>0</v>
      </c>
      <c r="I1182" s="4"/>
      <c r="J1182" s="4"/>
      <c r="K1182" s="4"/>
      <c r="L1182" s="4"/>
      <c r="M1182" s="4"/>
      <c r="N1182" s="4"/>
      <c r="O1182" s="4"/>
      <c r="P1182" s="4"/>
      <c r="Q1182" s="4"/>
      <c r="R1182" s="4"/>
      <c r="S1182" s="4"/>
      <c r="T1182" s="4"/>
      <c r="U1182" s="4"/>
      <c r="V1182" s="4"/>
      <c r="W1182" s="4"/>
      <c r="X1182" s="4"/>
      <c r="Y1182" s="4"/>
      <c r="Z1182" s="4"/>
      <c r="AA1182" s="4"/>
      <c r="AB1182" s="4"/>
      <c r="AC1182" s="4"/>
      <c r="AD1182" s="4"/>
      <c r="AE1182" s="4"/>
      <c r="AF1182" s="4"/>
      <c r="AG1182" s="4"/>
    </row>
    <row r="1183" spans="1:33" x14ac:dyDescent="0.2">
      <c r="B1183" s="48"/>
      <c r="C1183" s="61" t="s">
        <v>809</v>
      </c>
      <c r="D1183" s="44"/>
      <c r="E1183" s="86" t="s">
        <v>1035</v>
      </c>
      <c r="F1183" s="22" t="str">
        <f>IF(H1184=1,IF(H1182=H$2,H1182,""),"")</f>
        <v/>
      </c>
      <c r="G1183" s="26"/>
      <c r="H1183" s="21" t="str">
        <f t="shared" ref="H1183" si="408">IF(E$1247="comprobar",COUNTIF(D1182:D1186,"x"),"")</f>
        <v/>
      </c>
      <c r="I1183" s="4"/>
      <c r="J1183" s="4"/>
      <c r="K1183" s="4"/>
      <c r="L1183" s="4"/>
      <c r="M1183" s="4"/>
      <c r="N1183" s="4"/>
      <c r="O1183" s="4"/>
      <c r="P1183" s="4"/>
      <c r="Q1183" s="4"/>
      <c r="R1183" s="4"/>
      <c r="S1183" s="4"/>
      <c r="T1183" s="4"/>
      <c r="U1183" s="4"/>
      <c r="V1183" s="4"/>
      <c r="W1183" s="4"/>
      <c r="X1183" s="4"/>
      <c r="Y1183" s="4"/>
      <c r="Z1183" s="4"/>
      <c r="AA1183" s="4"/>
      <c r="AB1183" s="4"/>
      <c r="AC1183" s="4"/>
      <c r="AD1183" s="4"/>
      <c r="AE1183" s="4"/>
      <c r="AF1183" s="4"/>
      <c r="AG1183" s="4"/>
    </row>
    <row r="1184" spans="1:33" x14ac:dyDescent="0.2">
      <c r="B1184" s="52"/>
      <c r="C1184" s="57" t="s">
        <v>810</v>
      </c>
      <c r="D1184" s="44"/>
      <c r="E1184" s="86" t="s">
        <v>1036</v>
      </c>
      <c r="F1184" s="23" t="str">
        <f>IF(H1184=-0.33,IF(H1182=H$1,H1182,""),"")</f>
        <v/>
      </c>
      <c r="G1184" s="26"/>
      <c r="H1184" s="24">
        <f t="shared" ref="H1184" si="409">IF(H1183=1,IF(H1182=H$2,1,-0.33),0)</f>
        <v>0</v>
      </c>
      <c r="I1184" s="4"/>
      <c r="J1184" s="4"/>
      <c r="K1184" s="4"/>
      <c r="L1184" s="4"/>
      <c r="M1184" s="4"/>
      <c r="N1184" s="4"/>
      <c r="O1184" s="4"/>
      <c r="P1184" s="4"/>
      <c r="Q1184" s="4"/>
      <c r="R1184" s="4"/>
      <c r="S1184" s="4"/>
      <c r="T1184" s="4"/>
      <c r="U1184" s="4"/>
      <c r="V1184" s="4"/>
      <c r="W1184" s="4"/>
      <c r="X1184" s="4"/>
      <c r="Y1184" s="4"/>
      <c r="Z1184" s="4"/>
      <c r="AA1184" s="4"/>
      <c r="AB1184" s="4"/>
      <c r="AC1184" s="4"/>
      <c r="AD1184" s="4"/>
      <c r="AE1184" s="4"/>
      <c r="AF1184" s="4"/>
      <c r="AG1184" s="4"/>
    </row>
    <row r="1185" spans="1:33" x14ac:dyDescent="0.2">
      <c r="B1185" s="48"/>
      <c r="C1185" s="57"/>
      <c r="D1185" s="44"/>
      <c r="E1185" s="86" t="s">
        <v>1037</v>
      </c>
      <c r="F1185" s="28"/>
      <c r="G1185" s="26"/>
      <c r="H1185" s="24"/>
      <c r="I1185" s="4"/>
      <c r="J1185" s="4"/>
      <c r="K1185" s="4"/>
      <c r="L1185" s="4"/>
      <c r="M1185" s="4"/>
      <c r="N1185" s="4"/>
      <c r="O1185" s="4"/>
      <c r="P1185" s="4"/>
      <c r="Q1185" s="4"/>
      <c r="R1185" s="4"/>
      <c r="S1185" s="4"/>
      <c r="T1185" s="4"/>
      <c r="U1185" s="4"/>
      <c r="V1185" s="4"/>
      <c r="W1185" s="4"/>
      <c r="X1185" s="4"/>
      <c r="Y1185" s="4"/>
      <c r="Z1185" s="4"/>
      <c r="AA1185" s="4"/>
      <c r="AB1185" s="4"/>
      <c r="AC1185" s="4"/>
      <c r="AD1185" s="4"/>
      <c r="AE1185" s="4"/>
      <c r="AF1185" s="4"/>
      <c r="AG1185" s="4"/>
    </row>
    <row r="1186" spans="1:33" x14ac:dyDescent="0.2">
      <c r="B1186" s="48"/>
      <c r="C1186" s="8"/>
      <c r="D1186" s="44"/>
      <c r="E1186" s="86" t="s">
        <v>1038</v>
      </c>
      <c r="F1186" s="28"/>
      <c r="G1186" s="26"/>
      <c r="H1186" s="24"/>
      <c r="I1186" s="4"/>
      <c r="J1186" s="4"/>
      <c r="K1186" s="4"/>
      <c r="L1186" s="4"/>
      <c r="M1186" s="4"/>
      <c r="N1186" s="4"/>
      <c r="O1186" s="4"/>
      <c r="P1186" s="4"/>
      <c r="Q1186" s="4"/>
      <c r="R1186" s="4"/>
      <c r="S1186" s="4"/>
      <c r="T1186" s="4"/>
      <c r="U1186" s="4"/>
      <c r="V1186" s="4"/>
      <c r="W1186" s="4"/>
      <c r="X1186" s="4"/>
      <c r="Y1186" s="4"/>
      <c r="Z1186" s="4"/>
      <c r="AA1186" s="4"/>
      <c r="AB1186" s="4"/>
      <c r="AC1186" s="4"/>
      <c r="AD1186" s="4"/>
      <c r="AE1186" s="4"/>
      <c r="AF1186" s="4"/>
      <c r="AG1186" s="4"/>
    </row>
    <row r="1187" spans="1:33" s="17" customFormat="1" x14ac:dyDescent="0.2">
      <c r="A1187" s="4"/>
      <c r="B1187" s="49" t="s">
        <v>811</v>
      </c>
      <c r="C1187" s="13"/>
      <c r="D1187" s="45"/>
      <c r="E1187" s="85"/>
      <c r="F1187" s="30"/>
      <c r="G1187" s="29"/>
      <c r="H1187" s="15"/>
    </row>
    <row r="1188" spans="1:33" x14ac:dyDescent="0.2">
      <c r="B1188" s="48"/>
      <c r="C1188" s="56" t="s">
        <v>812</v>
      </c>
      <c r="D1188" s="44"/>
      <c r="E1188" s="86" t="s">
        <v>1034</v>
      </c>
      <c r="F1188" s="27"/>
      <c r="G1188" s="26"/>
      <c r="H1188" s="21" t="b">
        <f>IF(D1191="x",H$2,H$1)</f>
        <v>0</v>
      </c>
      <c r="I1188" s="4"/>
      <c r="J1188" s="4"/>
      <c r="K1188" s="4"/>
      <c r="L1188" s="4"/>
      <c r="M1188" s="4"/>
      <c r="N1188" s="4"/>
      <c r="O1188" s="4"/>
      <c r="P1188" s="4"/>
      <c r="Q1188" s="4"/>
      <c r="R1188" s="4"/>
      <c r="S1188" s="4"/>
      <c r="T1188" s="4"/>
      <c r="U1188" s="4"/>
      <c r="V1188" s="4"/>
      <c r="W1188" s="4"/>
      <c r="X1188" s="4"/>
      <c r="Y1188" s="4"/>
      <c r="Z1188" s="4"/>
      <c r="AA1188" s="4"/>
      <c r="AB1188" s="4"/>
      <c r="AC1188" s="4"/>
      <c r="AD1188" s="4"/>
      <c r="AE1188" s="4"/>
      <c r="AF1188" s="4"/>
      <c r="AG1188" s="4"/>
    </row>
    <row r="1189" spans="1:33" x14ac:dyDescent="0.2">
      <c r="B1189" s="48"/>
      <c r="C1189" s="57" t="s">
        <v>813</v>
      </c>
      <c r="D1189" s="44"/>
      <c r="E1189" s="86" t="s">
        <v>1035</v>
      </c>
      <c r="F1189" s="22" t="str">
        <f>IF(H1190=1,IF(H1188=H$2,H1188,""),"")</f>
        <v/>
      </c>
      <c r="G1189" s="26"/>
      <c r="H1189" s="21" t="str">
        <f t="shared" ref="H1189" si="410">IF(E$1247="comprobar",COUNTIF(D1188:D1192,"x"),"")</f>
        <v/>
      </c>
      <c r="I1189" s="4"/>
      <c r="J1189" s="4"/>
      <c r="K1189" s="4"/>
      <c r="L1189" s="4"/>
      <c r="M1189" s="4"/>
      <c r="N1189" s="4"/>
      <c r="O1189" s="4"/>
      <c r="P1189" s="4"/>
      <c r="Q1189" s="4"/>
      <c r="R1189" s="4"/>
      <c r="S1189" s="4"/>
      <c r="T1189" s="4"/>
      <c r="U1189" s="4"/>
      <c r="V1189" s="4"/>
      <c r="W1189" s="4"/>
      <c r="X1189" s="4"/>
      <c r="Y1189" s="4"/>
      <c r="Z1189" s="4"/>
      <c r="AA1189" s="4"/>
      <c r="AB1189" s="4"/>
      <c r="AC1189" s="4"/>
      <c r="AD1189" s="4"/>
      <c r="AE1189" s="4"/>
      <c r="AF1189" s="4"/>
      <c r="AG1189" s="4"/>
    </row>
    <row r="1190" spans="1:33" x14ac:dyDescent="0.2">
      <c r="B1190" s="52"/>
      <c r="C1190" s="57" t="s">
        <v>814</v>
      </c>
      <c r="D1190" s="44"/>
      <c r="E1190" s="86" t="s">
        <v>1036</v>
      </c>
      <c r="F1190" s="23" t="str">
        <f>IF(H1190=-0.33,IF(H1188=H$1,H1188,""),"")</f>
        <v/>
      </c>
      <c r="G1190" s="26"/>
      <c r="H1190" s="24">
        <f t="shared" ref="H1190" si="411">IF(H1189=1,IF(H1188=H$2,1,-0.33),0)</f>
        <v>0</v>
      </c>
      <c r="I1190" s="4"/>
      <c r="J1190" s="4"/>
      <c r="K1190" s="4"/>
      <c r="L1190" s="4"/>
      <c r="M1190" s="4"/>
      <c r="N1190" s="4"/>
      <c r="O1190" s="4"/>
      <c r="P1190" s="4"/>
      <c r="Q1190" s="4"/>
      <c r="R1190" s="4"/>
      <c r="S1190" s="4"/>
      <c r="T1190" s="4"/>
      <c r="U1190" s="4"/>
      <c r="V1190" s="4"/>
      <c r="W1190" s="4"/>
      <c r="X1190" s="4"/>
      <c r="Y1190" s="4"/>
      <c r="Z1190" s="4"/>
      <c r="AA1190" s="4"/>
      <c r="AB1190" s="4"/>
      <c r="AC1190" s="4"/>
      <c r="AD1190" s="4"/>
      <c r="AE1190" s="4"/>
      <c r="AF1190" s="4"/>
      <c r="AG1190" s="4"/>
    </row>
    <row r="1191" spans="1:33" s="4" customFormat="1" x14ac:dyDescent="0.2">
      <c r="B1191" s="48"/>
      <c r="C1191" s="57" t="s">
        <v>815</v>
      </c>
      <c r="D1191" s="44"/>
      <c r="E1191" s="86" t="s">
        <v>1037</v>
      </c>
      <c r="F1191" s="20"/>
      <c r="G1191" s="55"/>
      <c r="H1191" s="24"/>
    </row>
    <row r="1192" spans="1:33" x14ac:dyDescent="0.2">
      <c r="B1192" s="48"/>
      <c r="C1192" s="8"/>
      <c r="D1192" s="44"/>
      <c r="E1192" s="86" t="s">
        <v>1038</v>
      </c>
      <c r="F1192" s="28"/>
      <c r="G1192" s="26"/>
      <c r="H1192" s="24"/>
      <c r="I1192" s="4"/>
      <c r="J1192" s="4"/>
      <c r="K1192" s="4"/>
      <c r="L1192" s="4"/>
      <c r="M1192" s="4"/>
      <c r="N1192" s="4"/>
      <c r="O1192" s="4"/>
      <c r="P1192" s="4"/>
      <c r="Q1192" s="4"/>
      <c r="R1192" s="4"/>
      <c r="S1192" s="4"/>
      <c r="T1192" s="4"/>
      <c r="U1192" s="4"/>
      <c r="V1192" s="4"/>
      <c r="W1192" s="4"/>
      <c r="X1192" s="4"/>
      <c r="Y1192" s="4"/>
      <c r="Z1192" s="4"/>
      <c r="AA1192" s="4"/>
      <c r="AB1192" s="4"/>
      <c r="AC1192" s="4"/>
      <c r="AD1192" s="4"/>
      <c r="AE1192" s="4"/>
      <c r="AF1192" s="4"/>
      <c r="AG1192" s="4"/>
    </row>
    <row r="1193" spans="1:33" s="17" customFormat="1" x14ac:dyDescent="0.2">
      <c r="A1193" s="4"/>
      <c r="B1193" s="49" t="s">
        <v>816</v>
      </c>
      <c r="C1193" s="13"/>
      <c r="D1193" s="45"/>
      <c r="E1193" s="85"/>
      <c r="F1193" s="30"/>
      <c r="G1193" s="29"/>
      <c r="H1193" s="15"/>
    </row>
    <row r="1194" spans="1:33" x14ac:dyDescent="0.2">
      <c r="B1194" s="48"/>
      <c r="C1194" s="56" t="s">
        <v>817</v>
      </c>
      <c r="D1194" s="44"/>
      <c r="E1194" s="86" t="s">
        <v>1034</v>
      </c>
      <c r="F1194" s="27"/>
      <c r="G1194" s="26"/>
      <c r="H1194" s="21" t="b">
        <f>IF(D1196="x",H$2,H$1)</f>
        <v>0</v>
      </c>
      <c r="I1194" s="4"/>
      <c r="J1194" s="4"/>
      <c r="K1194" s="4"/>
      <c r="L1194" s="4"/>
      <c r="M1194" s="4"/>
      <c r="N1194" s="4"/>
      <c r="O1194" s="4"/>
      <c r="P1194" s="4"/>
      <c r="Q1194" s="4"/>
      <c r="R1194" s="4"/>
      <c r="S1194" s="4"/>
      <c r="T1194" s="4"/>
      <c r="U1194" s="4"/>
      <c r="V1194" s="4"/>
      <c r="W1194" s="4"/>
      <c r="X1194" s="4"/>
      <c r="Y1194" s="4"/>
      <c r="Z1194" s="4"/>
      <c r="AA1194" s="4"/>
      <c r="AB1194" s="4"/>
      <c r="AC1194" s="4"/>
      <c r="AD1194" s="4"/>
      <c r="AE1194" s="4"/>
      <c r="AF1194" s="4"/>
      <c r="AG1194" s="4"/>
    </row>
    <row r="1195" spans="1:33" x14ac:dyDescent="0.2">
      <c r="B1195" s="48"/>
      <c r="C1195" s="57" t="s">
        <v>818</v>
      </c>
      <c r="D1195" s="44"/>
      <c r="E1195" s="86" t="s">
        <v>1035</v>
      </c>
      <c r="F1195" s="22" t="str">
        <f>IF(H1196=1,IF(H1194=H$2,H1194,""),"")</f>
        <v/>
      </c>
      <c r="G1195" s="26"/>
      <c r="H1195" s="21" t="str">
        <f t="shared" ref="H1195" si="412">IF(E$1247="comprobar",COUNTIF(D1194:D1198,"x"),"")</f>
        <v/>
      </c>
      <c r="I1195" s="4"/>
      <c r="J1195" s="4"/>
      <c r="K1195" s="4"/>
      <c r="L1195" s="4"/>
      <c r="M1195" s="4"/>
      <c r="N1195" s="4"/>
      <c r="O1195" s="4"/>
      <c r="P1195" s="4"/>
      <c r="Q1195" s="4"/>
      <c r="R1195" s="4"/>
      <c r="S1195" s="4"/>
      <c r="T1195" s="4"/>
      <c r="U1195" s="4"/>
      <c r="V1195" s="4"/>
      <c r="W1195" s="4"/>
      <c r="X1195" s="4"/>
      <c r="Y1195" s="4"/>
      <c r="Z1195" s="4"/>
      <c r="AA1195" s="4"/>
      <c r="AB1195" s="4"/>
      <c r="AC1195" s="4"/>
      <c r="AD1195" s="4"/>
      <c r="AE1195" s="4"/>
      <c r="AF1195" s="4"/>
      <c r="AG1195" s="4"/>
    </row>
    <row r="1196" spans="1:33" x14ac:dyDescent="0.2">
      <c r="B1196" s="48"/>
      <c r="C1196" s="57" t="s">
        <v>819</v>
      </c>
      <c r="D1196" s="44"/>
      <c r="E1196" s="86" t="s">
        <v>1036</v>
      </c>
      <c r="F1196" s="23" t="str">
        <f>IF(H1196=-0.33,IF(H1194=H$1,H1194,""),"")</f>
        <v/>
      </c>
      <c r="G1196" s="26"/>
      <c r="H1196" s="24">
        <f t="shared" ref="H1196" si="413">IF(H1195=1,IF(H1194=H$2,1,-0.33),0)</f>
        <v>0</v>
      </c>
      <c r="I1196" s="4"/>
      <c r="J1196" s="4"/>
      <c r="K1196" s="4"/>
      <c r="L1196" s="4"/>
      <c r="M1196" s="4"/>
      <c r="N1196" s="4"/>
      <c r="O1196" s="4"/>
      <c r="P1196" s="4"/>
      <c r="Q1196" s="4"/>
      <c r="R1196" s="4"/>
      <c r="S1196" s="4"/>
      <c r="T1196" s="4"/>
      <c r="U1196" s="4"/>
      <c r="V1196" s="4"/>
      <c r="W1196" s="4"/>
      <c r="X1196" s="4"/>
      <c r="Y1196" s="4"/>
      <c r="Z1196" s="4"/>
      <c r="AA1196" s="4"/>
      <c r="AB1196" s="4"/>
      <c r="AC1196" s="4"/>
      <c r="AD1196" s="4"/>
      <c r="AE1196" s="4"/>
      <c r="AF1196" s="4"/>
      <c r="AG1196" s="4"/>
    </row>
    <row r="1197" spans="1:33" x14ac:dyDescent="0.2">
      <c r="B1197" s="48"/>
      <c r="C1197" s="57" t="s">
        <v>820</v>
      </c>
      <c r="D1197" s="44"/>
      <c r="E1197" s="86" t="s">
        <v>1037</v>
      </c>
      <c r="F1197" s="28"/>
      <c r="G1197" s="26"/>
      <c r="H1197" s="24"/>
      <c r="I1197" s="4"/>
      <c r="J1197" s="4"/>
      <c r="K1197" s="4"/>
      <c r="L1197" s="4"/>
      <c r="M1197" s="4"/>
      <c r="N1197" s="4"/>
      <c r="O1197" s="4"/>
      <c r="P1197" s="4"/>
      <c r="Q1197" s="4"/>
      <c r="R1197" s="4"/>
      <c r="S1197" s="4"/>
      <c r="T1197" s="4"/>
      <c r="U1197" s="4"/>
      <c r="V1197" s="4"/>
      <c r="W1197" s="4"/>
      <c r="X1197" s="4"/>
      <c r="Y1197" s="4"/>
      <c r="Z1197" s="4"/>
      <c r="AA1197" s="4"/>
      <c r="AB1197" s="4"/>
      <c r="AC1197" s="4"/>
      <c r="AD1197" s="4"/>
      <c r="AE1197" s="4"/>
      <c r="AF1197" s="4"/>
      <c r="AG1197" s="4"/>
    </row>
    <row r="1198" spans="1:33" x14ac:dyDescent="0.2">
      <c r="B1198" s="48"/>
      <c r="C1198" s="8"/>
      <c r="D1198" s="44"/>
      <c r="E1198" s="86" t="s">
        <v>1038</v>
      </c>
      <c r="F1198" s="28"/>
      <c r="G1198" s="26"/>
      <c r="H1198" s="24"/>
      <c r="I1198" s="4"/>
      <c r="J1198" s="4"/>
      <c r="K1198" s="4"/>
      <c r="L1198" s="4"/>
      <c r="M1198" s="4"/>
      <c r="N1198" s="4"/>
      <c r="O1198" s="4"/>
      <c r="P1198" s="4"/>
      <c r="Q1198" s="4"/>
      <c r="R1198" s="4"/>
      <c r="S1198" s="4"/>
      <c r="T1198" s="4"/>
      <c r="U1198" s="4"/>
      <c r="V1198" s="4"/>
      <c r="W1198" s="4"/>
      <c r="X1198" s="4"/>
      <c r="Y1198" s="4"/>
      <c r="Z1198" s="4"/>
      <c r="AA1198" s="4"/>
      <c r="AB1198" s="4"/>
      <c r="AC1198" s="4"/>
      <c r="AD1198" s="4"/>
      <c r="AE1198" s="4"/>
      <c r="AF1198" s="4"/>
      <c r="AG1198" s="4"/>
    </row>
    <row r="1199" spans="1:33" x14ac:dyDescent="0.2">
      <c r="B1199" s="49" t="s">
        <v>821</v>
      </c>
      <c r="C1199" s="13"/>
      <c r="D1199" s="45"/>
      <c r="E1199" s="85"/>
      <c r="F1199" s="16"/>
      <c r="G1199" s="15"/>
      <c r="H1199" s="15"/>
      <c r="I1199" s="4"/>
      <c r="J1199" s="4"/>
      <c r="K1199" s="4"/>
      <c r="L1199" s="4"/>
      <c r="M1199" s="4"/>
      <c r="N1199" s="4"/>
      <c r="O1199" s="4"/>
      <c r="P1199" s="4"/>
      <c r="Q1199" s="4"/>
      <c r="R1199" s="4"/>
      <c r="S1199" s="4"/>
      <c r="T1199" s="4"/>
      <c r="U1199" s="4"/>
      <c r="V1199" s="4"/>
      <c r="W1199" s="4"/>
      <c r="X1199" s="4"/>
      <c r="Y1199" s="4"/>
      <c r="Z1199" s="4"/>
      <c r="AA1199" s="4"/>
      <c r="AB1199" s="4"/>
      <c r="AC1199" s="4"/>
      <c r="AD1199" s="4"/>
      <c r="AE1199" s="4"/>
      <c r="AF1199" s="4"/>
      <c r="AG1199" s="4"/>
    </row>
    <row r="1200" spans="1:33" x14ac:dyDescent="0.2">
      <c r="B1200" s="48"/>
      <c r="C1200" s="56" t="s">
        <v>822</v>
      </c>
      <c r="D1200" s="44"/>
      <c r="E1200" s="86" t="s">
        <v>1034</v>
      </c>
      <c r="F1200" s="20"/>
      <c r="G1200" s="19"/>
      <c r="H1200" s="21" t="b">
        <f t="shared" ref="H1200" si="414">IF(D1202="x",H$2,H$1)</f>
        <v>0</v>
      </c>
      <c r="I1200" s="4"/>
      <c r="J1200" s="4"/>
      <c r="K1200" s="4"/>
      <c r="L1200" s="4"/>
      <c r="M1200" s="4"/>
      <c r="N1200" s="4"/>
      <c r="O1200" s="4"/>
      <c r="P1200" s="4"/>
      <c r="Q1200" s="4"/>
      <c r="R1200" s="4"/>
      <c r="S1200" s="4"/>
      <c r="T1200" s="4"/>
      <c r="U1200" s="4"/>
      <c r="V1200" s="4"/>
      <c r="W1200" s="4"/>
      <c r="X1200" s="4"/>
      <c r="Y1200" s="4"/>
      <c r="Z1200" s="4"/>
      <c r="AA1200" s="4"/>
      <c r="AB1200" s="4"/>
      <c r="AC1200" s="4"/>
      <c r="AD1200" s="4"/>
      <c r="AE1200" s="4"/>
      <c r="AF1200" s="4"/>
      <c r="AG1200" s="4"/>
    </row>
    <row r="1201" spans="1:33" x14ac:dyDescent="0.2">
      <c r="B1201" s="52"/>
      <c r="C1201" s="57" t="s">
        <v>823</v>
      </c>
      <c r="D1201" s="44"/>
      <c r="E1201" s="86" t="s">
        <v>1035</v>
      </c>
      <c r="F1201" s="22" t="str">
        <f>IF(H1202=1,IF(H1200=H$2,H1200,""),"")</f>
        <v/>
      </c>
      <c r="G1201" s="19"/>
      <c r="H1201" s="21" t="str">
        <f t="shared" ref="H1201" si="415">IF(E$1247="comprobar",COUNTIF(D1200:D1204,"x"),"")</f>
        <v/>
      </c>
      <c r="I1201" s="4"/>
      <c r="J1201" s="4"/>
      <c r="K1201" s="4"/>
      <c r="L1201" s="4"/>
      <c r="M1201" s="4"/>
      <c r="N1201" s="4"/>
      <c r="O1201" s="4"/>
      <c r="P1201" s="4"/>
      <c r="Q1201" s="4"/>
      <c r="R1201" s="4"/>
      <c r="S1201" s="4"/>
      <c r="T1201" s="4"/>
      <c r="U1201" s="4"/>
      <c r="V1201" s="4"/>
      <c r="W1201" s="4"/>
      <c r="X1201" s="4"/>
      <c r="Y1201" s="4"/>
      <c r="Z1201" s="4"/>
      <c r="AA1201" s="4"/>
      <c r="AB1201" s="4"/>
      <c r="AC1201" s="4"/>
      <c r="AD1201" s="4"/>
      <c r="AE1201" s="4"/>
      <c r="AF1201" s="4"/>
      <c r="AG1201" s="4"/>
    </row>
    <row r="1202" spans="1:33" x14ac:dyDescent="0.2">
      <c r="B1202" s="52"/>
      <c r="C1202" s="57" t="s">
        <v>824</v>
      </c>
      <c r="D1202" s="44"/>
      <c r="E1202" s="86" t="s">
        <v>1036</v>
      </c>
      <c r="F1202" s="23" t="str">
        <f>IF(H1202=-0.33,IF(H1200=H$1,H1200,""),"")</f>
        <v/>
      </c>
      <c r="G1202" s="19"/>
      <c r="H1202" s="24">
        <f t="shared" ref="H1202" si="416">IF(H1201=1,IF(H1200=H$2,1,-0.33),0)</f>
        <v>0</v>
      </c>
      <c r="I1202" s="4"/>
      <c r="J1202" s="4"/>
      <c r="K1202" s="4"/>
      <c r="L1202" s="4"/>
      <c r="M1202" s="4"/>
      <c r="N1202" s="4"/>
      <c r="O1202" s="4"/>
      <c r="P1202" s="4"/>
      <c r="Q1202" s="4"/>
      <c r="R1202" s="4"/>
      <c r="S1202" s="4"/>
      <c r="T1202" s="4"/>
      <c r="U1202" s="4"/>
      <c r="V1202" s="4"/>
      <c r="W1202" s="4"/>
      <c r="X1202" s="4"/>
      <c r="Y1202" s="4"/>
      <c r="Z1202" s="4"/>
      <c r="AA1202" s="4"/>
      <c r="AB1202" s="4"/>
      <c r="AC1202" s="4"/>
      <c r="AD1202" s="4"/>
      <c r="AE1202" s="4"/>
      <c r="AF1202" s="4"/>
      <c r="AG1202" s="4"/>
    </row>
    <row r="1203" spans="1:33" x14ac:dyDescent="0.2">
      <c r="B1203" s="48"/>
      <c r="C1203" s="57" t="s">
        <v>825</v>
      </c>
      <c r="D1203" s="44"/>
      <c r="E1203" s="86" t="s">
        <v>1037</v>
      </c>
      <c r="F1203" s="20"/>
      <c r="G1203" s="19"/>
      <c r="H1203" s="24"/>
      <c r="I1203" s="4"/>
      <c r="J1203" s="4"/>
      <c r="K1203" s="4"/>
      <c r="L1203" s="4"/>
      <c r="M1203" s="4"/>
      <c r="N1203" s="4"/>
      <c r="O1203" s="4"/>
      <c r="P1203" s="4"/>
      <c r="Q1203" s="4"/>
      <c r="R1203" s="4"/>
      <c r="S1203" s="4"/>
      <c r="T1203" s="4"/>
      <c r="U1203" s="4"/>
      <c r="V1203" s="4"/>
      <c r="W1203" s="4"/>
      <c r="X1203" s="4"/>
      <c r="Y1203" s="4"/>
      <c r="Z1203" s="4"/>
      <c r="AA1203" s="4"/>
      <c r="AB1203" s="4"/>
      <c r="AC1203" s="4"/>
      <c r="AD1203" s="4"/>
      <c r="AE1203" s="4"/>
      <c r="AF1203" s="4"/>
      <c r="AG1203" s="4"/>
    </row>
    <row r="1204" spans="1:33" x14ac:dyDescent="0.2">
      <c r="B1204" s="48"/>
      <c r="C1204" s="8"/>
      <c r="D1204" s="44"/>
      <c r="E1204" s="86" t="s">
        <v>1038</v>
      </c>
      <c r="F1204" s="20"/>
      <c r="G1204" s="19"/>
      <c r="H1204" s="24"/>
      <c r="I1204" s="4"/>
      <c r="J1204" s="4"/>
      <c r="K1204" s="4"/>
      <c r="L1204" s="4"/>
      <c r="M1204" s="4"/>
      <c r="N1204" s="4"/>
      <c r="O1204" s="4"/>
      <c r="P1204" s="4"/>
      <c r="Q1204" s="4"/>
      <c r="R1204" s="4"/>
      <c r="S1204" s="4"/>
      <c r="T1204" s="4"/>
      <c r="U1204" s="4"/>
      <c r="V1204" s="4"/>
      <c r="W1204" s="4"/>
      <c r="X1204" s="4"/>
      <c r="Y1204" s="4"/>
      <c r="Z1204" s="4"/>
      <c r="AA1204" s="4"/>
      <c r="AB1204" s="4"/>
      <c r="AC1204" s="4"/>
      <c r="AD1204" s="4"/>
      <c r="AE1204" s="4"/>
      <c r="AF1204" s="4"/>
      <c r="AG1204" s="4"/>
    </row>
    <row r="1205" spans="1:33" x14ac:dyDescent="0.2">
      <c r="B1205" s="49" t="s">
        <v>826</v>
      </c>
      <c r="C1205" s="13"/>
      <c r="D1205" s="45"/>
      <c r="E1205" s="85"/>
      <c r="F1205" s="30"/>
      <c r="G1205" s="29"/>
      <c r="H1205" s="15"/>
      <c r="I1205" s="4"/>
      <c r="J1205" s="4"/>
      <c r="K1205" s="4"/>
      <c r="L1205" s="4"/>
      <c r="M1205" s="4"/>
      <c r="N1205" s="4"/>
      <c r="O1205" s="4"/>
      <c r="P1205" s="4"/>
      <c r="Q1205" s="4"/>
      <c r="R1205" s="4"/>
      <c r="S1205" s="4"/>
      <c r="T1205" s="4"/>
      <c r="U1205" s="4"/>
      <c r="V1205" s="4"/>
      <c r="W1205" s="4"/>
      <c r="X1205" s="4"/>
      <c r="Y1205" s="4"/>
      <c r="Z1205" s="4"/>
      <c r="AA1205" s="4"/>
      <c r="AB1205" s="4"/>
      <c r="AC1205" s="4"/>
      <c r="AD1205" s="4"/>
      <c r="AE1205" s="4"/>
      <c r="AF1205" s="4"/>
      <c r="AG1205" s="4"/>
    </row>
    <row r="1206" spans="1:33" x14ac:dyDescent="0.2">
      <c r="B1206" s="48"/>
      <c r="C1206" s="56" t="s">
        <v>827</v>
      </c>
      <c r="D1206" s="44"/>
      <c r="E1206" s="86" t="s">
        <v>1034</v>
      </c>
      <c r="F1206" s="27"/>
      <c r="G1206" s="26"/>
      <c r="H1206" s="21" t="b">
        <f>IF(D1209="x",H$2,H$1)</f>
        <v>0</v>
      </c>
      <c r="I1206" s="4"/>
      <c r="J1206" s="4"/>
      <c r="K1206" s="4"/>
      <c r="L1206" s="4"/>
      <c r="M1206" s="4"/>
      <c r="N1206" s="4"/>
      <c r="O1206" s="4"/>
      <c r="P1206" s="4"/>
      <c r="Q1206" s="4"/>
      <c r="R1206" s="4"/>
      <c r="S1206" s="4"/>
      <c r="T1206" s="4"/>
      <c r="U1206" s="4"/>
      <c r="V1206" s="4"/>
      <c r="W1206" s="4"/>
      <c r="X1206" s="4"/>
      <c r="Y1206" s="4"/>
      <c r="Z1206" s="4"/>
      <c r="AA1206" s="4"/>
      <c r="AB1206" s="4"/>
      <c r="AC1206" s="4"/>
      <c r="AD1206" s="4"/>
      <c r="AE1206" s="4"/>
      <c r="AF1206" s="4"/>
      <c r="AG1206" s="4"/>
    </row>
    <row r="1207" spans="1:33" x14ac:dyDescent="0.2">
      <c r="B1207" s="48"/>
      <c r="C1207" s="57" t="s">
        <v>828</v>
      </c>
      <c r="D1207" s="44"/>
      <c r="E1207" s="86" t="s">
        <v>1035</v>
      </c>
      <c r="F1207" s="22" t="str">
        <f>IF(H1208=1,IF(H1206=H$2,H1206,""),"")</f>
        <v/>
      </c>
      <c r="G1207" s="26"/>
      <c r="H1207" s="21" t="str">
        <f t="shared" ref="H1207" si="417">IF(E$1247="comprobar",COUNTIF(D1206:D1210,"x"),"")</f>
        <v/>
      </c>
      <c r="I1207" s="4"/>
      <c r="J1207" s="4"/>
      <c r="K1207" s="4"/>
      <c r="L1207" s="4"/>
      <c r="M1207" s="4"/>
      <c r="N1207" s="4"/>
      <c r="O1207" s="4"/>
      <c r="P1207" s="4"/>
      <c r="Q1207" s="4"/>
      <c r="R1207" s="4"/>
      <c r="S1207" s="4"/>
      <c r="T1207" s="4"/>
      <c r="U1207" s="4"/>
      <c r="V1207" s="4"/>
      <c r="W1207" s="4"/>
      <c r="X1207" s="4"/>
      <c r="Y1207" s="4"/>
      <c r="Z1207" s="4"/>
      <c r="AA1207" s="4"/>
      <c r="AB1207" s="4"/>
      <c r="AC1207" s="4"/>
      <c r="AD1207" s="4"/>
      <c r="AE1207" s="4"/>
      <c r="AF1207" s="4"/>
      <c r="AG1207" s="4"/>
    </row>
    <row r="1208" spans="1:33" x14ac:dyDescent="0.2">
      <c r="B1208" s="48"/>
      <c r="C1208" s="57" t="s">
        <v>829</v>
      </c>
      <c r="D1208" s="44"/>
      <c r="E1208" s="86" t="s">
        <v>1036</v>
      </c>
      <c r="F1208" s="23" t="str">
        <f>IF(H1208=-0.33,IF(H1206=H$1,H1206,""),"")</f>
        <v/>
      </c>
      <c r="G1208" s="26"/>
      <c r="H1208" s="24">
        <f t="shared" ref="H1208" si="418">IF(H1207=1,IF(H1206=H$2,1,-0.33),0)</f>
        <v>0</v>
      </c>
      <c r="I1208" s="4"/>
      <c r="J1208" s="4"/>
      <c r="K1208" s="4"/>
      <c r="L1208" s="4"/>
      <c r="M1208" s="4"/>
      <c r="N1208" s="4"/>
      <c r="O1208" s="4"/>
      <c r="P1208" s="4"/>
      <c r="Q1208" s="4"/>
      <c r="R1208" s="4"/>
      <c r="S1208" s="4"/>
      <c r="T1208" s="4"/>
      <c r="U1208" s="4"/>
      <c r="V1208" s="4"/>
      <c r="W1208" s="4"/>
      <c r="X1208" s="4"/>
      <c r="Y1208" s="4"/>
      <c r="Z1208" s="4"/>
      <c r="AA1208" s="4"/>
      <c r="AB1208" s="4"/>
      <c r="AC1208" s="4"/>
      <c r="AD1208" s="4"/>
      <c r="AE1208" s="4"/>
      <c r="AF1208" s="4"/>
      <c r="AG1208" s="4"/>
    </row>
    <row r="1209" spans="1:33" x14ac:dyDescent="0.2">
      <c r="B1209" s="48"/>
      <c r="C1209" s="57" t="s">
        <v>717</v>
      </c>
      <c r="D1209" s="44"/>
      <c r="E1209" s="86" t="s">
        <v>1037</v>
      </c>
      <c r="F1209" s="28"/>
      <c r="G1209" s="26"/>
      <c r="H1209" s="24"/>
      <c r="I1209" s="4"/>
      <c r="J1209" s="4"/>
      <c r="K1209" s="4"/>
      <c r="L1209" s="4"/>
      <c r="M1209" s="4"/>
      <c r="N1209" s="4"/>
      <c r="O1209" s="4"/>
      <c r="P1209" s="4"/>
      <c r="Q1209" s="4"/>
      <c r="R1209" s="4"/>
      <c r="S1209" s="4"/>
      <c r="T1209" s="4"/>
      <c r="U1209" s="4"/>
      <c r="V1209" s="4"/>
      <c r="W1209" s="4"/>
      <c r="X1209" s="4"/>
      <c r="Y1209" s="4"/>
      <c r="Z1209" s="4"/>
      <c r="AA1209" s="4"/>
      <c r="AB1209" s="4"/>
      <c r="AC1209" s="4"/>
      <c r="AD1209" s="4"/>
      <c r="AE1209" s="4"/>
      <c r="AF1209" s="4"/>
      <c r="AG1209" s="4"/>
    </row>
    <row r="1210" spans="1:33" x14ac:dyDescent="0.2">
      <c r="B1210" s="48"/>
      <c r="C1210" s="8"/>
      <c r="D1210" s="44"/>
      <c r="E1210" s="86" t="s">
        <v>1038</v>
      </c>
      <c r="F1210" s="28"/>
      <c r="G1210" s="26"/>
      <c r="H1210" s="24"/>
      <c r="I1210" s="4"/>
      <c r="J1210" s="4"/>
      <c r="K1210" s="4"/>
      <c r="L1210" s="4"/>
      <c r="M1210" s="4"/>
      <c r="N1210" s="4"/>
      <c r="O1210" s="4"/>
      <c r="P1210" s="4"/>
      <c r="Q1210" s="4"/>
      <c r="R1210" s="4"/>
      <c r="S1210" s="4"/>
      <c r="T1210" s="4"/>
      <c r="U1210" s="4"/>
      <c r="V1210" s="4"/>
      <c r="W1210" s="4"/>
      <c r="X1210" s="4"/>
      <c r="Y1210" s="4"/>
      <c r="Z1210" s="4"/>
      <c r="AA1210" s="4"/>
      <c r="AB1210" s="4"/>
      <c r="AC1210" s="4"/>
      <c r="AD1210" s="4"/>
      <c r="AE1210" s="4"/>
      <c r="AF1210" s="4"/>
      <c r="AG1210" s="4"/>
    </row>
    <row r="1211" spans="1:33" s="17" customFormat="1" x14ac:dyDescent="0.2">
      <c r="A1211" s="4"/>
      <c r="B1211" s="49" t="s">
        <v>830</v>
      </c>
      <c r="C1211" s="13"/>
      <c r="D1211" s="45"/>
      <c r="E1211" s="85"/>
      <c r="F1211" s="30"/>
      <c r="G1211" s="29"/>
      <c r="H1211" s="15"/>
    </row>
    <row r="1212" spans="1:33" s="4" customFormat="1" x14ac:dyDescent="0.2">
      <c r="B1212" s="48"/>
      <c r="C1212" s="56" t="s">
        <v>831</v>
      </c>
      <c r="D1212" s="44"/>
      <c r="E1212" s="86" t="s">
        <v>1034</v>
      </c>
      <c r="F1212" s="28"/>
      <c r="G1212" s="55"/>
      <c r="H1212" s="21" t="b">
        <f>IF(D1214="x",H$2,H$1)</f>
        <v>0</v>
      </c>
    </row>
    <row r="1213" spans="1:33" x14ac:dyDescent="0.2">
      <c r="B1213" s="52"/>
      <c r="C1213" s="57" t="s">
        <v>832</v>
      </c>
      <c r="D1213" s="44"/>
      <c r="E1213" s="86" t="s">
        <v>1035</v>
      </c>
      <c r="F1213" s="22" t="str">
        <f>IF(H1214=1,IF(H1212=H$2,H1212,""),"")</f>
        <v/>
      </c>
      <c r="G1213" s="26"/>
      <c r="H1213" s="21" t="str">
        <f t="shared" ref="H1213" si="419">IF(E$1247="comprobar",COUNTIF(D1212:D1216,"x"),"")</f>
        <v/>
      </c>
      <c r="I1213" s="4"/>
      <c r="J1213" s="4"/>
      <c r="K1213" s="4"/>
      <c r="L1213" s="4"/>
      <c r="M1213" s="4"/>
      <c r="N1213" s="4"/>
      <c r="O1213" s="4"/>
      <c r="P1213" s="4"/>
      <c r="Q1213" s="4"/>
      <c r="R1213" s="4"/>
      <c r="S1213" s="4"/>
      <c r="T1213" s="4"/>
      <c r="U1213" s="4"/>
      <c r="V1213" s="4"/>
      <c r="W1213" s="4"/>
      <c r="X1213" s="4"/>
      <c r="Y1213" s="4"/>
      <c r="Z1213" s="4"/>
      <c r="AA1213" s="4"/>
      <c r="AB1213" s="4"/>
      <c r="AC1213" s="4"/>
      <c r="AD1213" s="4"/>
      <c r="AE1213" s="4"/>
      <c r="AF1213" s="4"/>
      <c r="AG1213" s="4"/>
    </row>
    <row r="1214" spans="1:33" x14ac:dyDescent="0.2">
      <c r="B1214" s="48"/>
      <c r="C1214" s="57" t="s">
        <v>833</v>
      </c>
      <c r="D1214" s="44"/>
      <c r="E1214" s="86" t="s">
        <v>1036</v>
      </c>
      <c r="F1214" s="23" t="str">
        <f>IF(H1214=-0.33,IF(H1212=H$1,H1212,""),"")</f>
        <v/>
      </c>
      <c r="G1214" s="26"/>
      <c r="H1214" s="24">
        <f t="shared" ref="H1214" si="420">IF(H1213=1,IF(H1212=H$2,1,-0.33),0)</f>
        <v>0</v>
      </c>
      <c r="I1214" s="4"/>
      <c r="J1214" s="4"/>
      <c r="K1214" s="4"/>
      <c r="L1214" s="4"/>
      <c r="M1214" s="4"/>
      <c r="N1214" s="4"/>
      <c r="O1214" s="4"/>
      <c r="P1214" s="4"/>
      <c r="Q1214" s="4"/>
      <c r="R1214" s="4"/>
      <c r="S1214" s="4"/>
      <c r="T1214" s="4"/>
      <c r="U1214" s="4"/>
      <c r="V1214" s="4"/>
      <c r="W1214" s="4"/>
      <c r="X1214" s="4"/>
      <c r="Y1214" s="4"/>
      <c r="Z1214" s="4"/>
      <c r="AA1214" s="4"/>
      <c r="AB1214" s="4"/>
      <c r="AC1214" s="4"/>
      <c r="AD1214" s="4"/>
      <c r="AE1214" s="4"/>
      <c r="AF1214" s="4"/>
      <c r="AG1214" s="4"/>
    </row>
    <row r="1215" spans="1:33" x14ac:dyDescent="0.2">
      <c r="B1215" s="48"/>
      <c r="C1215" s="57"/>
      <c r="D1215" s="44"/>
      <c r="E1215" s="86" t="s">
        <v>1037</v>
      </c>
      <c r="F1215" s="28"/>
      <c r="G1215" s="26"/>
      <c r="H1215" s="24"/>
      <c r="I1215" s="4"/>
      <c r="J1215" s="4"/>
      <c r="K1215" s="4"/>
      <c r="L1215" s="4"/>
      <c r="M1215" s="4"/>
      <c r="N1215" s="4"/>
      <c r="O1215" s="4"/>
      <c r="P1215" s="4"/>
      <c r="Q1215" s="4"/>
      <c r="R1215" s="4"/>
      <c r="S1215" s="4"/>
      <c r="T1215" s="4"/>
      <c r="U1215" s="4"/>
      <c r="V1215" s="4"/>
      <c r="W1215" s="4"/>
      <c r="X1215" s="4"/>
      <c r="Y1215" s="4"/>
      <c r="Z1215" s="4"/>
      <c r="AA1215" s="4"/>
      <c r="AB1215" s="4"/>
      <c r="AC1215" s="4"/>
      <c r="AD1215" s="4"/>
      <c r="AE1215" s="4"/>
      <c r="AF1215" s="4"/>
      <c r="AG1215" s="4"/>
    </row>
    <row r="1216" spans="1:33" x14ac:dyDescent="0.2">
      <c r="B1216" s="48"/>
      <c r="C1216" s="8"/>
      <c r="D1216" s="44"/>
      <c r="E1216" s="86" t="s">
        <v>1038</v>
      </c>
      <c r="F1216" s="28"/>
      <c r="G1216" s="26"/>
      <c r="H1216" s="24"/>
      <c r="I1216" s="4"/>
      <c r="J1216" s="4"/>
      <c r="K1216" s="4"/>
      <c r="L1216" s="4"/>
      <c r="M1216" s="4"/>
      <c r="N1216" s="4"/>
      <c r="O1216" s="4"/>
      <c r="P1216" s="4"/>
      <c r="Q1216" s="4"/>
      <c r="R1216" s="4"/>
      <c r="S1216" s="4"/>
      <c r="T1216" s="4"/>
      <c r="U1216" s="4"/>
      <c r="V1216" s="4"/>
      <c r="W1216" s="4"/>
      <c r="X1216" s="4"/>
      <c r="Y1216" s="4"/>
      <c r="Z1216" s="4"/>
      <c r="AA1216" s="4"/>
      <c r="AB1216" s="4"/>
      <c r="AC1216" s="4"/>
      <c r="AD1216" s="4"/>
      <c r="AE1216" s="4"/>
      <c r="AF1216" s="4"/>
      <c r="AG1216" s="4"/>
    </row>
    <row r="1217" spans="1:33" s="17" customFormat="1" x14ac:dyDescent="0.2">
      <c r="A1217" s="4"/>
      <c r="B1217" s="49" t="s">
        <v>834</v>
      </c>
      <c r="C1217" s="13"/>
      <c r="D1217" s="45"/>
      <c r="E1217" s="85"/>
      <c r="F1217" s="30"/>
      <c r="G1217" s="29"/>
      <c r="H1217" s="15"/>
    </row>
    <row r="1218" spans="1:33" x14ac:dyDescent="0.2">
      <c r="B1218" s="52"/>
      <c r="C1218" s="56" t="s">
        <v>835</v>
      </c>
      <c r="D1218" s="44"/>
      <c r="E1218" s="86" t="s">
        <v>1034</v>
      </c>
      <c r="F1218" s="27"/>
      <c r="G1218" s="26"/>
      <c r="H1218" s="21" t="b">
        <f>IF(D1220="x",H$2,H$1)</f>
        <v>0</v>
      </c>
      <c r="I1218" s="4"/>
      <c r="J1218" s="4"/>
      <c r="K1218" s="4"/>
      <c r="L1218" s="4"/>
      <c r="M1218" s="4"/>
      <c r="N1218" s="4"/>
      <c r="O1218" s="4"/>
      <c r="P1218" s="4"/>
      <c r="Q1218" s="4"/>
      <c r="R1218" s="4"/>
      <c r="S1218" s="4"/>
      <c r="T1218" s="4"/>
      <c r="U1218" s="4"/>
      <c r="V1218" s="4"/>
      <c r="W1218" s="4"/>
      <c r="X1218" s="4"/>
      <c r="Y1218" s="4"/>
      <c r="Z1218" s="4"/>
      <c r="AA1218" s="4"/>
      <c r="AB1218" s="4"/>
      <c r="AC1218" s="4"/>
      <c r="AD1218" s="4"/>
      <c r="AE1218" s="4"/>
      <c r="AF1218" s="4"/>
      <c r="AG1218" s="4"/>
    </row>
    <row r="1219" spans="1:33" x14ac:dyDescent="0.2">
      <c r="B1219" s="48"/>
      <c r="C1219" s="57" t="s">
        <v>836</v>
      </c>
      <c r="D1219" s="44"/>
      <c r="E1219" s="86" t="s">
        <v>1035</v>
      </c>
      <c r="F1219" s="22" t="str">
        <f>IF(H1220=1,IF(H1218=H$2,H1218,""),"")</f>
        <v/>
      </c>
      <c r="G1219" s="26"/>
      <c r="H1219" s="21" t="str">
        <f t="shared" ref="H1219" si="421">IF(E$1247="comprobar",COUNTIF(D1218:D1222,"x"),"")</f>
        <v/>
      </c>
      <c r="I1219" s="4"/>
      <c r="J1219" s="4"/>
      <c r="K1219" s="4"/>
      <c r="L1219" s="4"/>
      <c r="M1219" s="4"/>
      <c r="N1219" s="4"/>
      <c r="O1219" s="4"/>
      <c r="P1219" s="4"/>
      <c r="Q1219" s="4"/>
      <c r="R1219" s="4"/>
      <c r="S1219" s="4"/>
      <c r="T1219" s="4"/>
      <c r="U1219" s="4"/>
      <c r="V1219" s="4"/>
      <c r="W1219" s="4"/>
      <c r="X1219" s="4"/>
      <c r="Y1219" s="4"/>
      <c r="Z1219" s="4"/>
      <c r="AA1219" s="4"/>
      <c r="AB1219" s="4"/>
      <c r="AC1219" s="4"/>
      <c r="AD1219" s="4"/>
      <c r="AE1219" s="4"/>
      <c r="AF1219" s="4"/>
      <c r="AG1219" s="4"/>
    </row>
    <row r="1220" spans="1:33" x14ac:dyDescent="0.2">
      <c r="B1220" s="48"/>
      <c r="C1220" s="61" t="s">
        <v>837</v>
      </c>
      <c r="D1220" s="44"/>
      <c r="E1220" s="86" t="s">
        <v>1036</v>
      </c>
      <c r="F1220" s="23" t="str">
        <f>IF(H1220=-0.33,IF(H1218=H$1,H1218,""),"")</f>
        <v/>
      </c>
      <c r="G1220" s="26"/>
      <c r="H1220" s="24">
        <f t="shared" ref="H1220" si="422">IF(H1219=1,IF(H1218=H$2,1,-0.33),0)</f>
        <v>0</v>
      </c>
      <c r="I1220" s="4"/>
      <c r="J1220" s="4"/>
      <c r="K1220" s="4"/>
      <c r="L1220" s="4"/>
      <c r="M1220" s="4"/>
      <c r="N1220" s="4"/>
      <c r="O1220" s="4"/>
      <c r="P1220" s="4"/>
      <c r="Q1220" s="4"/>
      <c r="R1220" s="4"/>
      <c r="S1220" s="4"/>
      <c r="T1220" s="4"/>
      <c r="U1220" s="4"/>
      <c r="V1220" s="4"/>
      <c r="W1220" s="4"/>
      <c r="X1220" s="4"/>
      <c r="Y1220" s="4"/>
      <c r="Z1220" s="4"/>
      <c r="AA1220" s="4"/>
      <c r="AB1220" s="4"/>
      <c r="AC1220" s="4"/>
      <c r="AD1220" s="4"/>
      <c r="AE1220" s="4"/>
      <c r="AF1220" s="4"/>
      <c r="AG1220" s="4"/>
    </row>
    <row r="1221" spans="1:33" x14ac:dyDescent="0.2">
      <c r="B1221" s="52"/>
      <c r="C1221" s="57"/>
      <c r="D1221" s="44"/>
      <c r="E1221" s="86" t="s">
        <v>1037</v>
      </c>
      <c r="F1221" s="28"/>
      <c r="G1221" s="26"/>
      <c r="H1221" s="24"/>
      <c r="I1221" s="4"/>
      <c r="J1221" s="4"/>
      <c r="K1221" s="4"/>
      <c r="L1221" s="4"/>
      <c r="M1221" s="4"/>
      <c r="N1221" s="4"/>
      <c r="O1221" s="4"/>
      <c r="P1221" s="4"/>
      <c r="Q1221" s="4"/>
      <c r="R1221" s="4"/>
      <c r="S1221" s="4"/>
      <c r="T1221" s="4"/>
      <c r="U1221" s="4"/>
      <c r="V1221" s="4"/>
      <c r="W1221" s="4"/>
      <c r="X1221" s="4"/>
      <c r="Y1221" s="4"/>
      <c r="Z1221" s="4"/>
      <c r="AA1221" s="4"/>
      <c r="AB1221" s="4"/>
      <c r="AC1221" s="4"/>
      <c r="AD1221" s="4"/>
      <c r="AE1221" s="4"/>
      <c r="AF1221" s="4"/>
      <c r="AG1221" s="4"/>
    </row>
    <row r="1222" spans="1:33" x14ac:dyDescent="0.2">
      <c r="B1222" s="48"/>
      <c r="C1222" s="8"/>
      <c r="D1222" s="44"/>
      <c r="E1222" s="86" t="s">
        <v>1038</v>
      </c>
      <c r="F1222" s="28"/>
      <c r="G1222" s="26"/>
      <c r="H1222" s="24"/>
      <c r="I1222" s="4"/>
      <c r="J1222" s="4"/>
      <c r="K1222" s="4"/>
      <c r="L1222" s="4"/>
      <c r="M1222" s="4"/>
      <c r="N1222" s="4"/>
      <c r="O1222" s="4"/>
      <c r="P1222" s="4"/>
      <c r="Q1222" s="4"/>
      <c r="R1222" s="4"/>
      <c r="S1222" s="4"/>
      <c r="T1222" s="4"/>
      <c r="U1222" s="4"/>
      <c r="V1222" s="4"/>
      <c r="W1222" s="4"/>
      <c r="X1222" s="4"/>
      <c r="Y1222" s="4"/>
      <c r="Z1222" s="4"/>
      <c r="AA1222" s="4"/>
      <c r="AB1222" s="4"/>
      <c r="AC1222" s="4"/>
      <c r="AD1222" s="4"/>
      <c r="AE1222" s="4"/>
      <c r="AF1222" s="4"/>
      <c r="AG1222" s="4"/>
    </row>
    <row r="1223" spans="1:33" s="17" customFormat="1" x14ac:dyDescent="0.2">
      <c r="A1223" s="4"/>
      <c r="B1223" s="49" t="s">
        <v>838</v>
      </c>
      <c r="C1223" s="13"/>
      <c r="D1223" s="45"/>
      <c r="E1223" s="85"/>
      <c r="F1223" s="30"/>
      <c r="G1223" s="29"/>
      <c r="H1223" s="15"/>
    </row>
    <row r="1224" spans="1:33" x14ac:dyDescent="0.2">
      <c r="B1224" s="52"/>
      <c r="C1224" s="56" t="s">
        <v>795</v>
      </c>
      <c r="D1224" s="44"/>
      <c r="E1224" s="86" t="s">
        <v>1034</v>
      </c>
      <c r="F1224" s="28"/>
      <c r="G1224" s="26"/>
      <c r="H1224" s="21" t="b">
        <f>IF(D1226="x",H$2,H$1)</f>
        <v>0</v>
      </c>
      <c r="I1224" s="4"/>
      <c r="J1224" s="4"/>
      <c r="K1224" s="4"/>
      <c r="L1224" s="4"/>
      <c r="M1224" s="4"/>
      <c r="N1224" s="4"/>
      <c r="O1224" s="4"/>
      <c r="P1224" s="4"/>
      <c r="Q1224" s="4"/>
      <c r="R1224" s="4"/>
      <c r="S1224" s="4"/>
      <c r="T1224" s="4"/>
      <c r="U1224" s="4"/>
      <c r="V1224" s="4"/>
      <c r="W1224" s="4"/>
      <c r="X1224" s="4"/>
      <c r="Y1224" s="4"/>
      <c r="Z1224" s="4"/>
      <c r="AA1224" s="4"/>
      <c r="AB1224" s="4"/>
      <c r="AC1224" s="4"/>
      <c r="AD1224" s="4"/>
      <c r="AE1224" s="4"/>
      <c r="AF1224" s="4"/>
      <c r="AG1224" s="4"/>
    </row>
    <row r="1225" spans="1:33" x14ac:dyDescent="0.2">
      <c r="B1225" s="48"/>
      <c r="C1225" s="57" t="s">
        <v>839</v>
      </c>
      <c r="D1225" s="44"/>
      <c r="E1225" s="86" t="s">
        <v>1035</v>
      </c>
      <c r="F1225" s="22" t="str">
        <f>IF(H1226=1,IF(H1224=H$2,H1224,""),"")</f>
        <v/>
      </c>
      <c r="G1225" s="26"/>
      <c r="H1225" s="21" t="str">
        <f t="shared" ref="H1225" si="423">IF(E$1247="comprobar",COUNTIF(D1224:D1228,"x"),"")</f>
        <v/>
      </c>
      <c r="I1225" s="4"/>
      <c r="J1225" s="4"/>
      <c r="K1225" s="4"/>
      <c r="L1225" s="4"/>
      <c r="M1225" s="4"/>
      <c r="N1225" s="4"/>
      <c r="O1225" s="4"/>
      <c r="P1225" s="4"/>
      <c r="Q1225" s="4"/>
      <c r="R1225" s="4"/>
      <c r="S1225" s="4"/>
      <c r="T1225" s="4"/>
      <c r="U1225" s="4"/>
      <c r="V1225" s="4"/>
      <c r="W1225" s="4"/>
      <c r="X1225" s="4"/>
      <c r="Y1225" s="4"/>
      <c r="Z1225" s="4"/>
      <c r="AA1225" s="4"/>
      <c r="AB1225" s="4"/>
      <c r="AC1225" s="4"/>
      <c r="AD1225" s="4"/>
      <c r="AE1225" s="4"/>
      <c r="AF1225" s="4"/>
      <c r="AG1225" s="4"/>
    </row>
    <row r="1226" spans="1:33" x14ac:dyDescent="0.2">
      <c r="B1226" s="48"/>
      <c r="C1226" s="57" t="s">
        <v>840</v>
      </c>
      <c r="D1226" s="44"/>
      <c r="E1226" s="86" t="s">
        <v>1036</v>
      </c>
      <c r="F1226" s="23" t="str">
        <f>IF(H1226=-0.33,IF(H1224=H$1,H1224,""),"")</f>
        <v/>
      </c>
      <c r="G1226" s="26"/>
      <c r="H1226" s="24">
        <f t="shared" ref="H1226" si="424">IF(H1225=1,IF(H1224=H$2,1,-0.33),0)</f>
        <v>0</v>
      </c>
      <c r="I1226" s="4"/>
      <c r="J1226" s="4"/>
      <c r="K1226" s="4"/>
      <c r="L1226" s="4"/>
      <c r="M1226" s="4"/>
      <c r="N1226" s="4"/>
      <c r="O1226" s="4"/>
      <c r="P1226" s="4"/>
      <c r="Q1226" s="4"/>
      <c r="R1226" s="4"/>
      <c r="S1226" s="4"/>
      <c r="T1226" s="4"/>
      <c r="U1226" s="4"/>
      <c r="V1226" s="4"/>
      <c r="W1226" s="4"/>
      <c r="X1226" s="4"/>
      <c r="Y1226" s="4"/>
      <c r="Z1226" s="4"/>
      <c r="AA1226" s="4"/>
      <c r="AB1226" s="4"/>
      <c r="AC1226" s="4"/>
      <c r="AD1226" s="4"/>
      <c r="AE1226" s="4"/>
      <c r="AF1226" s="4"/>
      <c r="AG1226" s="4"/>
    </row>
    <row r="1227" spans="1:33" x14ac:dyDescent="0.2">
      <c r="B1227" s="48"/>
      <c r="C1227" s="57" t="s">
        <v>841</v>
      </c>
      <c r="D1227" s="44"/>
      <c r="E1227" s="86" t="s">
        <v>1037</v>
      </c>
      <c r="F1227" s="28"/>
      <c r="G1227" s="26"/>
      <c r="H1227" s="24"/>
      <c r="I1227" s="4"/>
      <c r="J1227" s="4"/>
      <c r="K1227" s="4"/>
      <c r="L1227" s="4"/>
      <c r="M1227" s="4"/>
      <c r="N1227" s="4"/>
      <c r="O1227" s="4"/>
      <c r="P1227" s="4"/>
      <c r="Q1227" s="4"/>
      <c r="R1227" s="4"/>
      <c r="S1227" s="4"/>
      <c r="T1227" s="4"/>
      <c r="U1227" s="4"/>
      <c r="V1227" s="4"/>
      <c r="W1227" s="4"/>
      <c r="X1227" s="4"/>
      <c r="Y1227" s="4"/>
      <c r="Z1227" s="4"/>
      <c r="AA1227" s="4"/>
      <c r="AB1227" s="4"/>
      <c r="AC1227" s="4"/>
      <c r="AD1227" s="4"/>
      <c r="AE1227" s="4"/>
      <c r="AF1227" s="4"/>
      <c r="AG1227" s="4"/>
    </row>
    <row r="1228" spans="1:33" x14ac:dyDescent="0.2">
      <c r="B1228" s="48"/>
      <c r="C1228" s="8"/>
      <c r="D1228" s="44"/>
      <c r="E1228" s="86" t="s">
        <v>1038</v>
      </c>
      <c r="F1228" s="28"/>
      <c r="G1228" s="26"/>
      <c r="H1228" s="24"/>
      <c r="I1228" s="4"/>
      <c r="J1228" s="4"/>
      <c r="K1228" s="4"/>
      <c r="L1228" s="4"/>
      <c r="M1228" s="4"/>
      <c r="N1228" s="4"/>
      <c r="O1228" s="4"/>
      <c r="P1228" s="4"/>
      <c r="Q1228" s="4"/>
      <c r="R1228" s="4"/>
      <c r="S1228" s="4"/>
      <c r="T1228" s="4"/>
      <c r="U1228" s="4"/>
      <c r="V1228" s="4"/>
      <c r="W1228" s="4"/>
      <c r="X1228" s="4"/>
      <c r="Y1228" s="4"/>
      <c r="Z1228" s="4"/>
      <c r="AA1228" s="4"/>
      <c r="AB1228" s="4"/>
      <c r="AC1228" s="4"/>
      <c r="AD1228" s="4"/>
      <c r="AE1228" s="4"/>
      <c r="AF1228" s="4"/>
      <c r="AG1228" s="4"/>
    </row>
    <row r="1229" spans="1:33" x14ac:dyDescent="0.2">
      <c r="B1229" s="49" t="s">
        <v>842</v>
      </c>
      <c r="C1229" s="13"/>
      <c r="D1229" s="45"/>
      <c r="E1229" s="85"/>
      <c r="F1229" s="30"/>
      <c r="G1229" s="29"/>
      <c r="H1229" s="15"/>
      <c r="I1229" s="4"/>
      <c r="J1229" s="4"/>
      <c r="K1229" s="4"/>
      <c r="L1229" s="4"/>
      <c r="M1229" s="4"/>
      <c r="N1229" s="4"/>
      <c r="O1229" s="4"/>
      <c r="P1229" s="4"/>
      <c r="Q1229" s="4"/>
      <c r="R1229" s="4"/>
      <c r="S1229" s="4"/>
      <c r="T1229" s="4"/>
      <c r="U1229" s="4"/>
      <c r="V1229" s="4"/>
      <c r="W1229" s="4"/>
      <c r="X1229" s="4"/>
      <c r="Y1229" s="4"/>
      <c r="Z1229" s="4"/>
      <c r="AA1229" s="4"/>
      <c r="AB1229" s="4"/>
      <c r="AC1229" s="4"/>
      <c r="AD1229" s="4"/>
      <c r="AE1229" s="4"/>
      <c r="AF1229" s="4"/>
      <c r="AG1229" s="4"/>
    </row>
    <row r="1230" spans="1:33" x14ac:dyDescent="0.2">
      <c r="B1230" s="48"/>
      <c r="C1230" s="56" t="s">
        <v>843</v>
      </c>
      <c r="D1230" s="44"/>
      <c r="E1230" s="86" t="s">
        <v>1034</v>
      </c>
      <c r="F1230" s="27"/>
      <c r="G1230" s="26"/>
      <c r="H1230" s="21" t="b">
        <f>IF(D1230="x",H$2,H$1)</f>
        <v>0</v>
      </c>
      <c r="I1230" s="4"/>
      <c r="J1230" s="4"/>
      <c r="K1230" s="4"/>
      <c r="L1230" s="4"/>
      <c r="M1230" s="4"/>
      <c r="N1230" s="4"/>
      <c r="O1230" s="4"/>
      <c r="P1230" s="4"/>
      <c r="Q1230" s="4"/>
      <c r="R1230" s="4"/>
      <c r="S1230" s="4"/>
      <c r="T1230" s="4"/>
      <c r="U1230" s="4"/>
      <c r="V1230" s="4"/>
      <c r="W1230" s="4"/>
      <c r="X1230" s="4"/>
      <c r="Y1230" s="4"/>
      <c r="Z1230" s="4"/>
      <c r="AA1230" s="4"/>
      <c r="AB1230" s="4"/>
      <c r="AC1230" s="4"/>
      <c r="AD1230" s="4"/>
      <c r="AE1230" s="4"/>
      <c r="AF1230" s="4"/>
      <c r="AG1230" s="4"/>
    </row>
    <row r="1231" spans="1:33" x14ac:dyDescent="0.2">
      <c r="B1231" s="52"/>
      <c r="C1231" s="57" t="s">
        <v>844</v>
      </c>
      <c r="D1231" s="44"/>
      <c r="E1231" s="86" t="s">
        <v>1035</v>
      </c>
      <c r="F1231" s="22" t="str">
        <f>IF(H1232=1,IF(H1230=H$2,H1230,""),"")</f>
        <v/>
      </c>
      <c r="G1231" s="26"/>
      <c r="H1231" s="21" t="str">
        <f t="shared" ref="H1231" si="425">IF(E$1247="comprobar",COUNTIF(D1230:D1234,"x"),"")</f>
        <v/>
      </c>
      <c r="I1231" s="4"/>
      <c r="J1231" s="4"/>
      <c r="K1231" s="4"/>
      <c r="L1231" s="4"/>
      <c r="M1231" s="4"/>
      <c r="N1231" s="4"/>
      <c r="O1231" s="4"/>
      <c r="P1231" s="4"/>
      <c r="Q1231" s="4"/>
      <c r="R1231" s="4"/>
      <c r="S1231" s="4"/>
      <c r="T1231" s="4"/>
      <c r="U1231" s="4"/>
      <c r="V1231" s="4"/>
      <c r="W1231" s="4"/>
      <c r="X1231" s="4"/>
      <c r="Y1231" s="4"/>
      <c r="Z1231" s="4"/>
      <c r="AA1231" s="4"/>
      <c r="AB1231" s="4"/>
      <c r="AC1231" s="4"/>
      <c r="AD1231" s="4"/>
      <c r="AE1231" s="4"/>
      <c r="AF1231" s="4"/>
      <c r="AG1231" s="4"/>
    </row>
    <row r="1232" spans="1:33" x14ac:dyDescent="0.2">
      <c r="B1232" s="48"/>
      <c r="C1232" s="57" t="s">
        <v>845</v>
      </c>
      <c r="D1232" s="44"/>
      <c r="E1232" s="86" t="s">
        <v>1036</v>
      </c>
      <c r="F1232" s="23" t="str">
        <f>IF(H1232=-0.33,IF(H1230=H$1,H1230,""),"")</f>
        <v/>
      </c>
      <c r="G1232" s="26"/>
      <c r="H1232" s="24">
        <f t="shared" ref="H1232" si="426">IF(H1231=1,IF(H1230=H$2,1,-0.33),0)</f>
        <v>0</v>
      </c>
      <c r="I1232" s="4"/>
      <c r="J1232" s="4"/>
      <c r="K1232" s="4"/>
      <c r="L1232" s="4"/>
      <c r="M1232" s="4"/>
      <c r="N1232" s="4"/>
      <c r="O1232" s="4"/>
      <c r="P1232" s="4"/>
      <c r="Q1232" s="4"/>
      <c r="R1232" s="4"/>
      <c r="S1232" s="4"/>
      <c r="T1232" s="4"/>
      <c r="U1232" s="4"/>
      <c r="V1232" s="4"/>
      <c r="W1232" s="4"/>
      <c r="X1232" s="4"/>
      <c r="Y1232" s="4"/>
      <c r="Z1232" s="4"/>
      <c r="AA1232" s="4"/>
      <c r="AB1232" s="4"/>
      <c r="AC1232" s="4"/>
      <c r="AD1232" s="4"/>
      <c r="AE1232" s="4"/>
      <c r="AF1232" s="4"/>
      <c r="AG1232" s="4"/>
    </row>
    <row r="1233" spans="1:33" x14ac:dyDescent="0.2">
      <c r="B1233" s="48"/>
      <c r="C1233" s="57" t="s">
        <v>841</v>
      </c>
      <c r="D1233" s="44"/>
      <c r="E1233" s="86" t="s">
        <v>1037</v>
      </c>
      <c r="F1233" s="28"/>
      <c r="G1233" s="26"/>
      <c r="H1233" s="24"/>
      <c r="I1233" s="4"/>
      <c r="J1233" s="4"/>
      <c r="K1233" s="4"/>
      <c r="L1233" s="4"/>
      <c r="M1233" s="4"/>
      <c r="N1233" s="4"/>
      <c r="O1233" s="4"/>
      <c r="P1233" s="4"/>
      <c r="Q1233" s="4"/>
      <c r="R1233" s="4"/>
      <c r="S1233" s="4"/>
      <c r="T1233" s="4"/>
      <c r="U1233" s="4"/>
      <c r="V1233" s="4"/>
      <c r="W1233" s="4"/>
      <c r="X1233" s="4"/>
      <c r="Y1233" s="4"/>
      <c r="Z1233" s="4"/>
      <c r="AA1233" s="4"/>
      <c r="AB1233" s="4"/>
      <c r="AC1233" s="4"/>
      <c r="AD1233" s="4"/>
      <c r="AE1233" s="4"/>
      <c r="AF1233" s="4"/>
      <c r="AG1233" s="4"/>
    </row>
    <row r="1234" spans="1:33" x14ac:dyDescent="0.2">
      <c r="B1234" s="48"/>
      <c r="C1234" s="8"/>
      <c r="D1234" s="44"/>
      <c r="E1234" s="86" t="s">
        <v>1038</v>
      </c>
      <c r="F1234" s="28"/>
      <c r="G1234" s="26"/>
      <c r="H1234" s="24"/>
      <c r="I1234" s="4"/>
      <c r="J1234" s="4"/>
      <c r="K1234" s="4"/>
      <c r="L1234" s="4"/>
      <c r="M1234" s="4"/>
      <c r="N1234" s="4"/>
      <c r="O1234" s="4"/>
      <c r="P1234" s="4"/>
      <c r="Q1234" s="4"/>
      <c r="R1234" s="4"/>
      <c r="S1234" s="4"/>
      <c r="T1234" s="4"/>
      <c r="U1234" s="4"/>
      <c r="V1234" s="4"/>
      <c r="W1234" s="4"/>
      <c r="X1234" s="4"/>
      <c r="Y1234" s="4"/>
      <c r="Z1234" s="4"/>
      <c r="AA1234" s="4"/>
      <c r="AB1234" s="4"/>
      <c r="AC1234" s="4"/>
      <c r="AD1234" s="4"/>
      <c r="AE1234" s="4"/>
      <c r="AF1234" s="4"/>
      <c r="AG1234" s="4"/>
    </row>
    <row r="1235" spans="1:33" x14ac:dyDescent="0.2">
      <c r="B1235" s="49" t="s">
        <v>846</v>
      </c>
      <c r="C1235" s="36"/>
      <c r="D1235" s="45"/>
      <c r="E1235" s="85"/>
      <c r="F1235" s="30"/>
      <c r="G1235" s="29"/>
      <c r="H1235" s="15"/>
      <c r="I1235" s="4"/>
      <c r="J1235" s="4"/>
      <c r="K1235" s="4"/>
      <c r="L1235" s="4"/>
      <c r="M1235" s="4"/>
      <c r="N1235" s="4"/>
      <c r="O1235" s="4"/>
      <c r="P1235" s="4"/>
      <c r="Q1235" s="4"/>
      <c r="R1235" s="4"/>
      <c r="S1235" s="4"/>
      <c r="T1235" s="4"/>
      <c r="U1235" s="4"/>
      <c r="V1235" s="4"/>
      <c r="W1235" s="4"/>
      <c r="X1235" s="4"/>
      <c r="Y1235" s="4"/>
      <c r="Z1235" s="4"/>
      <c r="AA1235" s="4"/>
      <c r="AB1235" s="4"/>
      <c r="AC1235" s="4"/>
      <c r="AD1235" s="4"/>
      <c r="AE1235" s="4"/>
      <c r="AF1235" s="4"/>
      <c r="AG1235" s="4"/>
    </row>
    <row r="1236" spans="1:33" x14ac:dyDescent="0.2">
      <c r="B1236" s="48"/>
      <c r="C1236" s="56" t="s">
        <v>847</v>
      </c>
      <c r="D1236" s="44"/>
      <c r="E1236" s="86" t="s">
        <v>1034</v>
      </c>
      <c r="F1236" s="27"/>
      <c r="G1236" s="26"/>
      <c r="H1236" s="21" t="b">
        <f>IF(D1237="x",H$2,H$1)</f>
        <v>0</v>
      </c>
      <c r="I1236" s="4"/>
      <c r="J1236" s="4"/>
      <c r="K1236" s="4"/>
      <c r="L1236" s="4"/>
      <c r="M1236" s="4"/>
      <c r="N1236" s="4"/>
      <c r="O1236" s="4"/>
      <c r="P1236" s="4"/>
      <c r="Q1236" s="4"/>
      <c r="R1236" s="4"/>
      <c r="S1236" s="4"/>
      <c r="T1236" s="4"/>
      <c r="U1236" s="4"/>
      <c r="V1236" s="4"/>
      <c r="W1236" s="4"/>
      <c r="X1236" s="4"/>
      <c r="Y1236" s="4"/>
      <c r="Z1236" s="4"/>
      <c r="AA1236" s="4"/>
      <c r="AB1236" s="4"/>
      <c r="AC1236" s="4"/>
      <c r="AD1236" s="4"/>
      <c r="AE1236" s="4"/>
      <c r="AF1236" s="4"/>
      <c r="AG1236" s="4"/>
    </row>
    <row r="1237" spans="1:33" x14ac:dyDescent="0.2">
      <c r="B1237" s="48"/>
      <c r="C1237" s="57" t="s">
        <v>848</v>
      </c>
      <c r="D1237" s="44"/>
      <c r="E1237" s="86" t="s">
        <v>1035</v>
      </c>
      <c r="F1237" s="22" t="str">
        <f>IF(H1238=1,IF(H1236=H$2,H1236,""),"")</f>
        <v/>
      </c>
      <c r="G1237" s="26"/>
      <c r="H1237" s="21" t="str">
        <f t="shared" ref="H1237" si="427">IF(E$1247="comprobar",COUNTIF(D1236:D1240,"x"),"")</f>
        <v/>
      </c>
      <c r="I1237" s="4"/>
      <c r="J1237" s="4"/>
      <c r="K1237" s="4"/>
      <c r="L1237" s="4"/>
      <c r="M1237" s="4"/>
      <c r="N1237" s="4"/>
      <c r="O1237" s="4"/>
      <c r="P1237" s="4"/>
      <c r="Q1237" s="4"/>
      <c r="R1237" s="4"/>
      <c r="S1237" s="4"/>
      <c r="T1237" s="4"/>
      <c r="U1237" s="4"/>
      <c r="V1237" s="4"/>
      <c r="W1237" s="4"/>
      <c r="X1237" s="4"/>
      <c r="Y1237" s="4"/>
      <c r="Z1237" s="4"/>
      <c r="AA1237" s="4"/>
      <c r="AB1237" s="4"/>
      <c r="AC1237" s="4"/>
      <c r="AD1237" s="4"/>
      <c r="AE1237" s="4"/>
      <c r="AF1237" s="4"/>
      <c r="AG1237" s="4"/>
    </row>
    <row r="1238" spans="1:33" x14ac:dyDescent="0.2">
      <c r="B1238" s="52"/>
      <c r="C1238" s="57" t="s">
        <v>849</v>
      </c>
      <c r="D1238" s="44"/>
      <c r="E1238" s="86" t="s">
        <v>1036</v>
      </c>
      <c r="F1238" s="23" t="str">
        <f>IF(H1238=-0.33,IF(H1236=H$1,H1236,""),"")</f>
        <v/>
      </c>
      <c r="G1238" s="26"/>
      <c r="H1238" s="24">
        <f t="shared" ref="H1238" si="428">IF(H1237=1,IF(H1236=H$2,1,-0.33),0)</f>
        <v>0</v>
      </c>
      <c r="I1238" s="4"/>
      <c r="J1238" s="4"/>
      <c r="K1238" s="4"/>
      <c r="L1238" s="4"/>
      <c r="M1238" s="4"/>
      <c r="N1238" s="4"/>
      <c r="O1238" s="4"/>
      <c r="P1238" s="4"/>
      <c r="Q1238" s="4"/>
      <c r="R1238" s="4"/>
      <c r="S1238" s="4"/>
      <c r="T1238" s="4"/>
      <c r="U1238" s="4"/>
      <c r="V1238" s="4"/>
      <c r="W1238" s="4"/>
      <c r="X1238" s="4"/>
      <c r="Y1238" s="4"/>
      <c r="Z1238" s="4"/>
      <c r="AA1238" s="4"/>
      <c r="AB1238" s="4"/>
      <c r="AC1238" s="4"/>
      <c r="AD1238" s="4"/>
      <c r="AE1238" s="4"/>
      <c r="AF1238" s="4"/>
      <c r="AG1238" s="4"/>
    </row>
    <row r="1239" spans="1:33" x14ac:dyDescent="0.2">
      <c r="B1239" s="48"/>
      <c r="C1239" s="57" t="s">
        <v>605</v>
      </c>
      <c r="D1239" s="44"/>
      <c r="E1239" s="86" t="s">
        <v>1037</v>
      </c>
      <c r="F1239" s="28"/>
      <c r="G1239" s="26"/>
      <c r="H1239" s="24"/>
      <c r="I1239" s="4"/>
      <c r="J1239" s="4"/>
      <c r="K1239" s="4"/>
      <c r="L1239" s="4"/>
      <c r="M1239" s="4"/>
      <c r="N1239" s="4"/>
      <c r="O1239" s="4"/>
      <c r="P1239" s="4"/>
      <c r="Q1239" s="4"/>
      <c r="R1239" s="4"/>
      <c r="S1239" s="4"/>
      <c r="T1239" s="4"/>
      <c r="U1239" s="4"/>
      <c r="V1239" s="4"/>
      <c r="W1239" s="4"/>
      <c r="X1239" s="4"/>
      <c r="Y1239" s="4"/>
      <c r="Z1239" s="4"/>
      <c r="AA1239" s="4"/>
      <c r="AB1239" s="4"/>
      <c r="AC1239" s="4"/>
      <c r="AD1239" s="4"/>
      <c r="AE1239" s="4"/>
      <c r="AF1239" s="4"/>
      <c r="AG1239" s="4"/>
    </row>
    <row r="1240" spans="1:33" x14ac:dyDescent="0.2">
      <c r="B1240" s="48"/>
      <c r="C1240" s="8"/>
      <c r="D1240" s="44"/>
      <c r="E1240" s="86" t="s">
        <v>1038</v>
      </c>
      <c r="F1240" s="28"/>
      <c r="G1240" s="26"/>
      <c r="H1240" s="24"/>
      <c r="I1240" s="4"/>
      <c r="J1240" s="4"/>
      <c r="K1240" s="4"/>
      <c r="L1240" s="4"/>
      <c r="M1240" s="4"/>
      <c r="N1240" s="4"/>
      <c r="O1240" s="4"/>
      <c r="P1240" s="4"/>
      <c r="Q1240" s="4"/>
      <c r="R1240" s="4"/>
      <c r="S1240" s="4"/>
      <c r="T1240" s="4"/>
      <c r="U1240" s="4"/>
      <c r="V1240" s="4"/>
      <c r="W1240" s="4"/>
      <c r="X1240" s="4"/>
      <c r="Y1240" s="4"/>
      <c r="Z1240" s="4"/>
      <c r="AA1240" s="4"/>
      <c r="AB1240" s="4"/>
      <c r="AC1240" s="4"/>
      <c r="AD1240" s="4"/>
      <c r="AE1240" s="4"/>
      <c r="AF1240" s="4"/>
      <c r="AG1240" s="4"/>
    </row>
    <row r="1241" spans="1:33" s="17" customFormat="1" x14ac:dyDescent="0.2">
      <c r="A1241" s="4"/>
      <c r="B1241" s="49" t="s">
        <v>850</v>
      </c>
      <c r="C1241" s="13"/>
      <c r="D1241" s="45"/>
      <c r="E1241" s="85"/>
      <c r="F1241" s="30"/>
      <c r="G1241" s="29"/>
      <c r="H1241" s="15"/>
    </row>
    <row r="1242" spans="1:33" s="4" customFormat="1" x14ac:dyDescent="0.2">
      <c r="B1242" s="52"/>
      <c r="C1242" s="56" t="s">
        <v>851</v>
      </c>
      <c r="D1242" s="44"/>
      <c r="E1242" s="86" t="s">
        <v>1034</v>
      </c>
      <c r="F1242" s="28"/>
      <c r="G1242" s="55"/>
      <c r="H1242" s="21" t="b">
        <f>IF(D1245="x",H$2,H$1)</f>
        <v>0</v>
      </c>
    </row>
    <row r="1243" spans="1:33" x14ac:dyDescent="0.2">
      <c r="B1243" s="48"/>
      <c r="C1243" s="57" t="s">
        <v>852</v>
      </c>
      <c r="D1243" s="44"/>
      <c r="E1243" s="86" t="s">
        <v>1035</v>
      </c>
      <c r="F1243" s="22" t="str">
        <f>IF(H1244=1,IF(H1242=H$2,H1242,""),"")</f>
        <v/>
      </c>
      <c r="G1243" s="26"/>
      <c r="H1243" s="21" t="str">
        <f t="shared" ref="H1243" si="429">IF(E$1247="comprobar",COUNTIF(D1242:D1246,"x"),"")</f>
        <v/>
      </c>
      <c r="I1243" s="4"/>
      <c r="J1243" s="4"/>
      <c r="K1243" s="4"/>
      <c r="L1243" s="4"/>
      <c r="M1243" s="4"/>
      <c r="N1243" s="4"/>
      <c r="O1243" s="4"/>
      <c r="P1243" s="4"/>
      <c r="Q1243" s="4"/>
      <c r="R1243" s="4"/>
      <c r="S1243" s="4"/>
      <c r="T1243" s="4"/>
      <c r="U1243" s="4"/>
      <c r="V1243" s="4"/>
      <c r="W1243" s="4"/>
      <c r="X1243" s="4"/>
      <c r="Y1243" s="4"/>
      <c r="Z1243" s="4"/>
      <c r="AA1243" s="4"/>
      <c r="AB1243" s="4"/>
      <c r="AC1243" s="4"/>
      <c r="AD1243" s="4"/>
      <c r="AE1243" s="4"/>
      <c r="AF1243" s="4"/>
      <c r="AG1243" s="4"/>
    </row>
    <row r="1244" spans="1:33" x14ac:dyDescent="0.2">
      <c r="B1244" s="48"/>
      <c r="C1244" s="57" t="s">
        <v>853</v>
      </c>
      <c r="D1244" s="44"/>
      <c r="E1244" s="86" t="s">
        <v>1036</v>
      </c>
      <c r="F1244" s="23" t="str">
        <f>IF(H1244=-0.33,IF(H1242=H$1,H1242,""),"")</f>
        <v/>
      </c>
      <c r="G1244" s="26"/>
      <c r="H1244" s="24">
        <f t="shared" ref="H1244" si="430">IF(H1243=1,IF(H1242=H$2,1,-0.33),0)</f>
        <v>0</v>
      </c>
      <c r="I1244" s="4"/>
      <c r="J1244" s="4"/>
      <c r="K1244" s="4"/>
      <c r="L1244" s="4"/>
      <c r="M1244" s="4"/>
      <c r="N1244" s="4"/>
      <c r="O1244" s="4"/>
      <c r="P1244" s="4"/>
      <c r="Q1244" s="4"/>
      <c r="R1244" s="4"/>
      <c r="S1244" s="4"/>
      <c r="T1244" s="4"/>
      <c r="U1244" s="4"/>
      <c r="V1244" s="4"/>
      <c r="W1244" s="4"/>
      <c r="X1244" s="4"/>
      <c r="Y1244" s="4"/>
      <c r="Z1244" s="4"/>
      <c r="AA1244" s="4"/>
      <c r="AB1244" s="4"/>
      <c r="AC1244" s="4"/>
      <c r="AD1244" s="4"/>
      <c r="AE1244" s="4"/>
      <c r="AF1244" s="4"/>
      <c r="AG1244" s="4"/>
    </row>
    <row r="1245" spans="1:33" x14ac:dyDescent="0.2">
      <c r="B1245" s="48"/>
      <c r="C1245" s="57" t="s">
        <v>622</v>
      </c>
      <c r="D1245" s="44"/>
      <c r="E1245" s="86" t="s">
        <v>1037</v>
      </c>
      <c r="F1245" s="28"/>
      <c r="G1245" s="26"/>
      <c r="H1245" s="24"/>
      <c r="I1245" s="4"/>
      <c r="J1245" s="4"/>
      <c r="K1245" s="4"/>
      <c r="L1245" s="4"/>
      <c r="M1245" s="4"/>
      <c r="N1245" s="4"/>
      <c r="O1245" s="4"/>
      <c r="P1245" s="4"/>
      <c r="Q1245" s="4"/>
      <c r="R1245" s="4"/>
      <c r="S1245" s="4"/>
      <c r="T1245" s="4"/>
      <c r="U1245" s="4"/>
      <c r="V1245" s="4"/>
      <c r="W1245" s="4"/>
      <c r="X1245" s="4"/>
      <c r="Y1245" s="4"/>
      <c r="Z1245" s="4"/>
      <c r="AA1245" s="4"/>
      <c r="AB1245" s="4"/>
      <c r="AC1245" s="4"/>
      <c r="AD1245" s="4"/>
      <c r="AE1245" s="4"/>
      <c r="AF1245" s="4"/>
      <c r="AG1245" s="4"/>
    </row>
    <row r="1246" spans="1:33" x14ac:dyDescent="0.2">
      <c r="B1246" s="48"/>
      <c r="C1246" s="8" t="s">
        <v>158</v>
      </c>
      <c r="D1246" s="44"/>
      <c r="E1246" s="86" t="s">
        <v>1038</v>
      </c>
      <c r="F1246" s="20"/>
      <c r="G1246" s="19"/>
      <c r="H1246" s="24"/>
      <c r="I1246" s="4"/>
      <c r="J1246" s="4"/>
      <c r="K1246" s="4"/>
      <c r="L1246" s="4"/>
      <c r="M1246" s="4"/>
      <c r="N1246" s="4"/>
      <c r="O1246" s="4"/>
      <c r="P1246" s="4"/>
      <c r="Q1246" s="4"/>
      <c r="R1246" s="4"/>
      <c r="S1246" s="4"/>
      <c r="T1246" s="4"/>
      <c r="U1246" s="4"/>
      <c r="V1246" s="4"/>
      <c r="W1246" s="4"/>
      <c r="X1246" s="4"/>
      <c r="Y1246" s="4"/>
      <c r="Z1246" s="4"/>
      <c r="AA1246" s="4"/>
      <c r="AB1246" s="4"/>
      <c r="AC1246" s="4"/>
      <c r="AD1246" s="4"/>
      <c r="AE1246" s="4"/>
      <c r="AF1246" s="4"/>
      <c r="AG1246" s="4"/>
    </row>
    <row r="1247" spans="1:33" x14ac:dyDescent="0.2">
      <c r="B1247" s="52"/>
      <c r="C1247" s="47"/>
      <c r="D1247" s="73"/>
      <c r="E1247" s="87"/>
      <c r="F1247" s="20"/>
      <c r="G1247" s="19"/>
      <c r="H1247" s="19"/>
      <c r="I1247" s="4"/>
      <c r="J1247" s="4"/>
      <c r="K1247" s="4"/>
      <c r="L1247" s="4"/>
      <c r="M1247" s="4"/>
      <c r="N1247" s="4"/>
      <c r="O1247" s="4"/>
      <c r="P1247" s="4"/>
      <c r="Q1247" s="4"/>
      <c r="R1247" s="4"/>
      <c r="S1247" s="4"/>
      <c r="T1247" s="4"/>
      <c r="U1247" s="4"/>
      <c r="V1247" s="4"/>
      <c r="W1247" s="4"/>
      <c r="X1247" s="4"/>
      <c r="Y1247" s="4"/>
      <c r="Z1247" s="4"/>
      <c r="AA1247" s="4"/>
      <c r="AB1247" s="4"/>
      <c r="AC1247" s="4"/>
      <c r="AD1247" s="4"/>
      <c r="AE1247" s="4"/>
      <c r="AF1247" s="4"/>
      <c r="AG1247" s="4"/>
    </row>
    <row r="1248" spans="1:33" x14ac:dyDescent="0.2">
      <c r="B1248" s="52"/>
      <c r="C1248" s="18"/>
      <c r="D1248" s="69"/>
      <c r="E1248" s="86"/>
      <c r="F1248" s="31" t="s">
        <v>93</v>
      </c>
      <c r="G1248" s="19" t="s">
        <v>91</v>
      </c>
      <c r="H1248" s="19" t="s">
        <v>92</v>
      </c>
      <c r="I1248" s="4"/>
      <c r="J1248" s="4"/>
      <c r="K1248" s="4"/>
      <c r="L1248" s="4"/>
      <c r="M1248" s="4"/>
      <c r="N1248" s="4"/>
      <c r="O1248" s="4"/>
      <c r="P1248" s="4"/>
      <c r="Q1248" s="4"/>
      <c r="R1248" s="4"/>
      <c r="S1248" s="4"/>
      <c r="T1248" s="4"/>
      <c r="U1248" s="4"/>
      <c r="V1248" s="4"/>
      <c r="W1248" s="4"/>
      <c r="X1248" s="4"/>
      <c r="Y1248" s="4"/>
      <c r="Z1248" s="4"/>
      <c r="AA1248" s="4"/>
      <c r="AB1248" s="4"/>
      <c r="AC1248" s="4"/>
      <c r="AD1248" s="4"/>
      <c r="AE1248" s="4"/>
      <c r="AF1248" s="4"/>
      <c r="AG1248" s="4"/>
    </row>
    <row r="1249" spans="1:33" ht="20" x14ac:dyDescent="0.2">
      <c r="B1249" s="52"/>
      <c r="C1249" s="18"/>
      <c r="D1249" s="69"/>
      <c r="E1249" s="84"/>
      <c r="F1249" s="32" t="str">
        <f>IF(E1247="comprobar",H1184+H1178+H1172+H1166+H1160+H1154+H1148+H1142+H1136+H1130+H1190+H1196+H1202+H1208+H1214+H1220+H1226+H1232+H1238+H1244,"")</f>
        <v/>
      </c>
      <c r="G1249" s="19">
        <f>20/2</f>
        <v>10</v>
      </c>
      <c r="H1249" s="19"/>
      <c r="I1249" s="4"/>
      <c r="J1249" s="4"/>
      <c r="K1249" s="4"/>
      <c r="L1249" s="4"/>
      <c r="M1249" s="4"/>
      <c r="N1249" s="4"/>
      <c r="O1249" s="4"/>
      <c r="P1249" s="4"/>
      <c r="Q1249" s="4"/>
      <c r="R1249" s="4"/>
      <c r="S1249" s="4"/>
      <c r="T1249" s="4"/>
      <c r="U1249" s="4"/>
      <c r="V1249" s="4"/>
      <c r="W1249" s="4"/>
      <c r="X1249" s="4"/>
      <c r="Y1249" s="4"/>
      <c r="Z1249" s="4"/>
      <c r="AA1249" s="4"/>
      <c r="AB1249" s="4"/>
      <c r="AC1249" s="4"/>
      <c r="AD1249" s="4"/>
      <c r="AE1249" s="4"/>
      <c r="AF1249" s="4"/>
      <c r="AG1249" s="4"/>
    </row>
    <row r="1250" spans="1:33" ht="17" thickBot="1" x14ac:dyDescent="0.25">
      <c r="B1250" s="53"/>
      <c r="C1250" s="33"/>
      <c r="D1250" s="34"/>
      <c r="E1250" s="88"/>
      <c r="F1250" s="35" t="str">
        <f>IF(F1249&gt;G1249,G1248,H1248)</f>
        <v>APROBADO</v>
      </c>
      <c r="G1250" s="19"/>
      <c r="H1250" s="19"/>
      <c r="I1250" s="4"/>
      <c r="J1250" s="4"/>
      <c r="K1250" s="4"/>
      <c r="L1250" s="4"/>
      <c r="M1250" s="4"/>
      <c r="N1250" s="4"/>
      <c r="O1250" s="4"/>
      <c r="P1250" s="4"/>
      <c r="Q1250" s="4"/>
      <c r="R1250" s="4"/>
      <c r="S1250" s="4"/>
      <c r="T1250" s="4"/>
      <c r="U1250" s="4"/>
      <c r="V1250" s="4"/>
      <c r="W1250" s="4"/>
      <c r="X1250" s="4"/>
      <c r="Y1250" s="4"/>
      <c r="Z1250" s="4"/>
      <c r="AA1250" s="4"/>
      <c r="AB1250" s="4"/>
      <c r="AC1250" s="4"/>
      <c r="AD1250" s="4"/>
      <c r="AE1250" s="4"/>
      <c r="AF1250" s="4"/>
      <c r="AG1250" s="4"/>
    </row>
    <row r="1251" spans="1:33" ht="29" x14ac:dyDescent="0.35">
      <c r="B1251" s="54" t="s">
        <v>0</v>
      </c>
      <c r="C1251" s="113" t="s">
        <v>854</v>
      </c>
      <c r="D1251" s="113"/>
      <c r="E1251" s="113"/>
      <c r="F1251" s="114"/>
      <c r="G1251" s="19"/>
      <c r="H1251" s="19"/>
      <c r="I1251" s="4"/>
      <c r="J1251" s="4"/>
      <c r="K1251" s="4"/>
      <c r="L1251" s="4"/>
      <c r="M1251" s="4"/>
      <c r="N1251" s="4"/>
      <c r="O1251" s="4"/>
      <c r="P1251" s="4"/>
      <c r="Q1251" s="4"/>
      <c r="R1251" s="4"/>
      <c r="S1251" s="4"/>
      <c r="T1251" s="4"/>
      <c r="U1251" s="4"/>
      <c r="V1251" s="4"/>
      <c r="W1251" s="4"/>
      <c r="X1251" s="4"/>
      <c r="Y1251" s="4"/>
      <c r="Z1251" s="4"/>
      <c r="AA1251" s="4"/>
      <c r="AB1251" s="4"/>
      <c r="AC1251" s="4"/>
      <c r="AD1251" s="4"/>
      <c r="AE1251" s="4"/>
      <c r="AF1251" s="4"/>
      <c r="AG1251" s="4"/>
    </row>
    <row r="1252" spans="1:33" s="17" customFormat="1" x14ac:dyDescent="0.2">
      <c r="A1252" s="4"/>
      <c r="B1252" s="49" t="s">
        <v>855</v>
      </c>
      <c r="C1252" s="13"/>
      <c r="D1252" s="14"/>
      <c r="E1252" s="85"/>
      <c r="F1252" s="16"/>
      <c r="G1252" s="15"/>
      <c r="H1252" s="15"/>
    </row>
    <row r="1253" spans="1:33" x14ac:dyDescent="0.2">
      <c r="B1253" s="48"/>
      <c r="C1253" s="56" t="s">
        <v>856</v>
      </c>
      <c r="D1253" s="44"/>
      <c r="E1253" s="90" t="s">
        <v>1034</v>
      </c>
      <c r="F1253" s="20"/>
      <c r="G1253" s="19"/>
      <c r="H1253" s="21" t="b">
        <f>IF(D1254="x",H$2,H$1)</f>
        <v>0</v>
      </c>
      <c r="I1253" s="4"/>
      <c r="J1253" s="4"/>
      <c r="K1253" s="4"/>
      <c r="L1253" s="4"/>
      <c r="M1253" s="4"/>
      <c r="N1253" s="4"/>
      <c r="O1253" s="4"/>
      <c r="P1253" s="4"/>
      <c r="Q1253" s="4"/>
      <c r="R1253" s="4"/>
      <c r="S1253" s="4"/>
      <c r="T1253" s="4"/>
      <c r="U1253" s="4"/>
      <c r="V1253" s="4"/>
      <c r="W1253" s="4"/>
      <c r="X1253" s="4"/>
      <c r="Y1253" s="4"/>
      <c r="Z1253" s="4"/>
      <c r="AA1253" s="4"/>
      <c r="AB1253" s="4"/>
      <c r="AC1253" s="4"/>
      <c r="AD1253" s="4"/>
      <c r="AE1253" s="4"/>
      <c r="AF1253" s="4"/>
      <c r="AG1253" s="4"/>
    </row>
    <row r="1254" spans="1:33" x14ac:dyDescent="0.2">
      <c r="B1254" s="48"/>
      <c r="C1254" s="57" t="s">
        <v>857</v>
      </c>
      <c r="D1254" s="44"/>
      <c r="E1254" s="90" t="s">
        <v>1035</v>
      </c>
      <c r="F1254" s="22" t="str">
        <f>IF(H1255=1,IF(H1253=H$2,H1253,""),"")</f>
        <v/>
      </c>
      <c r="G1254" s="19"/>
      <c r="H1254" s="21" t="str">
        <f>IF(E$1372="comprobar",COUNTIF(D1253:D1257,"x"),"")</f>
        <v/>
      </c>
      <c r="I1254" s="4"/>
      <c r="J1254" s="4"/>
      <c r="K1254" s="4"/>
      <c r="L1254" s="4"/>
      <c r="M1254" s="4"/>
      <c r="N1254" s="4"/>
      <c r="O1254" s="4"/>
      <c r="P1254" s="4"/>
      <c r="Q1254" s="4"/>
      <c r="R1254" s="4"/>
      <c r="S1254" s="4"/>
      <c r="T1254" s="4"/>
      <c r="U1254" s="4"/>
      <c r="V1254" s="4"/>
      <c r="W1254" s="4"/>
      <c r="X1254" s="4"/>
      <c r="Y1254" s="4"/>
      <c r="Z1254" s="4"/>
      <c r="AA1254" s="4"/>
      <c r="AB1254" s="4"/>
      <c r="AC1254" s="4"/>
      <c r="AD1254" s="4"/>
      <c r="AE1254" s="4"/>
      <c r="AF1254" s="4"/>
      <c r="AG1254" s="4"/>
    </row>
    <row r="1255" spans="1:33" x14ac:dyDescent="0.2">
      <c r="B1255" s="48"/>
      <c r="C1255" s="57" t="s">
        <v>858</v>
      </c>
      <c r="D1255" s="44"/>
      <c r="E1255" s="90" t="s">
        <v>1036</v>
      </c>
      <c r="F1255" s="23" t="str">
        <f>IF(H1255=-0.33,IF(H1253=H$1,H1253,""),"")</f>
        <v/>
      </c>
      <c r="G1255" s="19"/>
      <c r="H1255" s="24">
        <f>IF(H1254=1,IF(H1253=H$2,1,-0.33),0)</f>
        <v>0</v>
      </c>
      <c r="I1255" s="4"/>
      <c r="J1255" s="4"/>
      <c r="K1255" s="4"/>
      <c r="L1255" s="4"/>
      <c r="M1255" s="4"/>
      <c r="N1255" s="4"/>
      <c r="O1255" s="4"/>
      <c r="P1255" s="4"/>
      <c r="Q1255" s="4"/>
      <c r="R1255" s="4"/>
      <c r="S1255" s="4"/>
      <c r="T1255" s="4"/>
      <c r="U1255" s="4"/>
      <c r="V1255" s="4"/>
      <c r="W1255" s="4"/>
      <c r="X1255" s="4"/>
      <c r="Y1255" s="4"/>
      <c r="Z1255" s="4"/>
      <c r="AA1255" s="4"/>
      <c r="AB1255" s="4"/>
      <c r="AC1255" s="4"/>
      <c r="AD1255" s="4"/>
      <c r="AE1255" s="4"/>
      <c r="AF1255" s="4"/>
      <c r="AG1255" s="4"/>
    </row>
    <row r="1256" spans="1:33" x14ac:dyDescent="0.2">
      <c r="B1256" s="48"/>
      <c r="C1256" s="57"/>
      <c r="D1256" s="44"/>
      <c r="E1256" s="90" t="s">
        <v>1037</v>
      </c>
      <c r="F1256" s="20"/>
      <c r="G1256" s="19"/>
      <c r="H1256" s="24"/>
      <c r="I1256" s="4"/>
      <c r="J1256" s="4"/>
      <c r="K1256" s="4"/>
      <c r="L1256" s="4"/>
      <c r="M1256" s="4"/>
      <c r="N1256" s="4"/>
      <c r="O1256" s="4"/>
      <c r="P1256" s="4"/>
      <c r="Q1256" s="4"/>
      <c r="R1256" s="4"/>
      <c r="S1256" s="4"/>
      <c r="T1256" s="4"/>
      <c r="U1256" s="4"/>
      <c r="V1256" s="4"/>
      <c r="W1256" s="4"/>
      <c r="X1256" s="4"/>
      <c r="Y1256" s="4"/>
      <c r="Z1256" s="4"/>
      <c r="AA1256" s="4"/>
      <c r="AB1256" s="4"/>
      <c r="AC1256" s="4"/>
      <c r="AD1256" s="4"/>
      <c r="AE1256" s="4"/>
      <c r="AF1256" s="4"/>
      <c r="AG1256" s="4"/>
    </row>
    <row r="1257" spans="1:33" x14ac:dyDescent="0.2">
      <c r="B1257" s="48"/>
      <c r="C1257" s="8"/>
      <c r="D1257" s="44"/>
      <c r="E1257" s="90" t="s">
        <v>1038</v>
      </c>
      <c r="F1257" s="20"/>
      <c r="G1257" s="19"/>
      <c r="H1257" s="24"/>
      <c r="I1257" s="4"/>
      <c r="J1257" s="4"/>
      <c r="K1257" s="4"/>
      <c r="L1257" s="4"/>
      <c r="M1257" s="4"/>
      <c r="N1257" s="4"/>
      <c r="O1257" s="4"/>
      <c r="P1257" s="4"/>
      <c r="Q1257" s="4"/>
      <c r="R1257" s="4"/>
      <c r="S1257" s="4"/>
      <c r="T1257" s="4"/>
      <c r="U1257" s="4"/>
      <c r="V1257" s="4"/>
      <c r="W1257" s="4"/>
      <c r="X1257" s="4"/>
      <c r="Y1257" s="4"/>
      <c r="Z1257" s="4"/>
      <c r="AA1257" s="4"/>
      <c r="AB1257" s="4"/>
      <c r="AC1257" s="4"/>
      <c r="AD1257" s="4"/>
      <c r="AE1257" s="4"/>
      <c r="AF1257" s="4"/>
      <c r="AG1257" s="4"/>
    </row>
    <row r="1258" spans="1:33" s="17" customFormat="1" x14ac:dyDescent="0.2">
      <c r="A1258" s="4"/>
      <c r="B1258" s="49" t="s">
        <v>859</v>
      </c>
      <c r="C1258" s="13"/>
      <c r="D1258" s="45"/>
      <c r="E1258" s="85"/>
      <c r="F1258" s="16"/>
      <c r="G1258" s="15"/>
      <c r="H1258" s="15"/>
    </row>
    <row r="1259" spans="1:33" x14ac:dyDescent="0.2">
      <c r="B1259" s="48"/>
      <c r="C1259" s="56" t="s">
        <v>860</v>
      </c>
      <c r="D1259" s="44"/>
      <c r="E1259" s="90" t="s">
        <v>1034</v>
      </c>
      <c r="F1259" s="20"/>
      <c r="G1259" s="19"/>
      <c r="H1259" s="21" t="b">
        <f>IF(D1261="x",H$2,H$1)</f>
        <v>0</v>
      </c>
      <c r="I1259" s="4"/>
      <c r="J1259" s="4"/>
      <c r="K1259" s="4"/>
      <c r="L1259" s="4"/>
      <c r="M1259" s="4"/>
      <c r="N1259" s="4"/>
      <c r="O1259" s="4"/>
      <c r="P1259" s="4"/>
      <c r="Q1259" s="4"/>
      <c r="R1259" s="4"/>
      <c r="S1259" s="4"/>
      <c r="T1259" s="4"/>
      <c r="U1259" s="4"/>
      <c r="V1259" s="4"/>
      <c r="W1259" s="4"/>
      <c r="X1259" s="4"/>
      <c r="Y1259" s="4"/>
      <c r="Z1259" s="4"/>
      <c r="AA1259" s="4"/>
      <c r="AB1259" s="4"/>
      <c r="AC1259" s="4"/>
      <c r="AD1259" s="4"/>
      <c r="AE1259" s="4"/>
      <c r="AF1259" s="4"/>
      <c r="AG1259" s="4"/>
    </row>
    <row r="1260" spans="1:33" x14ac:dyDescent="0.2">
      <c r="B1260" s="52"/>
      <c r="C1260" s="57" t="s">
        <v>861</v>
      </c>
      <c r="D1260" s="44"/>
      <c r="E1260" s="90" t="s">
        <v>1035</v>
      </c>
      <c r="F1260" s="22" t="str">
        <f>IF(H1261=1,IF(H1259=H$2,H1259,""),"")</f>
        <v/>
      </c>
      <c r="G1260" s="19"/>
      <c r="H1260" s="21" t="str">
        <f t="shared" ref="H1260" si="431">IF(E$1372="comprobar",COUNTIF(D1259:D1263,"x"),"")</f>
        <v/>
      </c>
      <c r="I1260" s="4"/>
      <c r="J1260" s="4"/>
      <c r="K1260" s="4"/>
      <c r="L1260" s="4"/>
      <c r="M1260" s="4"/>
      <c r="N1260" s="4"/>
      <c r="O1260" s="4"/>
      <c r="P1260" s="4"/>
      <c r="Q1260" s="4"/>
      <c r="R1260" s="4"/>
      <c r="S1260" s="4"/>
      <c r="T1260" s="4"/>
      <c r="U1260" s="4"/>
      <c r="V1260" s="4"/>
      <c r="W1260" s="4"/>
      <c r="X1260" s="4"/>
      <c r="Y1260" s="4"/>
      <c r="Z1260" s="4"/>
      <c r="AA1260" s="4"/>
      <c r="AB1260" s="4"/>
      <c r="AC1260" s="4"/>
      <c r="AD1260" s="4"/>
      <c r="AE1260" s="4"/>
      <c r="AF1260" s="4"/>
      <c r="AG1260" s="4"/>
    </row>
    <row r="1261" spans="1:33" x14ac:dyDescent="0.2">
      <c r="B1261" s="48"/>
      <c r="C1261" s="57" t="s">
        <v>862</v>
      </c>
      <c r="D1261" s="44"/>
      <c r="E1261" s="90" t="s">
        <v>1036</v>
      </c>
      <c r="F1261" s="23" t="str">
        <f>IF(H1261=-0.33,IF(H1259=H$1,H1259,""),"")</f>
        <v/>
      </c>
      <c r="G1261" s="19"/>
      <c r="H1261" s="24">
        <f t="shared" ref="H1261" si="432">IF(H1260=1,IF(H1259=H$2,1,-0.33),0)</f>
        <v>0</v>
      </c>
      <c r="I1261" s="4"/>
      <c r="J1261" s="4"/>
      <c r="K1261" s="4"/>
      <c r="L1261" s="4"/>
      <c r="M1261" s="4"/>
      <c r="N1261" s="4"/>
      <c r="O1261" s="4"/>
      <c r="P1261" s="4"/>
      <c r="Q1261" s="4"/>
      <c r="R1261" s="4"/>
      <c r="S1261" s="4"/>
      <c r="T1261" s="4"/>
      <c r="U1261" s="4"/>
      <c r="V1261" s="4"/>
      <c r="W1261" s="4"/>
      <c r="X1261" s="4"/>
      <c r="Y1261" s="4"/>
      <c r="Z1261" s="4"/>
      <c r="AA1261" s="4"/>
      <c r="AB1261" s="4"/>
      <c r="AC1261" s="4"/>
      <c r="AD1261" s="4"/>
      <c r="AE1261" s="4"/>
      <c r="AF1261" s="4"/>
      <c r="AG1261" s="4"/>
    </row>
    <row r="1262" spans="1:33" x14ac:dyDescent="0.2">
      <c r="B1262" s="48"/>
      <c r="C1262" s="57" t="s">
        <v>863</v>
      </c>
      <c r="D1262" s="44"/>
      <c r="E1262" s="90" t="s">
        <v>1037</v>
      </c>
      <c r="F1262" s="20"/>
      <c r="G1262" s="19"/>
      <c r="H1262" s="24"/>
      <c r="I1262" s="4"/>
      <c r="J1262" s="4"/>
      <c r="K1262" s="4"/>
      <c r="L1262" s="4"/>
      <c r="M1262" s="4"/>
      <c r="N1262" s="4"/>
      <c r="O1262" s="4"/>
      <c r="P1262" s="4"/>
      <c r="Q1262" s="4"/>
      <c r="R1262" s="4"/>
      <c r="S1262" s="4"/>
      <c r="T1262" s="4"/>
      <c r="U1262" s="4"/>
      <c r="V1262" s="4"/>
      <c r="W1262" s="4"/>
      <c r="X1262" s="4"/>
      <c r="Y1262" s="4"/>
      <c r="Z1262" s="4"/>
      <c r="AA1262" s="4"/>
      <c r="AB1262" s="4"/>
      <c r="AC1262" s="4"/>
      <c r="AD1262" s="4"/>
      <c r="AE1262" s="4"/>
      <c r="AF1262" s="4"/>
      <c r="AG1262" s="4"/>
    </row>
    <row r="1263" spans="1:33" x14ac:dyDescent="0.2">
      <c r="B1263" s="48"/>
      <c r="C1263" s="8"/>
      <c r="D1263" s="44"/>
      <c r="E1263" s="90" t="s">
        <v>1038</v>
      </c>
      <c r="F1263" s="20"/>
      <c r="G1263" s="19"/>
      <c r="H1263" s="24"/>
      <c r="I1263" s="4"/>
      <c r="J1263" s="4"/>
      <c r="K1263" s="4"/>
      <c r="L1263" s="4"/>
      <c r="M1263" s="4"/>
      <c r="N1263" s="4"/>
      <c r="O1263" s="4"/>
      <c r="P1263" s="4"/>
      <c r="Q1263" s="4"/>
      <c r="R1263" s="4"/>
      <c r="S1263" s="4"/>
      <c r="T1263" s="4"/>
      <c r="U1263" s="4"/>
      <c r="V1263" s="4"/>
      <c r="W1263" s="4"/>
      <c r="X1263" s="4"/>
      <c r="Y1263" s="4"/>
      <c r="Z1263" s="4"/>
      <c r="AA1263" s="4"/>
      <c r="AB1263" s="4"/>
      <c r="AC1263" s="4"/>
      <c r="AD1263" s="4"/>
      <c r="AE1263" s="4"/>
      <c r="AF1263" s="4"/>
      <c r="AG1263" s="4"/>
    </row>
    <row r="1264" spans="1:33" s="17" customFormat="1" x14ac:dyDescent="0.2">
      <c r="A1264" s="4"/>
      <c r="B1264" s="49" t="s">
        <v>864</v>
      </c>
      <c r="C1264" s="13"/>
      <c r="D1264" s="45"/>
      <c r="E1264" s="85"/>
      <c r="F1264" s="16"/>
      <c r="G1264" s="15"/>
      <c r="H1264" s="15"/>
    </row>
    <row r="1265" spans="1:33" x14ac:dyDescent="0.2">
      <c r="B1265" s="52"/>
      <c r="C1265" s="56" t="s">
        <v>865</v>
      </c>
      <c r="D1265" s="44"/>
      <c r="E1265" s="90" t="s">
        <v>1034</v>
      </c>
      <c r="F1265" s="20"/>
      <c r="G1265" s="19"/>
      <c r="H1265" s="21" t="b">
        <f>IF(D1268="x",H$2,H$1)</f>
        <v>0</v>
      </c>
      <c r="I1265" s="4"/>
      <c r="J1265" s="4"/>
      <c r="K1265" s="4"/>
      <c r="L1265" s="4"/>
      <c r="M1265" s="4"/>
      <c r="N1265" s="4"/>
      <c r="O1265" s="4"/>
      <c r="P1265" s="4"/>
      <c r="Q1265" s="4"/>
      <c r="R1265" s="4"/>
      <c r="S1265" s="4"/>
      <c r="T1265" s="4"/>
      <c r="U1265" s="4"/>
      <c r="V1265" s="4"/>
      <c r="W1265" s="4"/>
      <c r="X1265" s="4"/>
      <c r="Y1265" s="4"/>
      <c r="Z1265" s="4"/>
      <c r="AA1265" s="4"/>
      <c r="AB1265" s="4"/>
      <c r="AC1265" s="4"/>
      <c r="AD1265" s="4"/>
      <c r="AE1265" s="4"/>
      <c r="AF1265" s="4"/>
      <c r="AG1265" s="4"/>
    </row>
    <row r="1266" spans="1:33" x14ac:dyDescent="0.2">
      <c r="B1266" s="48"/>
      <c r="C1266" s="57" t="s">
        <v>866</v>
      </c>
      <c r="D1266" s="44"/>
      <c r="E1266" s="90" t="s">
        <v>1035</v>
      </c>
      <c r="F1266" s="22" t="str">
        <f>IF(H1267=1,IF(H1265=H$2,H1265,""),"")</f>
        <v/>
      </c>
      <c r="G1266" s="19"/>
      <c r="H1266" s="21" t="str">
        <f t="shared" ref="H1266" si="433">IF(E$1372="comprobar",COUNTIF(D1265:D1269,"x"),"")</f>
        <v/>
      </c>
      <c r="I1266" s="4"/>
      <c r="J1266" s="4"/>
      <c r="K1266" s="4"/>
      <c r="L1266" s="4"/>
      <c r="M1266" s="4"/>
      <c r="N1266" s="4"/>
      <c r="O1266" s="4"/>
      <c r="P1266" s="4"/>
      <c r="Q1266" s="4"/>
      <c r="R1266" s="4"/>
      <c r="S1266" s="4"/>
      <c r="T1266" s="4"/>
      <c r="U1266" s="4"/>
      <c r="V1266" s="4"/>
      <c r="W1266" s="4"/>
      <c r="X1266" s="4"/>
      <c r="Y1266" s="4"/>
      <c r="Z1266" s="4"/>
      <c r="AA1266" s="4"/>
      <c r="AB1266" s="4"/>
      <c r="AC1266" s="4"/>
      <c r="AD1266" s="4"/>
      <c r="AE1266" s="4"/>
      <c r="AF1266" s="4"/>
      <c r="AG1266" s="4"/>
    </row>
    <row r="1267" spans="1:33" x14ac:dyDescent="0.2">
      <c r="B1267" s="48"/>
      <c r="C1267" s="57" t="s">
        <v>867</v>
      </c>
      <c r="D1267" s="44"/>
      <c r="E1267" s="90" t="s">
        <v>1036</v>
      </c>
      <c r="F1267" s="23" t="str">
        <f>IF(H1267=-0.33,IF(H1265=H$1,H1265,""),"")</f>
        <v/>
      </c>
      <c r="G1267" s="19"/>
      <c r="H1267" s="24">
        <f t="shared" ref="H1267" si="434">IF(H1266=1,IF(H1265=H$2,1,-0.33),0)</f>
        <v>0</v>
      </c>
      <c r="I1267" s="4"/>
      <c r="J1267" s="4"/>
      <c r="K1267" s="4"/>
      <c r="L1267" s="4"/>
      <c r="M1267" s="4"/>
      <c r="N1267" s="4"/>
      <c r="O1267" s="4"/>
      <c r="P1267" s="4"/>
      <c r="Q1267" s="4"/>
      <c r="R1267" s="4"/>
      <c r="S1267" s="4"/>
      <c r="T1267" s="4"/>
      <c r="U1267" s="4"/>
      <c r="V1267" s="4"/>
      <c r="W1267" s="4"/>
      <c r="X1267" s="4"/>
      <c r="Y1267" s="4"/>
      <c r="Z1267" s="4"/>
      <c r="AA1267" s="4"/>
      <c r="AB1267" s="4"/>
      <c r="AC1267" s="4"/>
      <c r="AD1267" s="4"/>
      <c r="AE1267" s="4"/>
      <c r="AF1267" s="4"/>
      <c r="AG1267" s="4"/>
    </row>
    <row r="1268" spans="1:33" x14ac:dyDescent="0.2">
      <c r="B1268" s="52"/>
      <c r="C1268" s="57" t="s">
        <v>165</v>
      </c>
      <c r="D1268" s="44"/>
      <c r="E1268" s="90" t="s">
        <v>1037</v>
      </c>
      <c r="F1268" s="20"/>
      <c r="G1268" s="19"/>
      <c r="H1268" s="24"/>
      <c r="I1268" s="4"/>
      <c r="J1268" s="4"/>
      <c r="K1268" s="4"/>
      <c r="L1268" s="4"/>
      <c r="M1268" s="4"/>
      <c r="N1268" s="4"/>
      <c r="O1268" s="4"/>
      <c r="P1268" s="4"/>
      <c r="Q1268" s="4"/>
      <c r="R1268" s="4"/>
      <c r="S1268" s="4"/>
      <c r="T1268" s="4"/>
      <c r="U1268" s="4"/>
      <c r="V1268" s="4"/>
      <c r="W1268" s="4"/>
      <c r="X1268" s="4"/>
      <c r="Y1268" s="4"/>
      <c r="Z1268" s="4"/>
      <c r="AA1268" s="4"/>
      <c r="AB1268" s="4"/>
      <c r="AC1268" s="4"/>
      <c r="AD1268" s="4"/>
      <c r="AE1268" s="4"/>
      <c r="AF1268" s="4"/>
      <c r="AG1268" s="4"/>
    </row>
    <row r="1269" spans="1:33" x14ac:dyDescent="0.2">
      <c r="B1269" s="48"/>
      <c r="C1269" s="8"/>
      <c r="D1269" s="44"/>
      <c r="E1269" s="90" t="s">
        <v>1038</v>
      </c>
      <c r="F1269" s="20"/>
      <c r="G1269" s="19"/>
      <c r="H1269" s="24"/>
      <c r="I1269" s="4"/>
      <c r="J1269" s="4"/>
      <c r="K1269" s="4"/>
      <c r="L1269" s="4"/>
      <c r="M1269" s="4"/>
      <c r="N1269" s="4"/>
      <c r="O1269" s="4"/>
      <c r="P1269" s="4"/>
      <c r="Q1269" s="4"/>
      <c r="R1269" s="4"/>
      <c r="S1269" s="4"/>
      <c r="T1269" s="4"/>
      <c r="U1269" s="4"/>
      <c r="V1269" s="4"/>
      <c r="W1269" s="4"/>
      <c r="X1269" s="4"/>
      <c r="Y1269" s="4"/>
      <c r="Z1269" s="4"/>
      <c r="AA1269" s="4"/>
      <c r="AB1269" s="4"/>
      <c r="AC1269" s="4"/>
      <c r="AD1269" s="4"/>
      <c r="AE1269" s="4"/>
      <c r="AF1269" s="4"/>
      <c r="AG1269" s="4"/>
    </row>
    <row r="1270" spans="1:33" s="17" customFormat="1" x14ac:dyDescent="0.2">
      <c r="A1270" s="4"/>
      <c r="B1270" s="49" t="s">
        <v>868</v>
      </c>
      <c r="C1270" s="13"/>
      <c r="D1270" s="45"/>
      <c r="E1270" s="85"/>
      <c r="F1270" s="16"/>
      <c r="G1270" s="15"/>
      <c r="H1270" s="15"/>
    </row>
    <row r="1271" spans="1:33" x14ac:dyDescent="0.2">
      <c r="B1271" s="48"/>
      <c r="C1271" s="56" t="s">
        <v>869</v>
      </c>
      <c r="D1271" s="44"/>
      <c r="E1271" s="90" t="s">
        <v>1034</v>
      </c>
      <c r="F1271" s="20"/>
      <c r="G1271" s="19"/>
      <c r="H1271" s="21" t="b">
        <f>IF(D1272="x",H$2,H$1)</f>
        <v>0</v>
      </c>
      <c r="I1271" s="4"/>
      <c r="J1271" s="4"/>
      <c r="K1271" s="4"/>
      <c r="L1271" s="4"/>
      <c r="M1271" s="4"/>
      <c r="N1271" s="4"/>
      <c r="O1271" s="4"/>
      <c r="P1271" s="4"/>
      <c r="Q1271" s="4"/>
      <c r="R1271" s="4"/>
      <c r="S1271" s="4"/>
      <c r="T1271" s="4"/>
      <c r="U1271" s="4"/>
      <c r="V1271" s="4"/>
      <c r="W1271" s="4"/>
      <c r="X1271" s="4"/>
      <c r="Y1271" s="4"/>
      <c r="Z1271" s="4"/>
      <c r="AA1271" s="4"/>
      <c r="AB1271" s="4"/>
      <c r="AC1271" s="4"/>
      <c r="AD1271" s="4"/>
      <c r="AE1271" s="4"/>
      <c r="AF1271" s="4"/>
      <c r="AG1271" s="4"/>
    </row>
    <row r="1272" spans="1:33" x14ac:dyDescent="0.2">
      <c r="B1272" s="52"/>
      <c r="C1272" s="57" t="s">
        <v>870</v>
      </c>
      <c r="D1272" s="44"/>
      <c r="E1272" s="90" t="s">
        <v>1035</v>
      </c>
      <c r="F1272" s="22" t="str">
        <f>IF(H1273=1,IF(H1271=H$2,H1271,""),"")</f>
        <v/>
      </c>
      <c r="G1272" s="19"/>
      <c r="H1272" s="21" t="str">
        <f t="shared" ref="H1272" si="435">IF(E$1372="comprobar",COUNTIF(D1271:D1275,"x"),"")</f>
        <v/>
      </c>
      <c r="I1272" s="4"/>
      <c r="J1272" s="4"/>
      <c r="K1272" s="4"/>
      <c r="L1272" s="4"/>
      <c r="M1272" s="4"/>
      <c r="N1272" s="4"/>
      <c r="O1272" s="4"/>
      <c r="P1272" s="4"/>
      <c r="Q1272" s="4"/>
      <c r="R1272" s="4"/>
      <c r="S1272" s="4"/>
      <c r="T1272" s="4"/>
      <c r="U1272" s="4"/>
      <c r="V1272" s="4"/>
      <c r="W1272" s="4"/>
      <c r="X1272" s="4"/>
      <c r="Y1272" s="4"/>
      <c r="Z1272" s="4"/>
      <c r="AA1272" s="4"/>
      <c r="AB1272" s="4"/>
      <c r="AC1272" s="4"/>
      <c r="AD1272" s="4"/>
      <c r="AE1272" s="4"/>
      <c r="AF1272" s="4"/>
      <c r="AG1272" s="4"/>
    </row>
    <row r="1273" spans="1:33" x14ac:dyDescent="0.2">
      <c r="B1273" s="48"/>
      <c r="C1273" s="57" t="s">
        <v>871</v>
      </c>
      <c r="D1273" s="44"/>
      <c r="E1273" s="90" t="s">
        <v>1036</v>
      </c>
      <c r="F1273" s="23" t="str">
        <f>IF(H1273=-0.33,IF(H1271=H$1,H1271,""),"")</f>
        <v/>
      </c>
      <c r="G1273" s="19"/>
      <c r="H1273" s="24">
        <f t="shared" ref="H1273" si="436">IF(H1272=1,IF(H1271=H$2,1,-0.33),0)</f>
        <v>0</v>
      </c>
      <c r="I1273" s="4"/>
      <c r="J1273" s="4"/>
      <c r="K1273" s="4"/>
      <c r="L1273" s="4"/>
      <c r="M1273" s="4"/>
      <c r="N1273" s="4"/>
      <c r="O1273" s="4"/>
      <c r="P1273" s="4"/>
      <c r="Q1273" s="4"/>
      <c r="R1273" s="4"/>
      <c r="S1273" s="4"/>
      <c r="T1273" s="4"/>
      <c r="U1273" s="4"/>
      <c r="V1273" s="4"/>
      <c r="W1273" s="4"/>
      <c r="X1273" s="4"/>
      <c r="Y1273" s="4"/>
      <c r="Z1273" s="4"/>
      <c r="AA1273" s="4"/>
      <c r="AB1273" s="4"/>
      <c r="AC1273" s="4"/>
      <c r="AD1273" s="4"/>
      <c r="AE1273" s="4"/>
      <c r="AF1273" s="4"/>
      <c r="AG1273" s="4"/>
    </row>
    <row r="1274" spans="1:33" x14ac:dyDescent="0.2">
      <c r="B1274" s="48"/>
      <c r="C1274" s="57"/>
      <c r="D1274" s="44"/>
      <c r="E1274" s="90" t="s">
        <v>1037</v>
      </c>
      <c r="F1274" s="20"/>
      <c r="G1274" s="19"/>
      <c r="H1274" s="24"/>
      <c r="I1274" s="4"/>
      <c r="J1274" s="4"/>
      <c r="K1274" s="4"/>
      <c r="L1274" s="4"/>
      <c r="M1274" s="4"/>
      <c r="N1274" s="4"/>
      <c r="O1274" s="4"/>
      <c r="P1274" s="4"/>
      <c r="Q1274" s="4"/>
      <c r="R1274" s="4"/>
      <c r="S1274" s="4"/>
      <c r="T1274" s="4"/>
      <c r="U1274" s="4"/>
      <c r="V1274" s="4"/>
      <c r="W1274" s="4"/>
      <c r="X1274" s="4"/>
      <c r="Y1274" s="4"/>
      <c r="Z1274" s="4"/>
      <c r="AA1274" s="4"/>
      <c r="AB1274" s="4"/>
      <c r="AC1274" s="4"/>
      <c r="AD1274" s="4"/>
      <c r="AE1274" s="4"/>
      <c r="AF1274" s="4"/>
      <c r="AG1274" s="4"/>
    </row>
    <row r="1275" spans="1:33" x14ac:dyDescent="0.2">
      <c r="B1275" s="48"/>
      <c r="C1275" s="8"/>
      <c r="D1275" s="44"/>
      <c r="E1275" s="90" t="s">
        <v>1038</v>
      </c>
      <c r="F1275" s="20"/>
      <c r="G1275" s="19"/>
      <c r="H1275" s="24"/>
      <c r="I1275" s="4"/>
      <c r="J1275" s="4"/>
      <c r="K1275" s="4"/>
      <c r="L1275" s="4"/>
      <c r="M1275" s="4"/>
      <c r="N1275" s="4"/>
      <c r="O1275" s="4"/>
      <c r="P1275" s="4"/>
      <c r="Q1275" s="4"/>
      <c r="R1275" s="4"/>
      <c r="S1275" s="4"/>
      <c r="T1275" s="4"/>
      <c r="U1275" s="4"/>
      <c r="V1275" s="4"/>
      <c r="W1275" s="4"/>
      <c r="X1275" s="4"/>
      <c r="Y1275" s="4"/>
      <c r="Z1275" s="4"/>
      <c r="AA1275" s="4"/>
      <c r="AB1275" s="4"/>
      <c r="AC1275" s="4"/>
      <c r="AD1275" s="4"/>
      <c r="AE1275" s="4"/>
      <c r="AF1275" s="4"/>
      <c r="AG1275" s="4"/>
    </row>
    <row r="1276" spans="1:33" s="17" customFormat="1" x14ac:dyDescent="0.2">
      <c r="A1276" s="4"/>
      <c r="B1276" s="49" t="s">
        <v>872</v>
      </c>
      <c r="C1276" s="36"/>
      <c r="D1276" s="45"/>
      <c r="E1276" s="85"/>
      <c r="F1276" s="16"/>
      <c r="G1276" s="15"/>
      <c r="H1276" s="15"/>
    </row>
    <row r="1277" spans="1:33" x14ac:dyDescent="0.2">
      <c r="B1277" s="48"/>
      <c r="C1277" s="56" t="s">
        <v>873</v>
      </c>
      <c r="D1277" s="44"/>
      <c r="E1277" s="90" t="s">
        <v>1034</v>
      </c>
      <c r="F1277" s="20"/>
      <c r="G1277" s="19"/>
      <c r="H1277" s="21" t="b">
        <f>IF(D1278="x",H$2,H$1)</f>
        <v>0</v>
      </c>
      <c r="I1277" s="4"/>
      <c r="J1277" s="4"/>
      <c r="K1277" s="4"/>
      <c r="L1277" s="4"/>
      <c r="M1277" s="4"/>
      <c r="N1277" s="4"/>
      <c r="O1277" s="4"/>
      <c r="P1277" s="4"/>
      <c r="Q1277" s="4"/>
      <c r="R1277" s="4"/>
      <c r="S1277" s="4"/>
      <c r="T1277" s="4"/>
      <c r="U1277" s="4"/>
      <c r="V1277" s="4"/>
      <c r="W1277" s="4"/>
      <c r="X1277" s="4"/>
      <c r="Y1277" s="4"/>
      <c r="Z1277" s="4"/>
      <c r="AA1277" s="4"/>
      <c r="AB1277" s="4"/>
      <c r="AC1277" s="4"/>
      <c r="AD1277" s="4"/>
      <c r="AE1277" s="4"/>
      <c r="AF1277" s="4"/>
      <c r="AG1277" s="4"/>
    </row>
    <row r="1278" spans="1:33" x14ac:dyDescent="0.2">
      <c r="B1278" s="48"/>
      <c r="C1278" s="57" t="s">
        <v>874</v>
      </c>
      <c r="D1278" s="44"/>
      <c r="E1278" s="90" t="s">
        <v>1035</v>
      </c>
      <c r="F1278" s="22" t="str">
        <f>IF(H1279=1,IF(H1277=H$2,H1277,""),"")</f>
        <v/>
      </c>
      <c r="G1278" s="19"/>
      <c r="H1278" s="21" t="str">
        <f t="shared" ref="H1278" si="437">IF(E$1372="comprobar",COUNTIF(D1277:D1281,"x"),"")</f>
        <v/>
      </c>
      <c r="I1278" s="4"/>
      <c r="J1278" s="4"/>
      <c r="K1278" s="4"/>
      <c r="L1278" s="4"/>
      <c r="M1278" s="4"/>
      <c r="N1278" s="4"/>
      <c r="O1278" s="4"/>
      <c r="P1278" s="4"/>
      <c r="Q1278" s="4"/>
      <c r="R1278" s="4"/>
      <c r="S1278" s="4"/>
      <c r="T1278" s="4"/>
      <c r="U1278" s="4"/>
      <c r="V1278" s="4"/>
      <c r="W1278" s="4"/>
      <c r="X1278" s="4"/>
      <c r="Y1278" s="4"/>
      <c r="Z1278" s="4"/>
      <c r="AA1278" s="4"/>
      <c r="AB1278" s="4"/>
      <c r="AC1278" s="4"/>
      <c r="AD1278" s="4"/>
      <c r="AE1278" s="4"/>
      <c r="AF1278" s="4"/>
      <c r="AG1278" s="4"/>
    </row>
    <row r="1279" spans="1:33" x14ac:dyDescent="0.2">
      <c r="B1279" s="48"/>
      <c r="C1279" s="57" t="s">
        <v>875</v>
      </c>
      <c r="D1279" s="44"/>
      <c r="E1279" s="90" t="s">
        <v>1036</v>
      </c>
      <c r="F1279" s="23" t="str">
        <f>IF(H1279=-0.33,IF(H1277=H$1,H1277,""),"")</f>
        <v/>
      </c>
      <c r="G1279" s="19"/>
      <c r="H1279" s="24">
        <f t="shared" ref="H1279" si="438">IF(H1278=1,IF(H1277=H$2,1,-0.33),0)</f>
        <v>0</v>
      </c>
      <c r="I1279" s="4"/>
      <c r="J1279" s="4"/>
      <c r="K1279" s="4"/>
      <c r="L1279" s="4"/>
      <c r="M1279" s="4"/>
      <c r="N1279" s="4"/>
      <c r="O1279" s="4"/>
      <c r="P1279" s="4"/>
      <c r="Q1279" s="4"/>
      <c r="R1279" s="4"/>
      <c r="S1279" s="4"/>
      <c r="T1279" s="4"/>
      <c r="U1279" s="4"/>
      <c r="V1279" s="4"/>
      <c r="W1279" s="4"/>
      <c r="X1279" s="4"/>
      <c r="Y1279" s="4"/>
      <c r="Z1279" s="4"/>
      <c r="AA1279" s="4"/>
      <c r="AB1279" s="4"/>
      <c r="AC1279" s="4"/>
      <c r="AD1279" s="4"/>
      <c r="AE1279" s="4"/>
      <c r="AF1279" s="4"/>
      <c r="AG1279" s="4"/>
    </row>
    <row r="1280" spans="1:33" x14ac:dyDescent="0.2">
      <c r="B1280" s="48"/>
      <c r="C1280" s="57" t="s">
        <v>876</v>
      </c>
      <c r="D1280" s="44"/>
      <c r="E1280" s="90" t="s">
        <v>1037</v>
      </c>
      <c r="F1280" s="20"/>
      <c r="G1280" s="19"/>
      <c r="H1280" s="24"/>
      <c r="I1280" s="4"/>
      <c r="J1280" s="4"/>
      <c r="K1280" s="4"/>
      <c r="L1280" s="4"/>
      <c r="M1280" s="4"/>
      <c r="N1280" s="4"/>
      <c r="O1280" s="4"/>
      <c r="P1280" s="4"/>
      <c r="Q1280" s="4"/>
      <c r="R1280" s="4"/>
      <c r="S1280" s="4"/>
      <c r="T1280" s="4"/>
      <c r="U1280" s="4"/>
      <c r="V1280" s="4"/>
      <c r="W1280" s="4"/>
      <c r="X1280" s="4"/>
      <c r="Y1280" s="4"/>
      <c r="Z1280" s="4"/>
      <c r="AA1280" s="4"/>
      <c r="AB1280" s="4"/>
      <c r="AC1280" s="4"/>
      <c r="AD1280" s="4"/>
      <c r="AE1280" s="4"/>
      <c r="AF1280" s="4"/>
      <c r="AG1280" s="4"/>
    </row>
    <row r="1281" spans="1:33" x14ac:dyDescent="0.2">
      <c r="B1281" s="48"/>
      <c r="C1281" s="8"/>
      <c r="D1281" s="44"/>
      <c r="E1281" s="90" t="s">
        <v>1038</v>
      </c>
      <c r="F1281" s="20"/>
      <c r="G1281" s="19"/>
      <c r="H1281" s="24"/>
      <c r="I1281" s="4"/>
      <c r="J1281" s="4"/>
      <c r="K1281" s="4"/>
      <c r="L1281" s="4"/>
      <c r="M1281" s="4"/>
      <c r="N1281" s="4"/>
      <c r="O1281" s="4"/>
      <c r="P1281" s="4"/>
      <c r="Q1281" s="4"/>
      <c r="R1281" s="4"/>
      <c r="S1281" s="4"/>
      <c r="T1281" s="4"/>
      <c r="U1281" s="4"/>
      <c r="V1281" s="4"/>
      <c r="W1281" s="4"/>
      <c r="X1281" s="4"/>
      <c r="Y1281" s="4"/>
      <c r="Z1281" s="4"/>
      <c r="AA1281" s="4"/>
      <c r="AB1281" s="4"/>
      <c r="AC1281" s="4"/>
      <c r="AD1281" s="4"/>
      <c r="AE1281" s="4"/>
      <c r="AF1281" s="4"/>
      <c r="AG1281" s="4"/>
    </row>
    <row r="1282" spans="1:33" s="17" customFormat="1" x14ac:dyDescent="0.2">
      <c r="A1282" s="4"/>
      <c r="B1282" s="49" t="s">
        <v>877</v>
      </c>
      <c r="C1282" s="13"/>
      <c r="D1282" s="45"/>
      <c r="E1282" s="85"/>
      <c r="F1282" s="16"/>
      <c r="G1282" s="15"/>
      <c r="H1282" s="15"/>
    </row>
    <row r="1283" spans="1:33" s="4" customFormat="1" x14ac:dyDescent="0.2">
      <c r="B1283" s="52"/>
      <c r="C1283" s="56" t="s">
        <v>878</v>
      </c>
      <c r="D1283" s="44"/>
      <c r="E1283" s="90" t="s">
        <v>1034</v>
      </c>
      <c r="F1283" s="20"/>
      <c r="G1283" s="19"/>
      <c r="H1283" s="21" t="b">
        <f>IF(D1285="x",H$2,H$1)</f>
        <v>0</v>
      </c>
    </row>
    <row r="1284" spans="1:33" x14ac:dyDescent="0.2">
      <c r="B1284" s="48"/>
      <c r="C1284" s="57" t="s">
        <v>879</v>
      </c>
      <c r="D1284" s="44"/>
      <c r="E1284" s="90" t="s">
        <v>1035</v>
      </c>
      <c r="F1284" s="22" t="str">
        <f>IF(H1285=1,IF(H1283=H$2,H1283,""),"")</f>
        <v/>
      </c>
      <c r="G1284" s="19"/>
      <c r="H1284" s="21" t="str">
        <f t="shared" ref="H1284" si="439">IF(E$1372="comprobar",COUNTIF(D1283:D1287,"x"),"")</f>
        <v/>
      </c>
      <c r="I1284" s="4"/>
      <c r="J1284" s="4"/>
      <c r="K1284" s="4"/>
      <c r="L1284" s="4"/>
      <c r="M1284" s="4"/>
      <c r="N1284" s="4"/>
      <c r="O1284" s="4"/>
      <c r="P1284" s="4"/>
      <c r="Q1284" s="4"/>
      <c r="R1284" s="4"/>
      <c r="S1284" s="4"/>
      <c r="T1284" s="4"/>
      <c r="U1284" s="4"/>
      <c r="V1284" s="4"/>
      <c r="W1284" s="4"/>
      <c r="X1284" s="4"/>
      <c r="Y1284" s="4"/>
      <c r="Z1284" s="4"/>
      <c r="AA1284" s="4"/>
      <c r="AB1284" s="4"/>
      <c r="AC1284" s="4"/>
      <c r="AD1284" s="4"/>
      <c r="AE1284" s="4"/>
      <c r="AF1284" s="4"/>
      <c r="AG1284" s="4"/>
    </row>
    <row r="1285" spans="1:33" x14ac:dyDescent="0.2">
      <c r="B1285" s="48"/>
      <c r="C1285" s="57" t="s">
        <v>880</v>
      </c>
      <c r="D1285" s="44"/>
      <c r="E1285" s="90" t="s">
        <v>1036</v>
      </c>
      <c r="F1285" s="23" t="str">
        <f>IF(H1285=-0.33,IF(H1283=H$1,H1283,""),"")</f>
        <v/>
      </c>
      <c r="G1285" s="19"/>
      <c r="H1285" s="24">
        <f t="shared" ref="H1285" si="440">IF(H1284=1,IF(H1283=H$2,1,-0.33),0)</f>
        <v>0</v>
      </c>
      <c r="I1285" s="4"/>
      <c r="J1285" s="4"/>
      <c r="K1285" s="4"/>
      <c r="L1285" s="4"/>
      <c r="M1285" s="4"/>
      <c r="N1285" s="4"/>
      <c r="O1285" s="4"/>
      <c r="P1285" s="4"/>
      <c r="Q1285" s="4"/>
      <c r="R1285" s="4"/>
      <c r="S1285" s="4"/>
      <c r="T1285" s="4"/>
      <c r="U1285" s="4"/>
      <c r="V1285" s="4"/>
      <c r="W1285" s="4"/>
      <c r="X1285" s="4"/>
      <c r="Y1285" s="4"/>
      <c r="Z1285" s="4"/>
      <c r="AA1285" s="4"/>
      <c r="AB1285" s="4"/>
      <c r="AC1285" s="4"/>
      <c r="AD1285" s="4"/>
      <c r="AE1285" s="4"/>
      <c r="AF1285" s="4"/>
      <c r="AG1285" s="4"/>
    </row>
    <row r="1286" spans="1:33" x14ac:dyDescent="0.2">
      <c r="B1286" s="52"/>
      <c r="C1286" s="57" t="s">
        <v>881</v>
      </c>
      <c r="D1286" s="44"/>
      <c r="E1286" s="90" t="s">
        <v>1037</v>
      </c>
      <c r="F1286" s="20"/>
      <c r="G1286" s="19"/>
      <c r="H1286" s="24"/>
      <c r="I1286" s="4"/>
      <c r="J1286" s="4"/>
      <c r="K1286" s="4"/>
      <c r="L1286" s="4"/>
      <c r="M1286" s="4"/>
      <c r="N1286" s="4"/>
      <c r="O1286" s="4"/>
      <c r="P1286" s="4"/>
      <c r="Q1286" s="4"/>
      <c r="R1286" s="4"/>
      <c r="S1286" s="4"/>
      <c r="T1286" s="4"/>
      <c r="U1286" s="4"/>
      <c r="V1286" s="4"/>
      <c r="W1286" s="4"/>
      <c r="X1286" s="4"/>
      <c r="Y1286" s="4"/>
      <c r="Z1286" s="4"/>
      <c r="AA1286" s="4"/>
      <c r="AB1286" s="4"/>
      <c r="AC1286" s="4"/>
      <c r="AD1286" s="4"/>
      <c r="AE1286" s="4"/>
      <c r="AF1286" s="4"/>
      <c r="AG1286" s="4"/>
    </row>
    <row r="1287" spans="1:33" x14ac:dyDescent="0.2">
      <c r="B1287" s="48"/>
      <c r="C1287" s="8"/>
      <c r="D1287" s="44"/>
      <c r="E1287" s="90" t="s">
        <v>1038</v>
      </c>
      <c r="F1287" s="20"/>
      <c r="G1287" s="19"/>
      <c r="H1287" s="24"/>
      <c r="I1287" s="4"/>
      <c r="J1287" s="4"/>
      <c r="K1287" s="4"/>
      <c r="L1287" s="4"/>
      <c r="M1287" s="4"/>
      <c r="N1287" s="4"/>
      <c r="O1287" s="4"/>
      <c r="P1287" s="4"/>
      <c r="Q1287" s="4"/>
      <c r="R1287" s="4"/>
      <c r="S1287" s="4"/>
      <c r="T1287" s="4"/>
      <c r="U1287" s="4"/>
      <c r="V1287" s="4"/>
      <c r="W1287" s="4"/>
      <c r="X1287" s="4"/>
      <c r="Y1287" s="4"/>
      <c r="Z1287" s="4"/>
      <c r="AA1287" s="4"/>
      <c r="AB1287" s="4"/>
      <c r="AC1287" s="4"/>
      <c r="AD1287" s="4"/>
      <c r="AE1287" s="4"/>
      <c r="AF1287" s="4"/>
      <c r="AG1287" s="4"/>
    </row>
    <row r="1288" spans="1:33" s="17" customFormat="1" x14ac:dyDescent="0.2">
      <c r="A1288" s="4"/>
      <c r="B1288" s="49" t="s">
        <v>882</v>
      </c>
      <c r="C1288" s="13"/>
      <c r="D1288" s="45"/>
      <c r="E1288" s="85"/>
      <c r="F1288" s="16"/>
      <c r="G1288" s="15"/>
      <c r="H1288" s="15"/>
    </row>
    <row r="1289" spans="1:33" x14ac:dyDescent="0.2">
      <c r="B1289" s="48"/>
      <c r="C1289" s="56" t="s">
        <v>883</v>
      </c>
      <c r="D1289" s="44"/>
      <c r="E1289" s="90" t="s">
        <v>1034</v>
      </c>
      <c r="F1289" s="20"/>
      <c r="G1289" s="19"/>
      <c r="H1289" s="21" t="b">
        <f>IF(D1292="x",H$2,H$1)</f>
        <v>0</v>
      </c>
      <c r="I1289" s="4"/>
      <c r="J1289" s="4"/>
      <c r="K1289" s="4"/>
      <c r="L1289" s="4"/>
      <c r="M1289" s="4"/>
      <c r="N1289" s="4"/>
      <c r="O1289" s="4"/>
      <c r="P1289" s="4"/>
      <c r="Q1289" s="4"/>
      <c r="R1289" s="4"/>
      <c r="S1289" s="4"/>
      <c r="T1289" s="4"/>
      <c r="U1289" s="4"/>
      <c r="V1289" s="4"/>
      <c r="W1289" s="4"/>
      <c r="X1289" s="4"/>
      <c r="Y1289" s="4"/>
      <c r="Z1289" s="4"/>
      <c r="AA1289" s="4"/>
      <c r="AB1289" s="4"/>
      <c r="AC1289" s="4"/>
      <c r="AD1289" s="4"/>
      <c r="AE1289" s="4"/>
      <c r="AF1289" s="4"/>
      <c r="AG1289" s="4"/>
    </row>
    <row r="1290" spans="1:33" x14ac:dyDescent="0.2">
      <c r="B1290" s="52"/>
      <c r="C1290" s="57" t="s">
        <v>884</v>
      </c>
      <c r="D1290" s="44"/>
      <c r="E1290" s="90" t="s">
        <v>1035</v>
      </c>
      <c r="F1290" s="22" t="str">
        <f>IF(H1291=1,IF(H1289=H$2,H1289,""),"")</f>
        <v/>
      </c>
      <c r="G1290" s="19"/>
      <c r="H1290" s="21" t="str">
        <f t="shared" ref="H1290" si="441">IF(E$1372="comprobar",COUNTIF(D1289:D1293,"x"),"")</f>
        <v/>
      </c>
      <c r="I1290" s="4"/>
      <c r="J1290" s="4"/>
      <c r="K1290" s="4"/>
      <c r="L1290" s="4"/>
      <c r="M1290" s="4"/>
      <c r="N1290" s="4"/>
      <c r="O1290" s="4"/>
      <c r="P1290" s="4"/>
      <c r="Q1290" s="4"/>
      <c r="R1290" s="4"/>
      <c r="S1290" s="4"/>
      <c r="T1290" s="4"/>
      <c r="U1290" s="4"/>
      <c r="V1290" s="4"/>
      <c r="W1290" s="4"/>
      <c r="X1290" s="4"/>
      <c r="Y1290" s="4"/>
      <c r="Z1290" s="4"/>
      <c r="AA1290" s="4"/>
      <c r="AB1290" s="4"/>
      <c r="AC1290" s="4"/>
      <c r="AD1290" s="4"/>
      <c r="AE1290" s="4"/>
      <c r="AF1290" s="4"/>
      <c r="AG1290" s="4"/>
    </row>
    <row r="1291" spans="1:33" x14ac:dyDescent="0.2">
      <c r="B1291" s="52"/>
      <c r="C1291" s="57" t="s">
        <v>885</v>
      </c>
      <c r="D1291" s="44"/>
      <c r="E1291" s="90" t="s">
        <v>1036</v>
      </c>
      <c r="F1291" s="23" t="str">
        <f>IF(H1291=-0.33,IF(H1289=H$1,H1289,""),"")</f>
        <v/>
      </c>
      <c r="G1291" s="19"/>
      <c r="H1291" s="24">
        <f t="shared" ref="H1291" si="442">IF(H1290=1,IF(H1289=H$2,1,-0.33),0)</f>
        <v>0</v>
      </c>
      <c r="I1291" s="4"/>
      <c r="J1291" s="4"/>
      <c r="K1291" s="4"/>
      <c r="L1291" s="4"/>
      <c r="M1291" s="4"/>
      <c r="N1291" s="4"/>
      <c r="O1291" s="4"/>
      <c r="P1291" s="4"/>
      <c r="Q1291" s="4"/>
      <c r="R1291" s="4"/>
      <c r="S1291" s="4"/>
      <c r="T1291" s="4"/>
      <c r="U1291" s="4"/>
      <c r="V1291" s="4"/>
      <c r="W1291" s="4"/>
      <c r="X1291" s="4"/>
      <c r="Y1291" s="4"/>
      <c r="Z1291" s="4"/>
      <c r="AA1291" s="4"/>
      <c r="AB1291" s="4"/>
      <c r="AC1291" s="4"/>
      <c r="AD1291" s="4"/>
      <c r="AE1291" s="4"/>
      <c r="AF1291" s="4"/>
      <c r="AG1291" s="4"/>
    </row>
    <row r="1292" spans="1:33" x14ac:dyDescent="0.2">
      <c r="B1292" s="48"/>
      <c r="C1292" s="57" t="s">
        <v>886</v>
      </c>
      <c r="D1292" s="44"/>
      <c r="E1292" s="90" t="s">
        <v>1037</v>
      </c>
      <c r="F1292" s="20"/>
      <c r="G1292" s="19"/>
      <c r="H1292" s="24"/>
      <c r="I1292" s="4"/>
      <c r="J1292" s="4"/>
      <c r="K1292" s="4"/>
      <c r="L1292" s="4"/>
      <c r="M1292" s="4"/>
      <c r="N1292" s="4"/>
      <c r="O1292" s="4"/>
      <c r="P1292" s="4"/>
      <c r="Q1292" s="4"/>
      <c r="R1292" s="4"/>
      <c r="S1292" s="4"/>
      <c r="T1292" s="4"/>
      <c r="U1292" s="4"/>
      <c r="V1292" s="4"/>
      <c r="W1292" s="4"/>
      <c r="X1292" s="4"/>
      <c r="Y1292" s="4"/>
      <c r="Z1292" s="4"/>
      <c r="AA1292" s="4"/>
      <c r="AB1292" s="4"/>
      <c r="AC1292" s="4"/>
      <c r="AD1292" s="4"/>
      <c r="AE1292" s="4"/>
      <c r="AF1292" s="4"/>
      <c r="AG1292" s="4"/>
    </row>
    <row r="1293" spans="1:33" x14ac:dyDescent="0.2">
      <c r="B1293" s="48"/>
      <c r="C1293" s="8"/>
      <c r="D1293" s="44"/>
      <c r="E1293" s="90" t="s">
        <v>1038</v>
      </c>
      <c r="F1293" s="20"/>
      <c r="G1293" s="19"/>
      <c r="H1293" s="24"/>
      <c r="I1293" s="4"/>
      <c r="J1293" s="4"/>
      <c r="K1293" s="4"/>
      <c r="L1293" s="4"/>
      <c r="M1293" s="4"/>
      <c r="N1293" s="4"/>
      <c r="O1293" s="4"/>
      <c r="P1293" s="4"/>
      <c r="Q1293" s="4"/>
      <c r="R1293" s="4"/>
      <c r="S1293" s="4"/>
      <c r="T1293" s="4"/>
      <c r="U1293" s="4"/>
      <c r="V1293" s="4"/>
      <c r="W1293" s="4"/>
      <c r="X1293" s="4"/>
      <c r="Y1293" s="4"/>
      <c r="Z1293" s="4"/>
      <c r="AA1293" s="4"/>
      <c r="AB1293" s="4"/>
      <c r="AC1293" s="4"/>
      <c r="AD1293" s="4"/>
      <c r="AE1293" s="4"/>
      <c r="AF1293" s="4"/>
      <c r="AG1293" s="4"/>
    </row>
    <row r="1294" spans="1:33" s="17" customFormat="1" x14ac:dyDescent="0.2">
      <c r="A1294" s="4"/>
      <c r="B1294" s="49" t="s">
        <v>887</v>
      </c>
      <c r="C1294" s="13"/>
      <c r="D1294" s="45"/>
      <c r="E1294" s="85"/>
      <c r="F1294" s="16"/>
      <c r="G1294" s="15"/>
      <c r="H1294" s="15"/>
    </row>
    <row r="1295" spans="1:33" x14ac:dyDescent="0.2">
      <c r="B1295" s="52"/>
      <c r="C1295" s="56" t="s">
        <v>888</v>
      </c>
      <c r="D1295" s="44"/>
      <c r="E1295" s="90" t="s">
        <v>1034</v>
      </c>
      <c r="F1295" s="20"/>
      <c r="G1295" s="19"/>
      <c r="H1295" s="21" t="b">
        <f>IF(D1296="x",H$2,H$1)</f>
        <v>0</v>
      </c>
      <c r="I1295" s="4"/>
      <c r="J1295" s="4"/>
      <c r="K1295" s="4"/>
      <c r="L1295" s="4"/>
      <c r="M1295" s="4"/>
      <c r="N1295" s="4"/>
      <c r="O1295" s="4"/>
      <c r="P1295" s="4"/>
      <c r="Q1295" s="4"/>
      <c r="R1295" s="4"/>
      <c r="S1295" s="4"/>
      <c r="T1295" s="4"/>
      <c r="U1295" s="4"/>
      <c r="V1295" s="4"/>
      <c r="W1295" s="4"/>
      <c r="X1295" s="4"/>
      <c r="Y1295" s="4"/>
      <c r="Z1295" s="4"/>
      <c r="AA1295" s="4"/>
      <c r="AB1295" s="4"/>
      <c r="AC1295" s="4"/>
      <c r="AD1295" s="4"/>
      <c r="AE1295" s="4"/>
      <c r="AF1295" s="4"/>
      <c r="AG1295" s="4"/>
    </row>
    <row r="1296" spans="1:33" x14ac:dyDescent="0.2">
      <c r="B1296" s="48"/>
      <c r="C1296" s="57" t="s">
        <v>889</v>
      </c>
      <c r="D1296" s="44"/>
      <c r="E1296" s="90" t="s">
        <v>1035</v>
      </c>
      <c r="F1296" s="22" t="str">
        <f>IF(H1297=1,IF(H1295=H$2,H1295,""),"")</f>
        <v/>
      </c>
      <c r="G1296" s="19"/>
      <c r="H1296" s="21" t="str">
        <f t="shared" ref="H1296" si="443">IF(E$1372="comprobar",COUNTIF(D1295:D1299,"x"),"")</f>
        <v/>
      </c>
      <c r="I1296" s="4"/>
      <c r="J1296" s="4"/>
      <c r="K1296" s="4"/>
      <c r="L1296" s="4"/>
      <c r="M1296" s="4"/>
      <c r="N1296" s="4"/>
      <c r="O1296" s="4"/>
      <c r="P1296" s="4"/>
      <c r="Q1296" s="4"/>
      <c r="R1296" s="4"/>
      <c r="S1296" s="4"/>
      <c r="T1296" s="4"/>
      <c r="U1296" s="4"/>
      <c r="V1296" s="4"/>
      <c r="W1296" s="4"/>
      <c r="X1296" s="4"/>
      <c r="Y1296" s="4"/>
      <c r="Z1296" s="4"/>
      <c r="AA1296" s="4"/>
      <c r="AB1296" s="4"/>
      <c r="AC1296" s="4"/>
      <c r="AD1296" s="4"/>
      <c r="AE1296" s="4"/>
      <c r="AF1296" s="4"/>
      <c r="AG1296" s="4"/>
    </row>
    <row r="1297" spans="1:33" x14ac:dyDescent="0.2">
      <c r="B1297" s="52"/>
      <c r="C1297" s="57" t="s">
        <v>890</v>
      </c>
      <c r="D1297" s="44"/>
      <c r="E1297" s="90" t="s">
        <v>1036</v>
      </c>
      <c r="F1297" s="23" t="str">
        <f>IF(H1297=-0.33,IF(H1295=H$1,H1295,""),"")</f>
        <v/>
      </c>
      <c r="G1297" s="19"/>
      <c r="H1297" s="24">
        <f t="shared" ref="H1297" si="444">IF(H1296=1,IF(H1295=H$2,1,-0.33),0)</f>
        <v>0</v>
      </c>
      <c r="I1297" s="4"/>
      <c r="J1297" s="4"/>
      <c r="K1297" s="4"/>
      <c r="L1297" s="4"/>
      <c r="M1297" s="4"/>
      <c r="N1297" s="4"/>
      <c r="O1297" s="4"/>
      <c r="P1297" s="4"/>
      <c r="Q1297" s="4"/>
      <c r="R1297" s="4"/>
      <c r="S1297" s="4"/>
      <c r="T1297" s="4"/>
      <c r="U1297" s="4"/>
      <c r="V1297" s="4"/>
      <c r="W1297" s="4"/>
      <c r="X1297" s="4"/>
      <c r="Y1297" s="4"/>
      <c r="Z1297" s="4"/>
      <c r="AA1297" s="4"/>
      <c r="AB1297" s="4"/>
      <c r="AC1297" s="4"/>
      <c r="AD1297" s="4"/>
      <c r="AE1297" s="4"/>
      <c r="AF1297" s="4"/>
      <c r="AG1297" s="4"/>
    </row>
    <row r="1298" spans="1:33" x14ac:dyDescent="0.2">
      <c r="B1298" s="48"/>
      <c r="C1298" s="57" t="s">
        <v>891</v>
      </c>
      <c r="D1298" s="44"/>
      <c r="E1298" s="90" t="s">
        <v>1037</v>
      </c>
      <c r="F1298" s="20"/>
      <c r="G1298" s="19"/>
      <c r="H1298" s="24"/>
      <c r="I1298" s="4"/>
      <c r="J1298" s="4"/>
      <c r="K1298" s="4"/>
      <c r="L1298" s="4"/>
      <c r="M1298" s="4"/>
      <c r="N1298" s="4"/>
      <c r="O1298" s="4"/>
      <c r="P1298" s="4"/>
      <c r="Q1298" s="4"/>
      <c r="R1298" s="4"/>
      <c r="S1298" s="4"/>
      <c r="T1298" s="4"/>
      <c r="U1298" s="4"/>
      <c r="V1298" s="4"/>
      <c r="W1298" s="4"/>
      <c r="X1298" s="4"/>
      <c r="Y1298" s="4"/>
      <c r="Z1298" s="4"/>
      <c r="AA1298" s="4"/>
      <c r="AB1298" s="4"/>
      <c r="AC1298" s="4"/>
      <c r="AD1298" s="4"/>
      <c r="AE1298" s="4"/>
      <c r="AF1298" s="4"/>
      <c r="AG1298" s="4"/>
    </row>
    <row r="1299" spans="1:33" x14ac:dyDescent="0.2">
      <c r="B1299" s="48"/>
      <c r="C1299" s="8"/>
      <c r="D1299" s="44"/>
      <c r="E1299" s="90" t="s">
        <v>1038</v>
      </c>
      <c r="F1299" s="20"/>
      <c r="G1299" s="19"/>
      <c r="H1299" s="24"/>
      <c r="I1299" s="4"/>
      <c r="J1299" s="4"/>
      <c r="K1299" s="4"/>
      <c r="L1299" s="4"/>
      <c r="M1299" s="4"/>
      <c r="N1299" s="4"/>
      <c r="O1299" s="4"/>
      <c r="P1299" s="4"/>
      <c r="Q1299" s="4"/>
      <c r="R1299" s="4"/>
      <c r="S1299" s="4"/>
      <c r="T1299" s="4"/>
      <c r="U1299" s="4"/>
      <c r="V1299" s="4"/>
      <c r="W1299" s="4"/>
      <c r="X1299" s="4"/>
      <c r="Y1299" s="4"/>
      <c r="Z1299" s="4"/>
      <c r="AA1299" s="4"/>
      <c r="AB1299" s="4"/>
      <c r="AC1299" s="4"/>
      <c r="AD1299" s="4"/>
      <c r="AE1299" s="4"/>
      <c r="AF1299" s="4"/>
      <c r="AG1299" s="4"/>
    </row>
    <row r="1300" spans="1:33" s="17" customFormat="1" x14ac:dyDescent="0.2">
      <c r="A1300" s="4"/>
      <c r="B1300" s="49" t="s">
        <v>892</v>
      </c>
      <c r="C1300" s="13"/>
      <c r="D1300" s="45"/>
      <c r="E1300" s="85"/>
      <c r="F1300" s="16"/>
      <c r="G1300" s="15"/>
      <c r="H1300" s="15"/>
    </row>
    <row r="1301" spans="1:33" x14ac:dyDescent="0.2">
      <c r="B1301" s="52"/>
      <c r="C1301" s="56" t="s">
        <v>893</v>
      </c>
      <c r="D1301" s="44"/>
      <c r="E1301" s="90" t="s">
        <v>1034</v>
      </c>
      <c r="F1301" s="20"/>
      <c r="G1301" s="19"/>
      <c r="H1301" s="21" t="b">
        <f>IF(D1303="x",H$2,H$1)</f>
        <v>0</v>
      </c>
      <c r="I1301" s="4"/>
      <c r="J1301" s="4"/>
      <c r="K1301" s="4"/>
      <c r="L1301" s="4"/>
      <c r="M1301" s="4"/>
      <c r="N1301" s="4"/>
      <c r="O1301" s="4"/>
      <c r="P1301" s="4"/>
      <c r="Q1301" s="4"/>
      <c r="R1301" s="4"/>
      <c r="S1301" s="4"/>
      <c r="T1301" s="4"/>
      <c r="U1301" s="4"/>
      <c r="V1301" s="4"/>
      <c r="W1301" s="4"/>
      <c r="X1301" s="4"/>
      <c r="Y1301" s="4"/>
      <c r="Z1301" s="4"/>
      <c r="AA1301" s="4"/>
      <c r="AB1301" s="4"/>
      <c r="AC1301" s="4"/>
      <c r="AD1301" s="4"/>
      <c r="AE1301" s="4"/>
      <c r="AF1301" s="4"/>
      <c r="AG1301" s="4"/>
    </row>
    <row r="1302" spans="1:33" x14ac:dyDescent="0.2">
      <c r="B1302" s="48"/>
      <c r="C1302" s="57" t="s">
        <v>894</v>
      </c>
      <c r="D1302" s="44"/>
      <c r="E1302" s="90" t="s">
        <v>1035</v>
      </c>
      <c r="F1302" s="22" t="str">
        <f>IF(H1303=1,IF(H1301=H$2,H1301,""),"")</f>
        <v/>
      </c>
      <c r="G1302" s="19"/>
      <c r="H1302" s="21" t="str">
        <f t="shared" ref="H1302" si="445">IF(E$1372="comprobar",COUNTIF(D1301:D1305,"x"),"")</f>
        <v/>
      </c>
      <c r="I1302" s="4"/>
      <c r="J1302" s="4"/>
      <c r="K1302" s="4"/>
      <c r="L1302" s="4"/>
      <c r="M1302" s="4"/>
      <c r="N1302" s="4"/>
      <c r="O1302" s="4"/>
      <c r="P1302" s="4"/>
      <c r="Q1302" s="4"/>
      <c r="R1302" s="4"/>
      <c r="S1302" s="4"/>
      <c r="T1302" s="4"/>
      <c r="U1302" s="4"/>
      <c r="V1302" s="4"/>
      <c r="W1302" s="4"/>
      <c r="X1302" s="4"/>
      <c r="Y1302" s="4"/>
      <c r="Z1302" s="4"/>
      <c r="AA1302" s="4"/>
      <c r="AB1302" s="4"/>
      <c r="AC1302" s="4"/>
      <c r="AD1302" s="4"/>
      <c r="AE1302" s="4"/>
      <c r="AF1302" s="4"/>
      <c r="AG1302" s="4"/>
    </row>
    <row r="1303" spans="1:33" x14ac:dyDescent="0.2">
      <c r="B1303" s="48"/>
      <c r="C1303" s="57" t="s">
        <v>895</v>
      </c>
      <c r="D1303" s="44"/>
      <c r="E1303" s="90" t="s">
        <v>1036</v>
      </c>
      <c r="F1303" s="23" t="str">
        <f>IF(H1303=-0.33,IF(H1301=H$1,H1301,""),"")</f>
        <v/>
      </c>
      <c r="G1303" s="19"/>
      <c r="H1303" s="24">
        <f t="shared" ref="H1303" si="446">IF(H1302=1,IF(H1301=H$2,1,-0.33),0)</f>
        <v>0</v>
      </c>
      <c r="I1303" s="4"/>
      <c r="J1303" s="4"/>
      <c r="K1303" s="4"/>
      <c r="L1303" s="4"/>
      <c r="M1303" s="4"/>
      <c r="N1303" s="4"/>
      <c r="O1303" s="4"/>
      <c r="P1303" s="4"/>
      <c r="Q1303" s="4"/>
      <c r="R1303" s="4"/>
      <c r="S1303" s="4"/>
      <c r="T1303" s="4"/>
      <c r="U1303" s="4"/>
      <c r="V1303" s="4"/>
      <c r="W1303" s="4"/>
      <c r="X1303" s="4"/>
      <c r="Y1303" s="4"/>
      <c r="Z1303" s="4"/>
      <c r="AA1303" s="4"/>
      <c r="AB1303" s="4"/>
      <c r="AC1303" s="4"/>
      <c r="AD1303" s="4"/>
      <c r="AE1303" s="4"/>
      <c r="AF1303" s="4"/>
      <c r="AG1303" s="4"/>
    </row>
    <row r="1304" spans="1:33" s="4" customFormat="1" x14ac:dyDescent="0.2">
      <c r="B1304" s="48"/>
      <c r="C1304" s="57" t="s">
        <v>896</v>
      </c>
      <c r="D1304" s="44"/>
      <c r="E1304" s="90" t="s">
        <v>1037</v>
      </c>
      <c r="F1304" s="20"/>
      <c r="G1304" s="19"/>
      <c r="H1304" s="24"/>
    </row>
    <row r="1305" spans="1:33" x14ac:dyDescent="0.2">
      <c r="B1305" s="48"/>
      <c r="C1305" s="8"/>
      <c r="D1305" s="44"/>
      <c r="E1305" s="90" t="s">
        <v>1038</v>
      </c>
      <c r="F1305" s="12"/>
      <c r="G1305" s="19"/>
      <c r="H1305" s="24"/>
      <c r="I1305" s="4"/>
      <c r="J1305" s="4"/>
      <c r="K1305" s="4"/>
      <c r="L1305" s="4"/>
      <c r="M1305" s="4"/>
      <c r="N1305" s="4"/>
      <c r="O1305" s="4"/>
      <c r="P1305" s="4"/>
      <c r="Q1305" s="4"/>
      <c r="R1305" s="4"/>
      <c r="S1305" s="4"/>
      <c r="T1305" s="4"/>
      <c r="U1305" s="4"/>
      <c r="V1305" s="4"/>
      <c r="W1305" s="4"/>
      <c r="X1305" s="4"/>
      <c r="Y1305" s="4"/>
      <c r="Z1305" s="4"/>
      <c r="AA1305" s="4"/>
      <c r="AB1305" s="4"/>
      <c r="AC1305" s="4"/>
      <c r="AD1305" s="4"/>
      <c r="AE1305" s="4"/>
      <c r="AF1305" s="4"/>
      <c r="AG1305" s="4"/>
    </row>
    <row r="1306" spans="1:33" s="17" customFormat="1" x14ac:dyDescent="0.2">
      <c r="A1306" s="4"/>
      <c r="B1306" s="49" t="s">
        <v>897</v>
      </c>
      <c r="C1306" s="13"/>
      <c r="D1306" s="45"/>
      <c r="E1306" s="85"/>
      <c r="F1306" s="30"/>
      <c r="G1306" s="29"/>
      <c r="H1306" s="15"/>
    </row>
    <row r="1307" spans="1:33" x14ac:dyDescent="0.2">
      <c r="B1307" s="48"/>
      <c r="C1307" s="56" t="s">
        <v>898</v>
      </c>
      <c r="D1307" s="44"/>
      <c r="E1307" s="90" t="s">
        <v>1034</v>
      </c>
      <c r="F1307" s="27"/>
      <c r="G1307" s="26"/>
      <c r="H1307" s="21" t="b">
        <f>IF(D1310="x",H$2,H$1)</f>
        <v>0</v>
      </c>
      <c r="I1307" s="4"/>
      <c r="J1307" s="4"/>
      <c r="K1307" s="4"/>
      <c r="L1307" s="4"/>
      <c r="M1307" s="4"/>
      <c r="N1307" s="4"/>
      <c r="O1307" s="4"/>
      <c r="P1307" s="4"/>
      <c r="Q1307" s="4"/>
      <c r="R1307" s="4"/>
      <c r="S1307" s="4"/>
      <c r="T1307" s="4"/>
      <c r="U1307" s="4"/>
      <c r="V1307" s="4"/>
      <c r="W1307" s="4"/>
      <c r="X1307" s="4"/>
      <c r="Y1307" s="4"/>
      <c r="Z1307" s="4"/>
      <c r="AA1307" s="4"/>
      <c r="AB1307" s="4"/>
      <c r="AC1307" s="4"/>
      <c r="AD1307" s="4"/>
      <c r="AE1307" s="4"/>
      <c r="AF1307" s="4"/>
      <c r="AG1307" s="4"/>
    </row>
    <row r="1308" spans="1:33" x14ac:dyDescent="0.2">
      <c r="B1308" s="48"/>
      <c r="C1308" s="57" t="s">
        <v>899</v>
      </c>
      <c r="D1308" s="44"/>
      <c r="E1308" s="90" t="s">
        <v>1035</v>
      </c>
      <c r="F1308" s="22" t="str">
        <f>IF(H1309=1,IF(H1307=H$2,H1307,""),"")</f>
        <v/>
      </c>
      <c r="G1308" s="26"/>
      <c r="H1308" s="21" t="str">
        <f t="shared" ref="H1308" si="447">IF(E$1372="comprobar",COUNTIF(D1307:D1311,"x"),"")</f>
        <v/>
      </c>
      <c r="I1308" s="4"/>
      <c r="J1308" s="4"/>
      <c r="K1308" s="4"/>
      <c r="L1308" s="4"/>
      <c r="M1308" s="4"/>
      <c r="N1308" s="4"/>
      <c r="O1308" s="4"/>
      <c r="P1308" s="4"/>
      <c r="Q1308" s="4"/>
      <c r="R1308" s="4"/>
      <c r="S1308" s="4"/>
      <c r="T1308" s="4"/>
      <c r="U1308" s="4"/>
      <c r="V1308" s="4"/>
      <c r="W1308" s="4"/>
      <c r="X1308" s="4"/>
      <c r="Y1308" s="4"/>
      <c r="Z1308" s="4"/>
      <c r="AA1308" s="4"/>
      <c r="AB1308" s="4"/>
      <c r="AC1308" s="4"/>
      <c r="AD1308" s="4"/>
      <c r="AE1308" s="4"/>
      <c r="AF1308" s="4"/>
      <c r="AG1308" s="4"/>
    </row>
    <row r="1309" spans="1:33" x14ac:dyDescent="0.2">
      <c r="B1309" s="52"/>
      <c r="C1309" s="57" t="s">
        <v>900</v>
      </c>
      <c r="D1309" s="44"/>
      <c r="E1309" s="90" t="s">
        <v>1036</v>
      </c>
      <c r="F1309" s="23" t="str">
        <f>IF(H1309=-0.33,IF(H1307=H$1,H1307,""),"")</f>
        <v/>
      </c>
      <c r="G1309" s="26"/>
      <c r="H1309" s="24">
        <f t="shared" ref="H1309" si="448">IF(H1308=1,IF(H1307=H$2,1,-0.33),0)</f>
        <v>0</v>
      </c>
      <c r="I1309" s="4"/>
      <c r="J1309" s="4"/>
      <c r="K1309" s="4"/>
      <c r="L1309" s="4"/>
      <c r="M1309" s="4"/>
      <c r="N1309" s="4"/>
      <c r="O1309" s="4"/>
      <c r="P1309" s="4"/>
      <c r="Q1309" s="4"/>
      <c r="R1309" s="4"/>
      <c r="S1309" s="4"/>
      <c r="T1309" s="4"/>
      <c r="U1309" s="4"/>
      <c r="V1309" s="4"/>
      <c r="W1309" s="4"/>
      <c r="X1309" s="4"/>
      <c r="Y1309" s="4"/>
      <c r="Z1309" s="4"/>
      <c r="AA1309" s="4"/>
      <c r="AB1309" s="4"/>
      <c r="AC1309" s="4"/>
      <c r="AD1309" s="4"/>
      <c r="AE1309" s="4"/>
      <c r="AF1309" s="4"/>
      <c r="AG1309" s="4"/>
    </row>
    <row r="1310" spans="1:33" x14ac:dyDescent="0.2">
      <c r="B1310" s="48"/>
      <c r="C1310" s="57" t="s">
        <v>165</v>
      </c>
      <c r="D1310" s="44"/>
      <c r="E1310" s="90" t="s">
        <v>1037</v>
      </c>
      <c r="F1310" s="28"/>
      <c r="G1310" s="26"/>
      <c r="H1310" s="24"/>
      <c r="I1310" s="4"/>
      <c r="J1310" s="4"/>
      <c r="K1310" s="4"/>
      <c r="L1310" s="4"/>
      <c r="M1310" s="4"/>
      <c r="N1310" s="4"/>
      <c r="O1310" s="4"/>
      <c r="P1310" s="4"/>
      <c r="Q1310" s="4"/>
      <c r="R1310" s="4"/>
      <c r="S1310" s="4"/>
      <c r="T1310" s="4"/>
      <c r="U1310" s="4"/>
      <c r="V1310" s="4"/>
      <c r="W1310" s="4"/>
      <c r="X1310" s="4"/>
      <c r="Y1310" s="4"/>
      <c r="Z1310" s="4"/>
      <c r="AA1310" s="4"/>
      <c r="AB1310" s="4"/>
      <c r="AC1310" s="4"/>
      <c r="AD1310" s="4"/>
      <c r="AE1310" s="4"/>
      <c r="AF1310" s="4"/>
      <c r="AG1310" s="4"/>
    </row>
    <row r="1311" spans="1:33" x14ac:dyDescent="0.2">
      <c r="B1311" s="48"/>
      <c r="C1311" s="8"/>
      <c r="D1311" s="44"/>
      <c r="E1311" s="90" t="s">
        <v>1038</v>
      </c>
      <c r="F1311" s="28"/>
      <c r="G1311" s="26"/>
      <c r="H1311" s="24"/>
      <c r="I1311" s="4"/>
      <c r="J1311" s="4"/>
      <c r="K1311" s="4"/>
      <c r="L1311" s="4"/>
      <c r="M1311" s="4"/>
      <c r="N1311" s="4"/>
      <c r="O1311" s="4"/>
      <c r="P1311" s="4"/>
      <c r="Q1311" s="4"/>
      <c r="R1311" s="4"/>
      <c r="S1311" s="4"/>
      <c r="T1311" s="4"/>
      <c r="U1311" s="4"/>
      <c r="V1311" s="4"/>
      <c r="W1311" s="4"/>
      <c r="X1311" s="4"/>
      <c r="Y1311" s="4"/>
      <c r="Z1311" s="4"/>
      <c r="AA1311" s="4"/>
      <c r="AB1311" s="4"/>
      <c r="AC1311" s="4"/>
      <c r="AD1311" s="4"/>
      <c r="AE1311" s="4"/>
      <c r="AF1311" s="4"/>
      <c r="AG1311" s="4"/>
    </row>
    <row r="1312" spans="1:33" s="17" customFormat="1" x14ac:dyDescent="0.2">
      <c r="A1312" s="4"/>
      <c r="B1312" s="49" t="s">
        <v>901</v>
      </c>
      <c r="C1312" s="13"/>
      <c r="D1312" s="45"/>
      <c r="E1312" s="85"/>
      <c r="F1312" s="30"/>
      <c r="G1312" s="29"/>
      <c r="H1312" s="15"/>
    </row>
    <row r="1313" spans="1:33" x14ac:dyDescent="0.2">
      <c r="B1313" s="48"/>
      <c r="C1313" s="56" t="s">
        <v>902</v>
      </c>
      <c r="D1313" s="44"/>
      <c r="E1313" s="90" t="s">
        <v>1034</v>
      </c>
      <c r="F1313" s="27"/>
      <c r="G1313" s="26"/>
      <c r="H1313" s="21" t="b">
        <f>IF(D1314="x",H$2,H$1)</f>
        <v>0</v>
      </c>
      <c r="I1313" s="4"/>
      <c r="J1313" s="4"/>
      <c r="K1313" s="4"/>
      <c r="L1313" s="4"/>
      <c r="M1313" s="4"/>
      <c r="N1313" s="4"/>
      <c r="O1313" s="4"/>
      <c r="P1313" s="4"/>
      <c r="Q1313" s="4"/>
      <c r="R1313" s="4"/>
      <c r="S1313" s="4"/>
      <c r="T1313" s="4"/>
      <c r="U1313" s="4"/>
      <c r="V1313" s="4"/>
      <c r="W1313" s="4"/>
      <c r="X1313" s="4"/>
      <c r="Y1313" s="4"/>
      <c r="Z1313" s="4"/>
      <c r="AA1313" s="4"/>
      <c r="AB1313" s="4"/>
      <c r="AC1313" s="4"/>
      <c r="AD1313" s="4"/>
      <c r="AE1313" s="4"/>
      <c r="AF1313" s="4"/>
      <c r="AG1313" s="4"/>
    </row>
    <row r="1314" spans="1:33" x14ac:dyDescent="0.2">
      <c r="B1314" s="48"/>
      <c r="C1314" s="57" t="s">
        <v>903</v>
      </c>
      <c r="D1314" s="44"/>
      <c r="E1314" s="90" t="s">
        <v>1035</v>
      </c>
      <c r="F1314" s="22" t="str">
        <f>IF(H1315=1,IF(H1313=H$2,H1313,""),"")</f>
        <v/>
      </c>
      <c r="G1314" s="26"/>
      <c r="H1314" s="21" t="str">
        <f t="shared" ref="H1314" si="449">IF(E$1372="comprobar",COUNTIF(D1313:D1317,"x"),"")</f>
        <v/>
      </c>
      <c r="I1314" s="4"/>
      <c r="J1314" s="4"/>
      <c r="K1314" s="4"/>
      <c r="L1314" s="4"/>
      <c r="M1314" s="4"/>
      <c r="N1314" s="4"/>
      <c r="O1314" s="4"/>
      <c r="P1314" s="4"/>
      <c r="Q1314" s="4"/>
      <c r="R1314" s="4"/>
      <c r="S1314" s="4"/>
      <c r="T1314" s="4"/>
      <c r="U1314" s="4"/>
      <c r="V1314" s="4"/>
      <c r="W1314" s="4"/>
      <c r="X1314" s="4"/>
      <c r="Y1314" s="4"/>
      <c r="Z1314" s="4"/>
      <c r="AA1314" s="4"/>
      <c r="AB1314" s="4"/>
      <c r="AC1314" s="4"/>
      <c r="AD1314" s="4"/>
      <c r="AE1314" s="4"/>
      <c r="AF1314" s="4"/>
      <c r="AG1314" s="4"/>
    </row>
    <row r="1315" spans="1:33" x14ac:dyDescent="0.2">
      <c r="B1315" s="52"/>
      <c r="C1315" s="57" t="s">
        <v>904</v>
      </c>
      <c r="D1315" s="44"/>
      <c r="E1315" s="90" t="s">
        <v>1036</v>
      </c>
      <c r="F1315" s="23" t="str">
        <f>IF(H1315=-0.33,IF(H1313=H$1,H1313,""),"")</f>
        <v/>
      </c>
      <c r="G1315" s="26"/>
      <c r="H1315" s="24">
        <f t="shared" ref="H1315" si="450">IF(H1314=1,IF(H1313=H$2,1,-0.33),0)</f>
        <v>0</v>
      </c>
      <c r="I1315" s="4"/>
      <c r="J1315" s="4"/>
      <c r="K1315" s="4"/>
      <c r="L1315" s="4"/>
      <c r="M1315" s="4"/>
      <c r="N1315" s="4"/>
      <c r="O1315" s="4"/>
      <c r="P1315" s="4"/>
      <c r="Q1315" s="4"/>
      <c r="R1315" s="4"/>
      <c r="S1315" s="4"/>
      <c r="T1315" s="4"/>
      <c r="U1315" s="4"/>
      <c r="V1315" s="4"/>
      <c r="W1315" s="4"/>
      <c r="X1315" s="4"/>
      <c r="Y1315" s="4"/>
      <c r="Z1315" s="4"/>
      <c r="AA1315" s="4"/>
      <c r="AB1315" s="4"/>
      <c r="AC1315" s="4"/>
      <c r="AD1315" s="4"/>
      <c r="AE1315" s="4"/>
      <c r="AF1315" s="4"/>
      <c r="AG1315" s="4"/>
    </row>
    <row r="1316" spans="1:33" x14ac:dyDescent="0.2">
      <c r="B1316" s="48"/>
      <c r="C1316" s="57" t="s">
        <v>905</v>
      </c>
      <c r="D1316" s="44"/>
      <c r="E1316" s="90" t="s">
        <v>1037</v>
      </c>
      <c r="F1316" s="20"/>
      <c r="G1316" s="55"/>
      <c r="H1316" s="24"/>
      <c r="I1316" s="4"/>
      <c r="J1316" s="4"/>
      <c r="K1316" s="4"/>
      <c r="L1316" s="4"/>
      <c r="M1316" s="4"/>
      <c r="N1316" s="4"/>
      <c r="O1316" s="4"/>
      <c r="P1316" s="4"/>
      <c r="Q1316" s="4"/>
      <c r="R1316" s="4"/>
      <c r="S1316" s="4"/>
      <c r="T1316" s="4"/>
      <c r="U1316" s="4"/>
      <c r="V1316" s="4"/>
      <c r="W1316" s="4"/>
      <c r="X1316" s="4"/>
      <c r="Y1316" s="4"/>
      <c r="Z1316" s="4"/>
      <c r="AA1316" s="4"/>
      <c r="AB1316" s="4"/>
      <c r="AC1316" s="4"/>
      <c r="AD1316" s="4"/>
      <c r="AE1316" s="4"/>
      <c r="AF1316" s="4"/>
      <c r="AG1316" s="4"/>
    </row>
    <row r="1317" spans="1:33" x14ac:dyDescent="0.2">
      <c r="B1317" s="48"/>
      <c r="C1317" s="8"/>
      <c r="D1317" s="44"/>
      <c r="E1317" s="90" t="s">
        <v>1038</v>
      </c>
      <c r="F1317" s="28"/>
      <c r="G1317" s="26"/>
      <c r="H1317" s="24"/>
      <c r="I1317" s="4"/>
      <c r="J1317" s="4"/>
      <c r="K1317" s="4"/>
      <c r="L1317" s="4"/>
      <c r="M1317" s="4"/>
      <c r="N1317" s="4"/>
      <c r="O1317" s="4"/>
      <c r="P1317" s="4"/>
      <c r="Q1317" s="4"/>
      <c r="R1317" s="4"/>
      <c r="S1317" s="4"/>
      <c r="T1317" s="4"/>
      <c r="U1317" s="4"/>
      <c r="V1317" s="4"/>
      <c r="W1317" s="4"/>
      <c r="X1317" s="4"/>
      <c r="Y1317" s="4"/>
      <c r="Z1317" s="4"/>
      <c r="AA1317" s="4"/>
      <c r="AB1317" s="4"/>
      <c r="AC1317" s="4"/>
      <c r="AD1317" s="4"/>
      <c r="AE1317" s="4"/>
      <c r="AF1317" s="4"/>
      <c r="AG1317" s="4"/>
    </row>
    <row r="1318" spans="1:33" s="17" customFormat="1" x14ac:dyDescent="0.2">
      <c r="A1318" s="4"/>
      <c r="B1318" s="49" t="s">
        <v>906</v>
      </c>
      <c r="C1318" s="13"/>
      <c r="D1318" s="45"/>
      <c r="E1318" s="85"/>
      <c r="F1318" s="30"/>
      <c r="G1318" s="29"/>
      <c r="H1318" s="15"/>
    </row>
    <row r="1319" spans="1:33" x14ac:dyDescent="0.2">
      <c r="B1319" s="48"/>
      <c r="C1319" s="56" t="s">
        <v>907</v>
      </c>
      <c r="D1319" s="44"/>
      <c r="E1319" s="90" t="s">
        <v>1034</v>
      </c>
      <c r="F1319" s="27"/>
      <c r="G1319" s="26"/>
      <c r="H1319" s="21" t="b">
        <f>IF(D1321="x",H$2,H$1)</f>
        <v>0</v>
      </c>
      <c r="I1319" s="4"/>
      <c r="J1319" s="4"/>
      <c r="K1319" s="4"/>
      <c r="L1319" s="4"/>
      <c r="M1319" s="4"/>
      <c r="N1319" s="4"/>
      <c r="O1319" s="4"/>
      <c r="P1319" s="4"/>
      <c r="Q1319" s="4"/>
      <c r="R1319" s="4"/>
      <c r="S1319" s="4"/>
      <c r="T1319" s="4"/>
      <c r="U1319" s="4"/>
      <c r="V1319" s="4"/>
      <c r="W1319" s="4"/>
      <c r="X1319" s="4"/>
      <c r="Y1319" s="4"/>
      <c r="Z1319" s="4"/>
      <c r="AA1319" s="4"/>
      <c r="AB1319" s="4"/>
      <c r="AC1319" s="4"/>
      <c r="AD1319" s="4"/>
      <c r="AE1319" s="4"/>
      <c r="AF1319" s="4"/>
      <c r="AG1319" s="4"/>
    </row>
    <row r="1320" spans="1:33" x14ac:dyDescent="0.2">
      <c r="B1320" s="48"/>
      <c r="C1320" s="57" t="s">
        <v>908</v>
      </c>
      <c r="D1320" s="44"/>
      <c r="E1320" s="90" t="s">
        <v>1035</v>
      </c>
      <c r="F1320" s="22" t="str">
        <f>IF(H1321=1,IF(H1319=H$2,H1319,""),"")</f>
        <v/>
      </c>
      <c r="G1320" s="26"/>
      <c r="H1320" s="21" t="str">
        <f t="shared" ref="H1320" si="451">IF(E$1372="comprobar",COUNTIF(D1319:D1323,"x"),"")</f>
        <v/>
      </c>
      <c r="I1320" s="4"/>
      <c r="J1320" s="4"/>
      <c r="K1320" s="4"/>
      <c r="L1320" s="4"/>
      <c r="M1320" s="4"/>
      <c r="N1320" s="4"/>
      <c r="O1320" s="4"/>
      <c r="P1320" s="4"/>
      <c r="Q1320" s="4"/>
      <c r="R1320" s="4"/>
      <c r="S1320" s="4"/>
      <c r="T1320" s="4"/>
      <c r="U1320" s="4"/>
      <c r="V1320" s="4"/>
      <c r="W1320" s="4"/>
      <c r="X1320" s="4"/>
      <c r="Y1320" s="4"/>
      <c r="Z1320" s="4"/>
      <c r="AA1320" s="4"/>
      <c r="AB1320" s="4"/>
      <c r="AC1320" s="4"/>
      <c r="AD1320" s="4"/>
      <c r="AE1320" s="4"/>
      <c r="AF1320" s="4"/>
      <c r="AG1320" s="4"/>
    </row>
    <row r="1321" spans="1:33" x14ac:dyDescent="0.2">
      <c r="B1321" s="48"/>
      <c r="C1321" s="57" t="s">
        <v>909</v>
      </c>
      <c r="D1321" s="44"/>
      <c r="E1321" s="90" t="s">
        <v>1036</v>
      </c>
      <c r="F1321" s="23" t="str">
        <f>IF(H1321=-0.33,IF(H1319=H$1,H1319,""),"")</f>
        <v/>
      </c>
      <c r="G1321" s="26"/>
      <c r="H1321" s="24">
        <f t="shared" ref="H1321" si="452">IF(H1320=1,IF(H1319=H$2,1,-0.33),0)</f>
        <v>0</v>
      </c>
      <c r="I1321" s="4"/>
      <c r="J1321" s="4"/>
      <c r="K1321" s="4"/>
      <c r="L1321" s="4"/>
      <c r="M1321" s="4"/>
      <c r="N1321" s="4"/>
      <c r="O1321" s="4"/>
      <c r="P1321" s="4"/>
      <c r="Q1321" s="4"/>
      <c r="R1321" s="4"/>
      <c r="S1321" s="4"/>
      <c r="T1321" s="4"/>
      <c r="U1321" s="4"/>
      <c r="V1321" s="4"/>
      <c r="W1321" s="4"/>
      <c r="X1321" s="4"/>
      <c r="Y1321" s="4"/>
      <c r="Z1321" s="4"/>
      <c r="AA1321" s="4"/>
      <c r="AB1321" s="4"/>
      <c r="AC1321" s="4"/>
      <c r="AD1321" s="4"/>
      <c r="AE1321" s="4"/>
      <c r="AF1321" s="4"/>
      <c r="AG1321" s="4"/>
    </row>
    <row r="1322" spans="1:33" x14ac:dyDescent="0.2">
      <c r="B1322" s="48"/>
      <c r="C1322" s="57" t="s">
        <v>910</v>
      </c>
      <c r="D1322" s="44"/>
      <c r="E1322" s="90" t="s">
        <v>1037</v>
      </c>
      <c r="F1322" s="28"/>
      <c r="G1322" s="26"/>
      <c r="H1322" s="24"/>
      <c r="I1322" s="4"/>
      <c r="J1322" s="4"/>
      <c r="K1322" s="4"/>
      <c r="L1322" s="4"/>
      <c r="M1322" s="4"/>
      <c r="N1322" s="4"/>
      <c r="O1322" s="4"/>
      <c r="P1322" s="4"/>
      <c r="Q1322" s="4"/>
      <c r="R1322" s="4"/>
      <c r="S1322" s="4"/>
      <c r="T1322" s="4"/>
      <c r="U1322" s="4"/>
      <c r="V1322" s="4"/>
      <c r="W1322" s="4"/>
      <c r="X1322" s="4"/>
      <c r="Y1322" s="4"/>
      <c r="Z1322" s="4"/>
      <c r="AA1322" s="4"/>
      <c r="AB1322" s="4"/>
      <c r="AC1322" s="4"/>
      <c r="AD1322" s="4"/>
      <c r="AE1322" s="4"/>
      <c r="AF1322" s="4"/>
      <c r="AG1322" s="4"/>
    </row>
    <row r="1323" spans="1:33" x14ac:dyDescent="0.2">
      <c r="B1323" s="48"/>
      <c r="C1323" s="8"/>
      <c r="D1323" s="44"/>
      <c r="E1323" s="90" t="s">
        <v>1038</v>
      </c>
      <c r="F1323" s="28"/>
      <c r="G1323" s="26"/>
      <c r="H1323" s="24"/>
      <c r="I1323" s="4"/>
      <c r="J1323" s="4"/>
      <c r="K1323" s="4"/>
      <c r="L1323" s="4"/>
      <c r="M1323" s="4"/>
      <c r="N1323" s="4"/>
      <c r="O1323" s="4"/>
      <c r="P1323" s="4"/>
      <c r="Q1323" s="4"/>
      <c r="R1323" s="4"/>
      <c r="S1323" s="4"/>
      <c r="T1323" s="4"/>
      <c r="U1323" s="4"/>
      <c r="V1323" s="4"/>
      <c r="W1323" s="4"/>
      <c r="X1323" s="4"/>
      <c r="Y1323" s="4"/>
      <c r="Z1323" s="4"/>
      <c r="AA1323" s="4"/>
      <c r="AB1323" s="4"/>
      <c r="AC1323" s="4"/>
      <c r="AD1323" s="4"/>
      <c r="AE1323" s="4"/>
      <c r="AF1323" s="4"/>
      <c r="AG1323" s="4"/>
    </row>
    <row r="1324" spans="1:33" s="17" customFormat="1" x14ac:dyDescent="0.2">
      <c r="A1324" s="4"/>
      <c r="B1324" s="49" t="s">
        <v>911</v>
      </c>
      <c r="C1324" s="13"/>
      <c r="D1324" s="45"/>
      <c r="E1324" s="85"/>
      <c r="F1324" s="16"/>
      <c r="G1324" s="15"/>
      <c r="H1324" s="15"/>
    </row>
    <row r="1325" spans="1:33" x14ac:dyDescent="0.2">
      <c r="B1325" s="48"/>
      <c r="C1325" s="56" t="s">
        <v>912</v>
      </c>
      <c r="D1325" s="44"/>
      <c r="E1325" s="90" t="s">
        <v>1034</v>
      </c>
      <c r="F1325" s="20"/>
      <c r="G1325" s="19"/>
      <c r="H1325" s="21" t="b">
        <f>IF(D1326="x",H$2,H$1)</f>
        <v>0</v>
      </c>
      <c r="I1325" s="4"/>
      <c r="J1325" s="4"/>
      <c r="K1325" s="4"/>
      <c r="L1325" s="4"/>
      <c r="M1325" s="4"/>
      <c r="N1325" s="4"/>
      <c r="O1325" s="4"/>
      <c r="P1325" s="4"/>
      <c r="Q1325" s="4"/>
      <c r="R1325" s="4"/>
      <c r="S1325" s="4"/>
      <c r="T1325" s="4"/>
      <c r="U1325" s="4"/>
      <c r="V1325" s="4"/>
      <c r="W1325" s="4"/>
      <c r="X1325" s="4"/>
      <c r="Y1325" s="4"/>
      <c r="Z1325" s="4"/>
      <c r="AA1325" s="4"/>
      <c r="AB1325" s="4"/>
      <c r="AC1325" s="4"/>
      <c r="AD1325" s="4"/>
      <c r="AE1325" s="4"/>
      <c r="AF1325" s="4"/>
      <c r="AG1325" s="4"/>
    </row>
    <row r="1326" spans="1:33" x14ac:dyDescent="0.2">
      <c r="B1326" s="52"/>
      <c r="C1326" s="57" t="s">
        <v>913</v>
      </c>
      <c r="D1326" s="44"/>
      <c r="E1326" s="90" t="s">
        <v>1035</v>
      </c>
      <c r="F1326" s="22" t="str">
        <f>IF(H1327=1,IF(H1325=H$2,H1325,""),"")</f>
        <v/>
      </c>
      <c r="G1326" s="19"/>
      <c r="H1326" s="21" t="str">
        <f t="shared" ref="H1326" si="453">IF(E$1372="comprobar",COUNTIF(D1325:D1329,"x"),"")</f>
        <v/>
      </c>
      <c r="I1326" s="4"/>
      <c r="J1326" s="4"/>
      <c r="K1326" s="4"/>
      <c r="L1326" s="4"/>
      <c r="M1326" s="4"/>
      <c r="N1326" s="4"/>
      <c r="O1326" s="4"/>
      <c r="P1326" s="4"/>
      <c r="Q1326" s="4"/>
      <c r="R1326" s="4"/>
      <c r="S1326" s="4"/>
      <c r="T1326" s="4"/>
      <c r="U1326" s="4"/>
      <c r="V1326" s="4"/>
      <c r="W1326" s="4"/>
      <c r="X1326" s="4"/>
      <c r="Y1326" s="4"/>
      <c r="Z1326" s="4"/>
      <c r="AA1326" s="4"/>
      <c r="AB1326" s="4"/>
      <c r="AC1326" s="4"/>
      <c r="AD1326" s="4"/>
      <c r="AE1326" s="4"/>
      <c r="AF1326" s="4"/>
      <c r="AG1326" s="4"/>
    </row>
    <row r="1327" spans="1:33" x14ac:dyDescent="0.2">
      <c r="B1327" s="52"/>
      <c r="C1327" s="57" t="s">
        <v>914</v>
      </c>
      <c r="D1327" s="44"/>
      <c r="E1327" s="90" t="s">
        <v>1036</v>
      </c>
      <c r="F1327" s="23" t="str">
        <f>IF(H1327=-0.33,IF(H1325=H$1,H1325,""),"")</f>
        <v/>
      </c>
      <c r="G1327" s="19"/>
      <c r="H1327" s="24">
        <f t="shared" ref="H1327" si="454">IF(H1326=1,IF(H1325=H$2,1,-0.33),0)</f>
        <v>0</v>
      </c>
      <c r="I1327" s="4"/>
      <c r="J1327" s="4"/>
      <c r="K1327" s="4"/>
      <c r="L1327" s="4"/>
      <c r="M1327" s="4"/>
      <c r="N1327" s="4"/>
      <c r="O1327" s="4"/>
      <c r="P1327" s="4"/>
      <c r="Q1327" s="4"/>
      <c r="R1327" s="4"/>
      <c r="S1327" s="4"/>
      <c r="T1327" s="4"/>
      <c r="U1327" s="4"/>
      <c r="V1327" s="4"/>
      <c r="W1327" s="4"/>
      <c r="X1327" s="4"/>
      <c r="Y1327" s="4"/>
      <c r="Z1327" s="4"/>
      <c r="AA1327" s="4"/>
      <c r="AB1327" s="4"/>
      <c r="AC1327" s="4"/>
      <c r="AD1327" s="4"/>
      <c r="AE1327" s="4"/>
      <c r="AF1327" s="4"/>
      <c r="AG1327" s="4"/>
    </row>
    <row r="1328" spans="1:33" x14ac:dyDescent="0.2">
      <c r="B1328" s="48"/>
      <c r="C1328" s="57" t="s">
        <v>915</v>
      </c>
      <c r="D1328" s="44"/>
      <c r="E1328" s="90" t="s">
        <v>1037</v>
      </c>
      <c r="F1328" s="20"/>
      <c r="G1328" s="19"/>
      <c r="H1328" s="24"/>
      <c r="I1328" s="4"/>
      <c r="J1328" s="4"/>
      <c r="K1328" s="4"/>
      <c r="L1328" s="4"/>
      <c r="M1328" s="4"/>
      <c r="N1328" s="4"/>
      <c r="O1328" s="4"/>
      <c r="P1328" s="4"/>
      <c r="Q1328" s="4"/>
      <c r="R1328" s="4"/>
      <c r="S1328" s="4"/>
      <c r="T1328" s="4"/>
      <c r="U1328" s="4"/>
      <c r="V1328" s="4"/>
      <c r="W1328" s="4"/>
      <c r="X1328" s="4"/>
      <c r="Y1328" s="4"/>
      <c r="Z1328" s="4"/>
      <c r="AA1328" s="4"/>
      <c r="AB1328" s="4"/>
      <c r="AC1328" s="4"/>
      <c r="AD1328" s="4"/>
      <c r="AE1328" s="4"/>
      <c r="AF1328" s="4"/>
      <c r="AG1328" s="4"/>
    </row>
    <row r="1329" spans="1:33" x14ac:dyDescent="0.2">
      <c r="B1329" s="48"/>
      <c r="C1329" s="8"/>
      <c r="D1329" s="44"/>
      <c r="E1329" s="90" t="s">
        <v>1038</v>
      </c>
      <c r="F1329" s="20"/>
      <c r="G1329" s="19"/>
      <c r="H1329" s="24"/>
      <c r="I1329" s="4"/>
      <c r="J1329" s="4"/>
      <c r="K1329" s="4"/>
      <c r="L1329" s="4"/>
      <c r="M1329" s="4"/>
      <c r="N1329" s="4"/>
      <c r="O1329" s="4"/>
      <c r="P1329" s="4"/>
      <c r="Q1329" s="4"/>
      <c r="R1329" s="4"/>
      <c r="S1329" s="4"/>
      <c r="T1329" s="4"/>
      <c r="U1329" s="4"/>
      <c r="V1329" s="4"/>
      <c r="W1329" s="4"/>
      <c r="X1329" s="4"/>
      <c r="Y1329" s="4"/>
      <c r="Z1329" s="4"/>
      <c r="AA1329" s="4"/>
      <c r="AB1329" s="4"/>
      <c r="AC1329" s="4"/>
      <c r="AD1329" s="4"/>
      <c r="AE1329" s="4"/>
      <c r="AF1329" s="4"/>
      <c r="AG1329" s="4"/>
    </row>
    <row r="1330" spans="1:33" s="17" customFormat="1" x14ac:dyDescent="0.2">
      <c r="A1330" s="4"/>
      <c r="B1330" s="49" t="s">
        <v>916</v>
      </c>
      <c r="C1330" s="13"/>
      <c r="D1330" s="45"/>
      <c r="E1330" s="85"/>
      <c r="F1330" s="30"/>
      <c r="G1330" s="29"/>
      <c r="H1330" s="15"/>
    </row>
    <row r="1331" spans="1:33" x14ac:dyDescent="0.2">
      <c r="B1331" s="48"/>
      <c r="C1331" s="56" t="s">
        <v>917</v>
      </c>
      <c r="D1331" s="44"/>
      <c r="E1331" s="90" t="s">
        <v>1034</v>
      </c>
      <c r="F1331" s="27"/>
      <c r="G1331" s="26"/>
      <c r="H1331" s="21" t="b">
        <f>IF(D1334="x",H$2,H$1)</f>
        <v>0</v>
      </c>
      <c r="I1331" s="4"/>
      <c r="J1331" s="4"/>
      <c r="K1331" s="4"/>
      <c r="L1331" s="4"/>
      <c r="M1331" s="4"/>
      <c r="N1331" s="4"/>
      <c r="O1331" s="4"/>
      <c r="P1331" s="4"/>
      <c r="Q1331" s="4"/>
      <c r="R1331" s="4"/>
      <c r="S1331" s="4"/>
      <c r="T1331" s="4"/>
      <c r="U1331" s="4"/>
      <c r="V1331" s="4"/>
      <c r="W1331" s="4"/>
      <c r="X1331" s="4"/>
      <c r="Y1331" s="4"/>
      <c r="Z1331" s="4"/>
      <c r="AA1331" s="4"/>
      <c r="AB1331" s="4"/>
      <c r="AC1331" s="4"/>
      <c r="AD1331" s="4"/>
      <c r="AE1331" s="4"/>
      <c r="AF1331" s="4"/>
      <c r="AG1331" s="4"/>
    </row>
    <row r="1332" spans="1:33" x14ac:dyDescent="0.2">
      <c r="B1332" s="48"/>
      <c r="C1332" s="57" t="s">
        <v>918</v>
      </c>
      <c r="D1332" s="44"/>
      <c r="E1332" s="90" t="s">
        <v>1035</v>
      </c>
      <c r="F1332" s="22" t="str">
        <f>IF(H1333=1,IF(H1331=H$2,H1331,""),"")</f>
        <v/>
      </c>
      <c r="G1332" s="26"/>
      <c r="H1332" s="21" t="str">
        <f t="shared" ref="H1332" si="455">IF(E$1372="comprobar",COUNTIF(D1331:D1335,"x"),"")</f>
        <v/>
      </c>
      <c r="I1332" s="4"/>
      <c r="J1332" s="4"/>
      <c r="K1332" s="4"/>
      <c r="L1332" s="4"/>
      <c r="M1332" s="4"/>
      <c r="N1332" s="4"/>
      <c r="O1332" s="4"/>
      <c r="P1332" s="4"/>
      <c r="Q1332" s="4"/>
      <c r="R1332" s="4"/>
      <c r="S1332" s="4"/>
      <c r="T1332" s="4"/>
      <c r="U1332" s="4"/>
      <c r="V1332" s="4"/>
      <c r="W1332" s="4"/>
      <c r="X1332" s="4"/>
      <c r="Y1332" s="4"/>
      <c r="Z1332" s="4"/>
      <c r="AA1332" s="4"/>
      <c r="AB1332" s="4"/>
      <c r="AC1332" s="4"/>
      <c r="AD1332" s="4"/>
      <c r="AE1332" s="4"/>
      <c r="AF1332" s="4"/>
      <c r="AG1332" s="4"/>
    </row>
    <row r="1333" spans="1:33" x14ac:dyDescent="0.2">
      <c r="B1333" s="48"/>
      <c r="C1333" s="57" t="s">
        <v>919</v>
      </c>
      <c r="D1333" s="44"/>
      <c r="E1333" s="90" t="s">
        <v>1036</v>
      </c>
      <c r="F1333" s="23" t="str">
        <f>IF(H1333=-0.33,IF(H1331=H$1,H1331,""),"")</f>
        <v/>
      </c>
      <c r="G1333" s="26"/>
      <c r="H1333" s="24">
        <f t="shared" ref="H1333" si="456">IF(H1332=1,IF(H1331=H$2,1,-0.33),0)</f>
        <v>0</v>
      </c>
      <c r="I1333" s="4"/>
      <c r="J1333" s="4"/>
      <c r="K1333" s="4"/>
      <c r="L1333" s="4"/>
      <c r="M1333" s="4"/>
      <c r="N1333" s="4"/>
      <c r="O1333" s="4"/>
      <c r="P1333" s="4"/>
      <c r="Q1333" s="4"/>
      <c r="R1333" s="4"/>
      <c r="S1333" s="4"/>
      <c r="T1333" s="4"/>
      <c r="U1333" s="4"/>
      <c r="V1333" s="4"/>
      <c r="W1333" s="4"/>
      <c r="X1333" s="4"/>
      <c r="Y1333" s="4"/>
      <c r="Z1333" s="4"/>
      <c r="AA1333" s="4"/>
      <c r="AB1333" s="4"/>
      <c r="AC1333" s="4"/>
      <c r="AD1333" s="4"/>
      <c r="AE1333" s="4"/>
      <c r="AF1333" s="4"/>
      <c r="AG1333" s="4"/>
    </row>
    <row r="1334" spans="1:33" x14ac:dyDescent="0.2">
      <c r="B1334" s="48"/>
      <c r="C1334" s="57" t="s">
        <v>920</v>
      </c>
      <c r="D1334" s="44"/>
      <c r="E1334" s="90" t="s">
        <v>1037</v>
      </c>
      <c r="F1334" s="28"/>
      <c r="G1334" s="26"/>
      <c r="H1334" s="24"/>
      <c r="I1334" s="4"/>
      <c r="J1334" s="4"/>
      <c r="K1334" s="4"/>
      <c r="L1334" s="4"/>
      <c r="M1334" s="4"/>
      <c r="N1334" s="4"/>
      <c r="O1334" s="4"/>
      <c r="P1334" s="4"/>
      <c r="Q1334" s="4"/>
      <c r="R1334" s="4"/>
      <c r="S1334" s="4"/>
      <c r="T1334" s="4"/>
      <c r="U1334" s="4"/>
      <c r="V1334" s="4"/>
      <c r="W1334" s="4"/>
      <c r="X1334" s="4"/>
      <c r="Y1334" s="4"/>
      <c r="Z1334" s="4"/>
      <c r="AA1334" s="4"/>
      <c r="AB1334" s="4"/>
      <c r="AC1334" s="4"/>
      <c r="AD1334" s="4"/>
      <c r="AE1334" s="4"/>
      <c r="AF1334" s="4"/>
      <c r="AG1334" s="4"/>
    </row>
    <row r="1335" spans="1:33" x14ac:dyDescent="0.2">
      <c r="B1335" s="48"/>
      <c r="C1335" s="8" t="s">
        <v>117</v>
      </c>
      <c r="D1335" s="44"/>
      <c r="E1335" s="90" t="s">
        <v>1038</v>
      </c>
      <c r="F1335" s="28"/>
      <c r="G1335" s="26"/>
      <c r="H1335" s="24"/>
      <c r="I1335" s="4"/>
      <c r="J1335" s="4"/>
      <c r="K1335" s="4"/>
      <c r="L1335" s="4"/>
      <c r="M1335" s="4"/>
      <c r="N1335" s="4"/>
      <c r="O1335" s="4"/>
      <c r="P1335" s="4"/>
      <c r="Q1335" s="4"/>
      <c r="R1335" s="4"/>
      <c r="S1335" s="4"/>
      <c r="T1335" s="4"/>
      <c r="U1335" s="4"/>
      <c r="V1335" s="4"/>
      <c r="W1335" s="4"/>
      <c r="X1335" s="4"/>
      <c r="Y1335" s="4"/>
      <c r="Z1335" s="4"/>
      <c r="AA1335" s="4"/>
      <c r="AB1335" s="4"/>
      <c r="AC1335" s="4"/>
      <c r="AD1335" s="4"/>
      <c r="AE1335" s="4"/>
      <c r="AF1335" s="4"/>
      <c r="AG1335" s="4"/>
    </row>
    <row r="1336" spans="1:33" s="17" customFormat="1" x14ac:dyDescent="0.2">
      <c r="A1336" s="4"/>
      <c r="B1336" s="49" t="s">
        <v>921</v>
      </c>
      <c r="C1336" s="13"/>
      <c r="D1336" s="45"/>
      <c r="E1336" s="85"/>
      <c r="F1336" s="30"/>
      <c r="G1336" s="29"/>
      <c r="H1336" s="15"/>
    </row>
    <row r="1337" spans="1:33" x14ac:dyDescent="0.2">
      <c r="B1337" s="48"/>
      <c r="C1337" s="56" t="s">
        <v>922</v>
      </c>
      <c r="D1337" s="44"/>
      <c r="E1337" s="90" t="s">
        <v>1034</v>
      </c>
      <c r="F1337" s="28"/>
      <c r="G1337" s="55"/>
      <c r="H1337" s="21" t="b">
        <f>IF(D1339="x",H$2,H$1)</f>
        <v>0</v>
      </c>
      <c r="I1337" s="4"/>
      <c r="J1337" s="4"/>
      <c r="K1337" s="4"/>
      <c r="L1337" s="4"/>
      <c r="M1337" s="4"/>
      <c r="N1337" s="4"/>
      <c r="O1337" s="4"/>
      <c r="P1337" s="4"/>
      <c r="Q1337" s="4"/>
      <c r="R1337" s="4"/>
      <c r="S1337" s="4"/>
      <c r="T1337" s="4"/>
      <c r="U1337" s="4"/>
      <c r="V1337" s="4"/>
      <c r="W1337" s="4"/>
      <c r="X1337" s="4"/>
      <c r="Y1337" s="4"/>
      <c r="Z1337" s="4"/>
      <c r="AA1337" s="4"/>
      <c r="AB1337" s="4"/>
      <c r="AC1337" s="4"/>
      <c r="AD1337" s="4"/>
      <c r="AE1337" s="4"/>
      <c r="AF1337" s="4"/>
      <c r="AG1337" s="4"/>
    </row>
    <row r="1338" spans="1:33" x14ac:dyDescent="0.2">
      <c r="B1338" s="52"/>
      <c r="C1338" s="57" t="s">
        <v>923</v>
      </c>
      <c r="D1338" s="44"/>
      <c r="E1338" s="90" t="s">
        <v>1035</v>
      </c>
      <c r="F1338" s="22" t="str">
        <f>IF(H1339=1,IF(H1337=H$2,H1337,""),"")</f>
        <v/>
      </c>
      <c r="G1338" s="26"/>
      <c r="H1338" s="21" t="str">
        <f t="shared" ref="H1338" si="457">IF(E$1372="comprobar",COUNTIF(D1337:D1341,"x"),"")</f>
        <v/>
      </c>
      <c r="I1338" s="4"/>
      <c r="J1338" s="4"/>
      <c r="K1338" s="4"/>
      <c r="L1338" s="4"/>
      <c r="M1338" s="4"/>
      <c r="N1338" s="4"/>
      <c r="O1338" s="4"/>
      <c r="P1338" s="4"/>
      <c r="Q1338" s="4"/>
      <c r="R1338" s="4"/>
      <c r="S1338" s="4"/>
      <c r="T1338" s="4"/>
      <c r="U1338" s="4"/>
      <c r="V1338" s="4"/>
      <c r="W1338" s="4"/>
      <c r="X1338" s="4"/>
      <c r="Y1338" s="4"/>
      <c r="Z1338" s="4"/>
      <c r="AA1338" s="4"/>
      <c r="AB1338" s="4"/>
      <c r="AC1338" s="4"/>
      <c r="AD1338" s="4"/>
      <c r="AE1338" s="4"/>
      <c r="AF1338" s="4"/>
      <c r="AG1338" s="4"/>
    </row>
    <row r="1339" spans="1:33" x14ac:dyDescent="0.2">
      <c r="B1339" s="48"/>
      <c r="C1339" s="57" t="s">
        <v>924</v>
      </c>
      <c r="D1339" s="44"/>
      <c r="E1339" s="90" t="s">
        <v>1036</v>
      </c>
      <c r="F1339" s="23" t="str">
        <f>IF(H1339=-0.33,IF(H1337=H$1,H1337,""),"")</f>
        <v/>
      </c>
      <c r="G1339" s="26"/>
      <c r="H1339" s="24">
        <f t="shared" ref="H1339" si="458">IF(H1338=1,IF(H1337=H$2,1,-0.33),0)</f>
        <v>0</v>
      </c>
      <c r="I1339" s="4"/>
      <c r="J1339" s="4"/>
      <c r="K1339" s="4"/>
      <c r="L1339" s="4"/>
      <c r="M1339" s="4"/>
      <c r="N1339" s="4"/>
      <c r="O1339" s="4"/>
      <c r="P1339" s="4"/>
      <c r="Q1339" s="4"/>
      <c r="R1339" s="4"/>
      <c r="S1339" s="4"/>
      <c r="T1339" s="4"/>
      <c r="U1339" s="4"/>
      <c r="V1339" s="4"/>
      <c r="W1339" s="4"/>
      <c r="X1339" s="4"/>
      <c r="Y1339" s="4"/>
      <c r="Z1339" s="4"/>
      <c r="AA1339" s="4"/>
      <c r="AB1339" s="4"/>
      <c r="AC1339" s="4"/>
      <c r="AD1339" s="4"/>
      <c r="AE1339" s="4"/>
      <c r="AF1339" s="4"/>
      <c r="AG1339" s="4"/>
    </row>
    <row r="1340" spans="1:33" x14ac:dyDescent="0.2">
      <c r="B1340" s="48"/>
      <c r="C1340" s="57"/>
      <c r="D1340" s="44"/>
      <c r="E1340" s="90" t="s">
        <v>1037</v>
      </c>
      <c r="F1340" s="28"/>
      <c r="G1340" s="26"/>
      <c r="H1340" s="24"/>
      <c r="I1340" s="4"/>
      <c r="J1340" s="4"/>
      <c r="K1340" s="4"/>
      <c r="L1340" s="4"/>
      <c r="M1340" s="4"/>
      <c r="N1340" s="4"/>
      <c r="O1340" s="4"/>
      <c r="P1340" s="4"/>
      <c r="Q1340" s="4"/>
      <c r="R1340" s="4"/>
      <c r="S1340" s="4"/>
      <c r="T1340" s="4"/>
      <c r="U1340" s="4"/>
      <c r="V1340" s="4"/>
      <c r="W1340" s="4"/>
      <c r="X1340" s="4"/>
      <c r="Y1340" s="4"/>
      <c r="Z1340" s="4"/>
      <c r="AA1340" s="4"/>
      <c r="AB1340" s="4"/>
      <c r="AC1340" s="4"/>
      <c r="AD1340" s="4"/>
      <c r="AE1340" s="4"/>
      <c r="AF1340" s="4"/>
      <c r="AG1340" s="4"/>
    </row>
    <row r="1341" spans="1:33" x14ac:dyDescent="0.2">
      <c r="B1341" s="48"/>
      <c r="C1341" s="8"/>
      <c r="D1341" s="44"/>
      <c r="E1341" s="90" t="s">
        <v>1038</v>
      </c>
      <c r="F1341" s="28"/>
      <c r="G1341" s="26"/>
      <c r="H1341" s="24"/>
      <c r="I1341" s="4"/>
      <c r="J1341" s="4"/>
      <c r="K1341" s="4"/>
      <c r="L1341" s="4"/>
      <c r="M1341" s="4"/>
      <c r="N1341" s="4"/>
      <c r="O1341" s="4"/>
      <c r="P1341" s="4"/>
      <c r="Q1341" s="4"/>
      <c r="R1341" s="4"/>
      <c r="S1341" s="4"/>
      <c r="T1341" s="4"/>
      <c r="U1341" s="4"/>
      <c r="V1341" s="4"/>
      <c r="W1341" s="4"/>
      <c r="X1341" s="4"/>
      <c r="Y1341" s="4"/>
      <c r="Z1341" s="4"/>
      <c r="AA1341" s="4"/>
      <c r="AB1341" s="4"/>
      <c r="AC1341" s="4"/>
      <c r="AD1341" s="4"/>
      <c r="AE1341" s="4"/>
      <c r="AF1341" s="4"/>
      <c r="AG1341" s="4"/>
    </row>
    <row r="1342" spans="1:33" s="17" customFormat="1" x14ac:dyDescent="0.2">
      <c r="A1342" s="4"/>
      <c r="B1342" s="49" t="s">
        <v>925</v>
      </c>
      <c r="C1342" s="13"/>
      <c r="D1342" s="45"/>
      <c r="E1342" s="85"/>
      <c r="F1342" s="30"/>
      <c r="G1342" s="29"/>
      <c r="H1342" s="15"/>
    </row>
    <row r="1343" spans="1:33" x14ac:dyDescent="0.2">
      <c r="B1343" s="52"/>
      <c r="C1343" s="56" t="s">
        <v>926</v>
      </c>
      <c r="D1343" s="44"/>
      <c r="E1343" s="90" t="s">
        <v>1034</v>
      </c>
      <c r="F1343" s="27"/>
      <c r="G1343" s="26"/>
      <c r="H1343" s="21" t="b">
        <f>IF(D1346="x",H$2,H$1)</f>
        <v>0</v>
      </c>
      <c r="I1343" s="4"/>
      <c r="J1343" s="4"/>
      <c r="K1343" s="4"/>
      <c r="L1343" s="4"/>
      <c r="M1343" s="4"/>
      <c r="N1343" s="4"/>
      <c r="O1343" s="4"/>
      <c r="P1343" s="4"/>
      <c r="Q1343" s="4"/>
      <c r="R1343" s="4"/>
      <c r="S1343" s="4"/>
      <c r="T1343" s="4"/>
      <c r="U1343" s="4"/>
      <c r="V1343" s="4"/>
      <c r="W1343" s="4"/>
      <c r="X1343" s="4"/>
      <c r="Y1343" s="4"/>
      <c r="Z1343" s="4"/>
      <c r="AA1343" s="4"/>
      <c r="AB1343" s="4"/>
      <c r="AC1343" s="4"/>
      <c r="AD1343" s="4"/>
      <c r="AE1343" s="4"/>
      <c r="AF1343" s="4"/>
      <c r="AG1343" s="4"/>
    </row>
    <row r="1344" spans="1:33" x14ac:dyDescent="0.2">
      <c r="B1344" s="48"/>
      <c r="C1344" s="57" t="s">
        <v>927</v>
      </c>
      <c r="D1344" s="44"/>
      <c r="E1344" s="90" t="s">
        <v>1035</v>
      </c>
      <c r="F1344" s="22" t="str">
        <f>IF(H1345=1,IF(H1343=H$2,H1343,""),"")</f>
        <v/>
      </c>
      <c r="G1344" s="26"/>
      <c r="H1344" s="21" t="str">
        <f t="shared" ref="H1344" si="459">IF(E$1372="comprobar",COUNTIF(D1343:D1347,"x"),"")</f>
        <v/>
      </c>
      <c r="I1344" s="4"/>
      <c r="J1344" s="4"/>
      <c r="K1344" s="4"/>
      <c r="L1344" s="4"/>
      <c r="M1344" s="4"/>
      <c r="N1344" s="4"/>
      <c r="O1344" s="4"/>
      <c r="P1344" s="4"/>
      <c r="Q1344" s="4"/>
      <c r="R1344" s="4"/>
      <c r="S1344" s="4"/>
      <c r="T1344" s="4"/>
      <c r="U1344" s="4"/>
      <c r="V1344" s="4"/>
      <c r="W1344" s="4"/>
      <c r="X1344" s="4"/>
      <c r="Y1344" s="4"/>
      <c r="Z1344" s="4"/>
      <c r="AA1344" s="4"/>
      <c r="AB1344" s="4"/>
      <c r="AC1344" s="4"/>
      <c r="AD1344" s="4"/>
      <c r="AE1344" s="4"/>
      <c r="AF1344" s="4"/>
      <c r="AG1344" s="4"/>
    </row>
    <row r="1345" spans="1:33" x14ac:dyDescent="0.2">
      <c r="B1345" s="48"/>
      <c r="C1345" s="57" t="s">
        <v>928</v>
      </c>
      <c r="D1345" s="44"/>
      <c r="E1345" s="90" t="s">
        <v>1036</v>
      </c>
      <c r="F1345" s="23" t="str">
        <f>IF(H1345=-0.33,IF(H1343=H$1,H1343,""),"")</f>
        <v/>
      </c>
      <c r="G1345" s="26"/>
      <c r="H1345" s="24">
        <f t="shared" ref="H1345" si="460">IF(H1344=1,IF(H1343=H$2,1,-0.33),0)</f>
        <v>0</v>
      </c>
      <c r="I1345" s="4"/>
      <c r="J1345" s="4"/>
      <c r="K1345" s="4"/>
      <c r="L1345" s="4"/>
      <c r="M1345" s="4"/>
      <c r="N1345" s="4"/>
      <c r="O1345" s="4"/>
      <c r="P1345" s="4"/>
      <c r="Q1345" s="4"/>
      <c r="R1345" s="4"/>
      <c r="S1345" s="4"/>
      <c r="T1345" s="4"/>
      <c r="U1345" s="4"/>
      <c r="V1345" s="4"/>
      <c r="W1345" s="4"/>
      <c r="X1345" s="4"/>
      <c r="Y1345" s="4"/>
      <c r="Z1345" s="4"/>
      <c r="AA1345" s="4"/>
      <c r="AB1345" s="4"/>
      <c r="AC1345" s="4"/>
      <c r="AD1345" s="4"/>
      <c r="AE1345" s="4"/>
      <c r="AF1345" s="4"/>
      <c r="AG1345" s="4"/>
    </row>
    <row r="1346" spans="1:33" x14ac:dyDescent="0.2">
      <c r="B1346" s="52"/>
      <c r="C1346" s="57" t="s">
        <v>583</v>
      </c>
      <c r="D1346" s="44"/>
      <c r="E1346" s="90" t="s">
        <v>1037</v>
      </c>
      <c r="F1346" s="28"/>
      <c r="G1346" s="26"/>
      <c r="H1346" s="24"/>
      <c r="I1346" s="4"/>
      <c r="J1346" s="4"/>
      <c r="K1346" s="4"/>
      <c r="L1346" s="4"/>
      <c r="M1346" s="4"/>
      <c r="N1346" s="4"/>
      <c r="O1346" s="4"/>
      <c r="P1346" s="4"/>
      <c r="Q1346" s="4"/>
      <c r="R1346" s="4"/>
      <c r="S1346" s="4"/>
      <c r="T1346" s="4"/>
      <c r="U1346" s="4"/>
      <c r="V1346" s="4"/>
      <c r="W1346" s="4"/>
      <c r="X1346" s="4"/>
      <c r="Y1346" s="4"/>
      <c r="Z1346" s="4"/>
      <c r="AA1346" s="4"/>
      <c r="AB1346" s="4"/>
      <c r="AC1346" s="4"/>
      <c r="AD1346" s="4"/>
      <c r="AE1346" s="4"/>
      <c r="AF1346" s="4"/>
      <c r="AG1346" s="4"/>
    </row>
    <row r="1347" spans="1:33" x14ac:dyDescent="0.2">
      <c r="B1347" s="48"/>
      <c r="C1347" s="8"/>
      <c r="D1347" s="44"/>
      <c r="E1347" s="90" t="s">
        <v>1038</v>
      </c>
      <c r="F1347" s="28"/>
      <c r="G1347" s="26"/>
      <c r="H1347" s="24"/>
      <c r="I1347" s="4"/>
      <c r="J1347" s="4"/>
      <c r="K1347" s="4"/>
      <c r="L1347" s="4"/>
      <c r="M1347" s="4"/>
      <c r="N1347" s="4"/>
      <c r="O1347" s="4"/>
      <c r="P1347" s="4"/>
      <c r="Q1347" s="4"/>
      <c r="R1347" s="4"/>
      <c r="S1347" s="4"/>
      <c r="T1347" s="4"/>
      <c r="U1347" s="4"/>
      <c r="V1347" s="4"/>
      <c r="W1347" s="4"/>
      <c r="X1347" s="4"/>
      <c r="Y1347" s="4"/>
      <c r="Z1347" s="4"/>
      <c r="AA1347" s="4"/>
      <c r="AB1347" s="4"/>
      <c r="AC1347" s="4"/>
      <c r="AD1347" s="4"/>
      <c r="AE1347" s="4"/>
      <c r="AF1347" s="4"/>
      <c r="AG1347" s="4"/>
    </row>
    <row r="1348" spans="1:33" s="17" customFormat="1" x14ac:dyDescent="0.2">
      <c r="A1348" s="4"/>
      <c r="B1348" s="49" t="s">
        <v>929</v>
      </c>
      <c r="C1348" s="13"/>
      <c r="D1348" s="45"/>
      <c r="E1348" s="85"/>
      <c r="F1348" s="30"/>
      <c r="G1348" s="29"/>
      <c r="H1348" s="15"/>
    </row>
    <row r="1349" spans="1:33" x14ac:dyDescent="0.2">
      <c r="B1349" s="52"/>
      <c r="C1349" s="56" t="s">
        <v>930</v>
      </c>
      <c r="D1349" s="44"/>
      <c r="E1349" s="90" t="s">
        <v>1034</v>
      </c>
      <c r="F1349" s="28"/>
      <c r="G1349" s="26"/>
      <c r="H1349" s="21" t="b">
        <f>IF(D1349="x",H$2,H$1)</f>
        <v>0</v>
      </c>
      <c r="I1349" s="4"/>
      <c r="J1349" s="4"/>
      <c r="K1349" s="4"/>
      <c r="L1349" s="4"/>
      <c r="M1349" s="4"/>
      <c r="N1349" s="4"/>
      <c r="O1349" s="4"/>
      <c r="P1349" s="4"/>
      <c r="Q1349" s="4"/>
      <c r="R1349" s="4"/>
      <c r="S1349" s="4"/>
      <c r="T1349" s="4"/>
      <c r="U1349" s="4"/>
      <c r="V1349" s="4"/>
      <c r="W1349" s="4"/>
      <c r="X1349" s="4"/>
      <c r="Y1349" s="4"/>
      <c r="Z1349" s="4"/>
      <c r="AA1349" s="4"/>
      <c r="AB1349" s="4"/>
      <c r="AC1349" s="4"/>
      <c r="AD1349" s="4"/>
      <c r="AE1349" s="4"/>
      <c r="AF1349" s="4"/>
      <c r="AG1349" s="4"/>
    </row>
    <row r="1350" spans="1:33" x14ac:dyDescent="0.2">
      <c r="B1350" s="48"/>
      <c r="C1350" s="57" t="s">
        <v>931</v>
      </c>
      <c r="D1350" s="44"/>
      <c r="E1350" s="90" t="s">
        <v>1035</v>
      </c>
      <c r="F1350" s="22" t="str">
        <f>IF(H1351=1,IF(H1349=H$2,H1349,""),"")</f>
        <v/>
      </c>
      <c r="G1350" s="26"/>
      <c r="H1350" s="21" t="str">
        <f t="shared" ref="H1350" si="461">IF(E$1372="comprobar",COUNTIF(D1349:D1353,"x"),"")</f>
        <v/>
      </c>
      <c r="I1350" s="4"/>
      <c r="J1350" s="4"/>
      <c r="K1350" s="4"/>
      <c r="L1350" s="4"/>
      <c r="M1350" s="4"/>
      <c r="N1350" s="4"/>
      <c r="O1350" s="4"/>
      <c r="P1350" s="4"/>
      <c r="Q1350" s="4"/>
      <c r="R1350" s="4"/>
      <c r="S1350" s="4"/>
      <c r="T1350" s="4"/>
      <c r="U1350" s="4"/>
      <c r="V1350" s="4"/>
      <c r="W1350" s="4"/>
      <c r="X1350" s="4"/>
      <c r="Y1350" s="4"/>
      <c r="Z1350" s="4"/>
      <c r="AA1350" s="4"/>
      <c r="AB1350" s="4"/>
      <c r="AC1350" s="4"/>
      <c r="AD1350" s="4"/>
      <c r="AE1350" s="4"/>
      <c r="AF1350" s="4"/>
      <c r="AG1350" s="4"/>
    </row>
    <row r="1351" spans="1:33" x14ac:dyDescent="0.2">
      <c r="B1351" s="48"/>
      <c r="C1351" s="57" t="s">
        <v>932</v>
      </c>
      <c r="D1351" s="44"/>
      <c r="E1351" s="90" t="s">
        <v>1036</v>
      </c>
      <c r="F1351" s="23" t="str">
        <f>IF(H1351=-0.33,IF(H1349=H$1,H1349,""),"")</f>
        <v/>
      </c>
      <c r="G1351" s="26"/>
      <c r="H1351" s="24">
        <f t="shared" ref="H1351" si="462">IF(H1350=1,IF(H1349=H$2,1,-0.33),0)</f>
        <v>0</v>
      </c>
      <c r="I1351" s="4"/>
      <c r="J1351" s="4"/>
      <c r="K1351" s="4"/>
      <c r="L1351" s="4"/>
      <c r="M1351" s="4"/>
      <c r="N1351" s="4"/>
      <c r="O1351" s="4"/>
      <c r="P1351" s="4"/>
      <c r="Q1351" s="4"/>
      <c r="R1351" s="4"/>
      <c r="S1351" s="4"/>
      <c r="T1351" s="4"/>
      <c r="U1351" s="4"/>
      <c r="V1351" s="4"/>
      <c r="W1351" s="4"/>
      <c r="X1351" s="4"/>
      <c r="Y1351" s="4"/>
      <c r="Z1351" s="4"/>
      <c r="AA1351" s="4"/>
      <c r="AB1351" s="4"/>
      <c r="AC1351" s="4"/>
      <c r="AD1351" s="4"/>
      <c r="AE1351" s="4"/>
      <c r="AF1351" s="4"/>
      <c r="AG1351" s="4"/>
    </row>
    <row r="1352" spans="1:33" x14ac:dyDescent="0.2">
      <c r="B1352" s="48"/>
      <c r="C1352" s="57" t="s">
        <v>933</v>
      </c>
      <c r="D1352" s="44"/>
      <c r="E1352" s="90" t="s">
        <v>1037</v>
      </c>
      <c r="F1352" s="28"/>
      <c r="G1352" s="26"/>
      <c r="H1352" s="24"/>
      <c r="I1352" s="4"/>
      <c r="J1352" s="4"/>
      <c r="K1352" s="4"/>
      <c r="L1352" s="4"/>
      <c r="M1352" s="4"/>
      <c r="N1352" s="4"/>
      <c r="O1352" s="4"/>
      <c r="P1352" s="4"/>
      <c r="Q1352" s="4"/>
      <c r="R1352" s="4"/>
      <c r="S1352" s="4"/>
      <c r="T1352" s="4"/>
      <c r="U1352" s="4"/>
      <c r="V1352" s="4"/>
      <c r="W1352" s="4"/>
      <c r="X1352" s="4"/>
      <c r="Y1352" s="4"/>
      <c r="Z1352" s="4"/>
      <c r="AA1352" s="4"/>
      <c r="AB1352" s="4"/>
      <c r="AC1352" s="4"/>
      <c r="AD1352" s="4"/>
      <c r="AE1352" s="4"/>
      <c r="AF1352" s="4"/>
      <c r="AG1352" s="4"/>
    </row>
    <row r="1353" spans="1:33" x14ac:dyDescent="0.2">
      <c r="B1353" s="48"/>
      <c r="C1353" s="8"/>
      <c r="D1353" s="44"/>
      <c r="E1353" s="90" t="s">
        <v>1038</v>
      </c>
      <c r="F1353" s="28"/>
      <c r="G1353" s="26"/>
      <c r="H1353" s="24"/>
      <c r="I1353" s="4"/>
      <c r="J1353" s="4"/>
      <c r="K1353" s="4"/>
      <c r="L1353" s="4"/>
      <c r="M1353" s="4"/>
      <c r="N1353" s="4"/>
      <c r="O1353" s="4"/>
      <c r="P1353" s="4"/>
      <c r="Q1353" s="4"/>
      <c r="R1353" s="4"/>
      <c r="S1353" s="4"/>
      <c r="T1353" s="4"/>
      <c r="U1353" s="4"/>
      <c r="V1353" s="4"/>
      <c r="W1353" s="4"/>
      <c r="X1353" s="4"/>
      <c r="Y1353" s="4"/>
      <c r="Z1353" s="4"/>
      <c r="AA1353" s="4"/>
      <c r="AB1353" s="4"/>
      <c r="AC1353" s="4"/>
      <c r="AD1353" s="4"/>
      <c r="AE1353" s="4"/>
      <c r="AF1353" s="4"/>
      <c r="AG1353" s="4"/>
    </row>
    <row r="1354" spans="1:33" s="17" customFormat="1" x14ac:dyDescent="0.2">
      <c r="A1354" s="4"/>
      <c r="B1354" s="49" t="s">
        <v>934</v>
      </c>
      <c r="C1354" s="13"/>
      <c r="D1354" s="45"/>
      <c r="E1354" s="85"/>
      <c r="F1354" s="30"/>
      <c r="G1354" s="29"/>
      <c r="H1354" s="15"/>
    </row>
    <row r="1355" spans="1:33" x14ac:dyDescent="0.2">
      <c r="B1355" s="48"/>
      <c r="C1355" s="56" t="s">
        <v>935</v>
      </c>
      <c r="D1355" s="44"/>
      <c r="E1355" s="90" t="s">
        <v>1034</v>
      </c>
      <c r="F1355" s="27"/>
      <c r="G1355" s="26"/>
      <c r="H1355" s="21" t="b">
        <f>IF(D1355="x",H$2,H$1)</f>
        <v>0</v>
      </c>
      <c r="I1355" s="4"/>
      <c r="J1355" s="4"/>
      <c r="K1355" s="4"/>
      <c r="L1355" s="4"/>
      <c r="M1355" s="4"/>
      <c r="N1355" s="4"/>
      <c r="O1355" s="4"/>
      <c r="P1355" s="4"/>
      <c r="Q1355" s="4"/>
      <c r="R1355" s="4"/>
      <c r="S1355" s="4"/>
      <c r="T1355" s="4"/>
      <c r="U1355" s="4"/>
      <c r="V1355" s="4"/>
      <c r="W1355" s="4"/>
      <c r="X1355" s="4"/>
      <c r="Y1355" s="4"/>
      <c r="Z1355" s="4"/>
      <c r="AA1355" s="4"/>
      <c r="AB1355" s="4"/>
      <c r="AC1355" s="4"/>
      <c r="AD1355" s="4"/>
      <c r="AE1355" s="4"/>
      <c r="AF1355" s="4"/>
      <c r="AG1355" s="4"/>
    </row>
    <row r="1356" spans="1:33" x14ac:dyDescent="0.2">
      <c r="B1356" s="52"/>
      <c r="C1356" s="57" t="s">
        <v>936</v>
      </c>
      <c r="D1356" s="44"/>
      <c r="E1356" s="90" t="s">
        <v>1035</v>
      </c>
      <c r="F1356" s="22" t="str">
        <f>IF(H1357=1,IF(H1355=H$2,H1355,""),"")</f>
        <v/>
      </c>
      <c r="G1356" s="26"/>
      <c r="H1356" s="21" t="str">
        <f t="shared" ref="H1356" si="463">IF(E$1372="comprobar",COUNTIF(D1355:D1359,"x"),"")</f>
        <v/>
      </c>
      <c r="I1356" s="4"/>
      <c r="J1356" s="4"/>
      <c r="K1356" s="4"/>
      <c r="L1356" s="4"/>
      <c r="M1356" s="4"/>
      <c r="N1356" s="4"/>
      <c r="O1356" s="4"/>
      <c r="P1356" s="4"/>
      <c r="Q1356" s="4"/>
      <c r="R1356" s="4"/>
      <c r="S1356" s="4"/>
      <c r="T1356" s="4"/>
      <c r="U1356" s="4"/>
      <c r="V1356" s="4"/>
      <c r="W1356" s="4"/>
      <c r="X1356" s="4"/>
      <c r="Y1356" s="4"/>
      <c r="Z1356" s="4"/>
      <c r="AA1356" s="4"/>
      <c r="AB1356" s="4"/>
      <c r="AC1356" s="4"/>
      <c r="AD1356" s="4"/>
      <c r="AE1356" s="4"/>
      <c r="AF1356" s="4"/>
      <c r="AG1356" s="4"/>
    </row>
    <row r="1357" spans="1:33" x14ac:dyDescent="0.2">
      <c r="B1357" s="48"/>
      <c r="C1357" s="61" t="s">
        <v>937</v>
      </c>
      <c r="D1357" s="44"/>
      <c r="E1357" s="90" t="s">
        <v>1036</v>
      </c>
      <c r="F1357" s="23" t="str">
        <f>IF(H1357=-0.33,IF(H1355=H$1,H1355,""),"")</f>
        <v/>
      </c>
      <c r="G1357" s="26"/>
      <c r="H1357" s="24">
        <f t="shared" ref="H1357" si="464">IF(H1356=1,IF(H1355=H$2,1,-0.33),0)</f>
        <v>0</v>
      </c>
      <c r="I1357" s="4"/>
      <c r="J1357" s="4"/>
      <c r="K1357" s="4"/>
      <c r="L1357" s="4"/>
      <c r="M1357" s="4"/>
      <c r="N1357" s="4"/>
      <c r="O1357" s="4"/>
      <c r="P1357" s="4"/>
      <c r="Q1357" s="4"/>
      <c r="R1357" s="4"/>
      <c r="S1357" s="4"/>
      <c r="T1357" s="4"/>
      <c r="U1357" s="4"/>
      <c r="V1357" s="4"/>
      <c r="W1357" s="4"/>
      <c r="X1357" s="4"/>
      <c r="Y1357" s="4"/>
      <c r="Z1357" s="4"/>
      <c r="AA1357" s="4"/>
      <c r="AB1357" s="4"/>
      <c r="AC1357" s="4"/>
      <c r="AD1357" s="4"/>
      <c r="AE1357" s="4"/>
      <c r="AF1357" s="4"/>
      <c r="AG1357" s="4"/>
    </row>
    <row r="1358" spans="1:33" s="4" customFormat="1" x14ac:dyDescent="0.2">
      <c r="B1358" s="48"/>
      <c r="C1358" s="57" t="s">
        <v>622</v>
      </c>
      <c r="D1358" s="44"/>
      <c r="E1358" s="90" t="s">
        <v>1037</v>
      </c>
      <c r="F1358" s="28"/>
      <c r="G1358" s="55"/>
      <c r="H1358" s="24"/>
    </row>
    <row r="1359" spans="1:33" x14ac:dyDescent="0.2">
      <c r="B1359" s="48"/>
      <c r="C1359" s="8"/>
      <c r="D1359" s="44"/>
      <c r="E1359" s="90" t="s">
        <v>1038</v>
      </c>
      <c r="F1359" s="28"/>
      <c r="G1359" s="26"/>
      <c r="H1359" s="24"/>
      <c r="I1359" s="4"/>
      <c r="J1359" s="4"/>
      <c r="K1359" s="4"/>
      <c r="L1359" s="4"/>
      <c r="M1359" s="4"/>
      <c r="N1359" s="4"/>
      <c r="O1359" s="4"/>
      <c r="P1359" s="4"/>
      <c r="Q1359" s="4"/>
      <c r="R1359" s="4"/>
      <c r="S1359" s="4"/>
      <c r="T1359" s="4"/>
      <c r="U1359" s="4"/>
      <c r="V1359" s="4"/>
      <c r="W1359" s="4"/>
      <c r="X1359" s="4"/>
      <c r="Y1359" s="4"/>
      <c r="Z1359" s="4"/>
      <c r="AA1359" s="4"/>
      <c r="AB1359" s="4"/>
      <c r="AC1359" s="4"/>
      <c r="AD1359" s="4"/>
      <c r="AE1359" s="4"/>
      <c r="AF1359" s="4"/>
      <c r="AG1359" s="4"/>
    </row>
    <row r="1360" spans="1:33" s="17" customFormat="1" x14ac:dyDescent="0.2">
      <c r="A1360" s="4"/>
      <c r="B1360" s="49" t="s">
        <v>938</v>
      </c>
      <c r="C1360" s="36"/>
      <c r="D1360" s="45"/>
      <c r="E1360" s="85"/>
      <c r="F1360" s="30"/>
      <c r="G1360" s="29"/>
      <c r="H1360" s="15"/>
    </row>
    <row r="1361" spans="2:33" x14ac:dyDescent="0.2">
      <c r="B1361" s="48"/>
      <c r="C1361" s="60" t="s">
        <v>939</v>
      </c>
      <c r="D1361" s="44"/>
      <c r="E1361" s="90" t="s">
        <v>1034</v>
      </c>
      <c r="F1361" s="27"/>
      <c r="G1361" s="26"/>
      <c r="H1361" s="21" t="b">
        <f>IF(D1361="x",H$2,H$1)</f>
        <v>0</v>
      </c>
      <c r="I1361" s="4"/>
      <c r="J1361" s="4"/>
      <c r="K1361" s="4"/>
      <c r="L1361" s="4"/>
      <c r="M1361" s="4"/>
      <c r="N1361" s="4"/>
      <c r="O1361" s="4"/>
      <c r="P1361" s="4"/>
      <c r="Q1361" s="4"/>
      <c r="R1361" s="4"/>
      <c r="S1361" s="4"/>
      <c r="T1361" s="4"/>
      <c r="U1361" s="4"/>
      <c r="V1361" s="4"/>
      <c r="W1361" s="4"/>
      <c r="X1361" s="4"/>
      <c r="Y1361" s="4"/>
      <c r="Z1361" s="4"/>
      <c r="AA1361" s="4"/>
      <c r="AB1361" s="4"/>
      <c r="AC1361" s="4"/>
      <c r="AD1361" s="4"/>
      <c r="AE1361" s="4"/>
      <c r="AF1361" s="4"/>
      <c r="AG1361" s="4"/>
    </row>
    <row r="1362" spans="2:33" x14ac:dyDescent="0.2">
      <c r="B1362" s="48"/>
      <c r="C1362" s="57" t="s">
        <v>940</v>
      </c>
      <c r="D1362" s="44"/>
      <c r="E1362" s="90" t="s">
        <v>1035</v>
      </c>
      <c r="F1362" s="22" t="str">
        <f>IF(H1363=1,IF(H1361=H$2,H1361,""),"")</f>
        <v/>
      </c>
      <c r="G1362" s="26"/>
      <c r="H1362" s="21" t="str">
        <f t="shared" ref="H1362" si="465">IF(E$1372="comprobar",COUNTIF(D1361:D1365,"x"),"")</f>
        <v/>
      </c>
      <c r="I1362" s="4"/>
      <c r="J1362" s="4"/>
      <c r="K1362" s="4"/>
      <c r="L1362" s="4"/>
      <c r="M1362" s="4"/>
      <c r="N1362" s="4"/>
      <c r="O1362" s="4"/>
      <c r="P1362" s="4"/>
      <c r="Q1362" s="4"/>
      <c r="R1362" s="4"/>
      <c r="S1362" s="4"/>
      <c r="T1362" s="4"/>
      <c r="U1362" s="4"/>
      <c r="V1362" s="4"/>
      <c r="W1362" s="4"/>
      <c r="X1362" s="4"/>
      <c r="Y1362" s="4"/>
      <c r="Z1362" s="4"/>
      <c r="AA1362" s="4"/>
      <c r="AB1362" s="4"/>
      <c r="AC1362" s="4"/>
      <c r="AD1362" s="4"/>
      <c r="AE1362" s="4"/>
      <c r="AF1362" s="4"/>
      <c r="AG1362" s="4"/>
    </row>
    <row r="1363" spans="2:33" ht="32" x14ac:dyDescent="0.2">
      <c r="B1363" s="52"/>
      <c r="C1363" s="61" t="s">
        <v>941</v>
      </c>
      <c r="D1363" s="44"/>
      <c r="E1363" s="90" t="s">
        <v>1036</v>
      </c>
      <c r="F1363" s="23" t="str">
        <f>IF(H1363=-0.33,IF(H1361=H$1,H1361,""),"")</f>
        <v/>
      </c>
      <c r="G1363" s="26"/>
      <c r="H1363" s="24">
        <f t="shared" ref="H1363" si="466">IF(H1362=1,IF(H1361=H$2,1,-0.33),0)</f>
        <v>0</v>
      </c>
      <c r="I1363" s="4"/>
      <c r="J1363" s="4"/>
      <c r="K1363" s="4"/>
      <c r="L1363" s="4"/>
      <c r="M1363" s="4"/>
      <c r="N1363" s="4"/>
      <c r="O1363" s="4"/>
      <c r="P1363" s="4"/>
      <c r="Q1363" s="4"/>
      <c r="R1363" s="4"/>
      <c r="S1363" s="4"/>
      <c r="T1363" s="4"/>
      <c r="U1363" s="4"/>
      <c r="V1363" s="4"/>
      <c r="W1363" s="4"/>
      <c r="X1363" s="4"/>
      <c r="Y1363" s="4"/>
      <c r="Z1363" s="4"/>
      <c r="AA1363" s="4"/>
      <c r="AB1363" s="4"/>
      <c r="AC1363" s="4"/>
      <c r="AD1363" s="4"/>
      <c r="AE1363" s="4"/>
      <c r="AF1363" s="4"/>
      <c r="AG1363" s="4"/>
    </row>
    <row r="1364" spans="2:33" x14ac:dyDescent="0.2">
      <c r="B1364" s="48"/>
      <c r="C1364" s="57" t="s">
        <v>942</v>
      </c>
      <c r="D1364" s="44"/>
      <c r="E1364" s="90" t="s">
        <v>1037</v>
      </c>
      <c r="F1364" s="28"/>
      <c r="G1364" s="26"/>
      <c r="H1364" s="24"/>
      <c r="I1364" s="4"/>
      <c r="J1364" s="4"/>
      <c r="K1364" s="4"/>
      <c r="L1364" s="4"/>
      <c r="M1364" s="4"/>
      <c r="N1364" s="4"/>
      <c r="O1364" s="4"/>
      <c r="P1364" s="4"/>
      <c r="Q1364" s="4"/>
      <c r="R1364" s="4"/>
      <c r="S1364" s="4"/>
      <c r="T1364" s="4"/>
      <c r="U1364" s="4"/>
      <c r="V1364" s="4"/>
      <c r="W1364" s="4"/>
      <c r="X1364" s="4"/>
      <c r="Y1364" s="4"/>
      <c r="Z1364" s="4"/>
      <c r="AA1364" s="4"/>
      <c r="AB1364" s="4"/>
      <c r="AC1364" s="4"/>
      <c r="AD1364" s="4"/>
      <c r="AE1364" s="4"/>
      <c r="AF1364" s="4"/>
      <c r="AG1364" s="4"/>
    </row>
    <row r="1365" spans="2:33" x14ac:dyDescent="0.2">
      <c r="B1365" s="48"/>
      <c r="C1365" s="8"/>
      <c r="D1365" s="44"/>
      <c r="E1365" s="90" t="s">
        <v>1038</v>
      </c>
      <c r="F1365" s="28"/>
      <c r="G1365" s="26"/>
      <c r="H1365" s="24"/>
      <c r="I1365" s="4"/>
      <c r="J1365" s="4"/>
      <c r="K1365" s="4"/>
      <c r="L1365" s="4"/>
      <c r="M1365" s="4"/>
      <c r="N1365" s="4"/>
      <c r="O1365" s="4"/>
      <c r="P1365" s="4"/>
      <c r="Q1365" s="4"/>
      <c r="R1365" s="4"/>
      <c r="S1365" s="4"/>
      <c r="T1365" s="4"/>
      <c r="U1365" s="4"/>
      <c r="V1365" s="4"/>
      <c r="W1365" s="4"/>
      <c r="X1365" s="4"/>
      <c r="Y1365" s="4"/>
      <c r="Z1365" s="4"/>
      <c r="AA1365" s="4"/>
      <c r="AB1365" s="4"/>
      <c r="AC1365" s="4"/>
      <c r="AD1365" s="4"/>
      <c r="AE1365" s="4"/>
      <c r="AF1365" s="4"/>
      <c r="AG1365" s="4"/>
    </row>
    <row r="1366" spans="2:33" x14ac:dyDescent="0.2">
      <c r="B1366" s="49" t="s">
        <v>943</v>
      </c>
      <c r="C1366" s="13"/>
      <c r="D1366" s="45"/>
      <c r="E1366" s="85"/>
      <c r="F1366" s="30"/>
      <c r="G1366" s="29"/>
      <c r="H1366" s="15"/>
      <c r="I1366" s="4"/>
      <c r="J1366" s="4"/>
      <c r="K1366" s="4"/>
      <c r="L1366" s="4"/>
      <c r="M1366" s="4"/>
      <c r="N1366" s="4"/>
      <c r="O1366" s="4"/>
      <c r="P1366" s="4"/>
      <c r="Q1366" s="4"/>
      <c r="R1366" s="4"/>
      <c r="S1366" s="4"/>
      <c r="T1366" s="4"/>
      <c r="U1366" s="4"/>
      <c r="V1366" s="4"/>
      <c r="W1366" s="4"/>
      <c r="X1366" s="4"/>
      <c r="Y1366" s="4"/>
      <c r="Z1366" s="4"/>
      <c r="AA1366" s="4"/>
      <c r="AB1366" s="4"/>
      <c r="AC1366" s="4"/>
      <c r="AD1366" s="4"/>
      <c r="AE1366" s="4"/>
      <c r="AF1366" s="4"/>
      <c r="AG1366" s="4"/>
    </row>
    <row r="1367" spans="2:33" x14ac:dyDescent="0.2">
      <c r="B1367" s="52"/>
      <c r="C1367" s="56" t="s">
        <v>944</v>
      </c>
      <c r="D1367" s="44"/>
      <c r="E1367" s="90" t="s">
        <v>1034</v>
      </c>
      <c r="F1367" s="28"/>
      <c r="G1367" s="55"/>
      <c r="H1367" s="21" t="b">
        <f>IF(D1370="x",H$2,H$1)</f>
        <v>0</v>
      </c>
      <c r="I1367" s="4"/>
      <c r="J1367" s="4"/>
      <c r="K1367" s="4"/>
      <c r="L1367" s="4"/>
      <c r="M1367" s="4"/>
      <c r="N1367" s="4"/>
      <c r="O1367" s="4"/>
      <c r="P1367" s="4"/>
      <c r="Q1367" s="4"/>
      <c r="R1367" s="4"/>
      <c r="S1367" s="4"/>
      <c r="T1367" s="4"/>
      <c r="U1367" s="4"/>
      <c r="V1367" s="4"/>
      <c r="W1367" s="4"/>
      <c r="X1367" s="4"/>
      <c r="Y1367" s="4"/>
      <c r="Z1367" s="4"/>
      <c r="AA1367" s="4"/>
      <c r="AB1367" s="4"/>
      <c r="AC1367" s="4"/>
      <c r="AD1367" s="4"/>
      <c r="AE1367" s="4"/>
      <c r="AF1367" s="4"/>
      <c r="AG1367" s="4"/>
    </row>
    <row r="1368" spans="2:33" x14ac:dyDescent="0.2">
      <c r="B1368" s="48"/>
      <c r="C1368" s="61" t="s">
        <v>945</v>
      </c>
      <c r="D1368" s="44"/>
      <c r="E1368" s="90" t="s">
        <v>1035</v>
      </c>
      <c r="F1368" s="22" t="str">
        <f>IF(H1369=1,IF(H1367=H$2,H1367,""),"")</f>
        <v/>
      </c>
      <c r="G1368" s="26"/>
      <c r="H1368" s="21" t="str">
        <f t="shared" ref="H1368" si="467">IF(E$1372="comprobar",COUNTIF(D1367:D1371,"x"),"")</f>
        <v/>
      </c>
      <c r="I1368" s="4"/>
      <c r="J1368" s="4"/>
      <c r="K1368" s="4"/>
      <c r="L1368" s="4"/>
      <c r="M1368" s="4"/>
      <c r="N1368" s="4"/>
      <c r="O1368" s="4"/>
      <c r="P1368" s="4"/>
      <c r="Q1368" s="4"/>
      <c r="R1368" s="4"/>
      <c r="S1368" s="4"/>
      <c r="T1368" s="4"/>
      <c r="U1368" s="4"/>
      <c r="V1368" s="4"/>
      <c r="W1368" s="4"/>
      <c r="X1368" s="4"/>
      <c r="Y1368" s="4"/>
      <c r="Z1368" s="4"/>
      <c r="AA1368" s="4"/>
      <c r="AB1368" s="4"/>
      <c r="AC1368" s="4"/>
      <c r="AD1368" s="4"/>
      <c r="AE1368" s="4"/>
      <c r="AF1368" s="4"/>
      <c r="AG1368" s="4"/>
    </row>
    <row r="1369" spans="2:33" x14ac:dyDescent="0.2">
      <c r="B1369" s="48"/>
      <c r="C1369" s="57" t="s">
        <v>946</v>
      </c>
      <c r="D1369" s="44"/>
      <c r="E1369" s="90" t="s">
        <v>1036</v>
      </c>
      <c r="F1369" s="23" t="str">
        <f>IF(H1369=-0.33,IF(H1367=H$1,H1367,""),"")</f>
        <v/>
      </c>
      <c r="G1369" s="26"/>
      <c r="H1369" s="24">
        <f t="shared" ref="H1369" si="468">IF(H1368=1,IF(H1367=H$2,1,-0.33),0)</f>
        <v>0</v>
      </c>
      <c r="I1369" s="4"/>
      <c r="J1369" s="4"/>
      <c r="K1369" s="4"/>
      <c r="L1369" s="4"/>
      <c r="M1369" s="4"/>
      <c r="N1369" s="4"/>
      <c r="O1369" s="4"/>
      <c r="P1369" s="4"/>
      <c r="Q1369" s="4"/>
      <c r="R1369" s="4"/>
      <c r="S1369" s="4"/>
      <c r="T1369" s="4"/>
      <c r="U1369" s="4"/>
      <c r="V1369" s="4"/>
      <c r="W1369" s="4"/>
      <c r="X1369" s="4"/>
      <c r="Y1369" s="4"/>
      <c r="Z1369" s="4"/>
      <c r="AA1369" s="4"/>
      <c r="AB1369" s="4"/>
      <c r="AC1369" s="4"/>
      <c r="AD1369" s="4"/>
      <c r="AE1369" s="4"/>
      <c r="AF1369" s="4"/>
      <c r="AG1369" s="4"/>
    </row>
    <row r="1370" spans="2:33" x14ac:dyDescent="0.2">
      <c r="B1370" s="48"/>
      <c r="C1370" s="57" t="s">
        <v>947</v>
      </c>
      <c r="D1370" s="44"/>
      <c r="E1370" s="90" t="s">
        <v>1037</v>
      </c>
      <c r="F1370" s="28"/>
      <c r="G1370" s="26"/>
      <c r="H1370" s="24"/>
      <c r="I1370" s="4"/>
      <c r="J1370" s="4"/>
      <c r="K1370" s="4"/>
      <c r="L1370" s="4"/>
      <c r="M1370" s="4"/>
      <c r="N1370" s="4"/>
      <c r="O1370" s="4"/>
      <c r="P1370" s="4"/>
      <c r="Q1370" s="4"/>
      <c r="R1370" s="4"/>
      <c r="S1370" s="4"/>
      <c r="T1370" s="4"/>
      <c r="U1370" s="4"/>
      <c r="V1370" s="4"/>
      <c r="W1370" s="4"/>
      <c r="X1370" s="4"/>
      <c r="Y1370" s="4"/>
      <c r="Z1370" s="4"/>
      <c r="AA1370" s="4"/>
      <c r="AB1370" s="4"/>
      <c r="AC1370" s="4"/>
      <c r="AD1370" s="4"/>
      <c r="AE1370" s="4"/>
      <c r="AF1370" s="4"/>
      <c r="AG1370" s="4"/>
    </row>
    <row r="1371" spans="2:33" x14ac:dyDescent="0.2">
      <c r="B1371" s="48"/>
      <c r="C1371" s="8"/>
      <c r="D1371" s="44"/>
      <c r="E1371" s="90" t="s">
        <v>1038</v>
      </c>
      <c r="F1371" s="20"/>
      <c r="G1371" s="19"/>
      <c r="H1371" s="24"/>
      <c r="I1371" s="4"/>
      <c r="J1371" s="4"/>
      <c r="K1371" s="4"/>
      <c r="L1371" s="4"/>
      <c r="M1371" s="4"/>
      <c r="N1371" s="4"/>
      <c r="O1371" s="4"/>
      <c r="P1371" s="4"/>
      <c r="Q1371" s="4"/>
      <c r="R1371" s="4"/>
      <c r="S1371" s="4"/>
      <c r="T1371" s="4"/>
      <c r="U1371" s="4"/>
      <c r="V1371" s="4"/>
      <c r="W1371" s="4"/>
      <c r="X1371" s="4"/>
      <c r="Y1371" s="4"/>
      <c r="Z1371" s="4"/>
      <c r="AA1371" s="4"/>
      <c r="AB1371" s="4"/>
      <c r="AC1371" s="4"/>
      <c r="AD1371" s="4"/>
      <c r="AE1371" s="4"/>
      <c r="AF1371" s="4"/>
      <c r="AG1371" s="4"/>
    </row>
    <row r="1372" spans="2:33" x14ac:dyDescent="0.2">
      <c r="B1372" s="52"/>
      <c r="C1372" s="47"/>
      <c r="D1372" s="73"/>
      <c r="E1372" s="87"/>
      <c r="F1372" s="20"/>
      <c r="G1372" s="19"/>
      <c r="H1372" s="19"/>
      <c r="I1372" s="4"/>
      <c r="J1372" s="4"/>
      <c r="K1372" s="4"/>
      <c r="L1372" s="4"/>
      <c r="M1372" s="4"/>
      <c r="N1372" s="4"/>
      <c r="O1372" s="4"/>
      <c r="P1372" s="4"/>
      <c r="Q1372" s="4"/>
      <c r="R1372" s="4"/>
      <c r="S1372" s="4"/>
      <c r="T1372" s="4"/>
      <c r="U1372" s="4"/>
      <c r="V1372" s="4"/>
      <c r="W1372" s="4"/>
      <c r="X1372" s="4"/>
      <c r="Y1372" s="4"/>
      <c r="Z1372" s="4"/>
      <c r="AA1372" s="4"/>
      <c r="AB1372" s="4"/>
      <c r="AC1372" s="4"/>
      <c r="AD1372" s="4"/>
      <c r="AE1372" s="4"/>
      <c r="AF1372" s="4"/>
      <c r="AG1372" s="4"/>
    </row>
    <row r="1373" spans="2:33" x14ac:dyDescent="0.2">
      <c r="B1373" s="52"/>
      <c r="C1373" s="18"/>
      <c r="D1373" s="73"/>
      <c r="E1373" s="93"/>
      <c r="F1373" s="31" t="s">
        <v>93</v>
      </c>
      <c r="G1373" s="19" t="s">
        <v>91</v>
      </c>
      <c r="H1373" s="19" t="s">
        <v>92</v>
      </c>
      <c r="I1373" s="4"/>
      <c r="J1373" s="4"/>
      <c r="K1373" s="4"/>
      <c r="L1373" s="4"/>
      <c r="M1373" s="4"/>
      <c r="N1373" s="4"/>
      <c r="O1373" s="4"/>
      <c r="P1373" s="4"/>
      <c r="Q1373" s="4"/>
      <c r="R1373" s="4"/>
      <c r="S1373" s="4"/>
      <c r="T1373" s="4"/>
      <c r="U1373" s="4"/>
      <c r="V1373" s="4"/>
      <c r="W1373" s="4"/>
      <c r="X1373" s="4"/>
      <c r="Y1373" s="4"/>
      <c r="Z1373" s="4"/>
      <c r="AA1373" s="4"/>
      <c r="AB1373" s="4"/>
      <c r="AC1373" s="4"/>
      <c r="AD1373" s="4"/>
      <c r="AE1373" s="4"/>
      <c r="AF1373" s="4"/>
      <c r="AG1373" s="4"/>
    </row>
    <row r="1374" spans="2:33" ht="20" x14ac:dyDescent="0.2">
      <c r="B1374" s="52"/>
      <c r="C1374" s="18"/>
      <c r="D1374" s="69"/>
      <c r="E1374" s="84"/>
      <c r="F1374" s="32" t="str">
        <f>IF(E1372="comprobar",H1309+H1303+H1297+H1291+H1285+H1279+H1273+H1267+H1261+H1255+H1315+H1321+H1327+H1333+H1339+H1345+H1351+H1357+H1363+H1369,"")</f>
        <v/>
      </c>
      <c r="G1374" s="19">
        <f>20/2</f>
        <v>10</v>
      </c>
      <c r="H1374" s="19"/>
      <c r="I1374" s="4"/>
      <c r="J1374" s="4"/>
      <c r="K1374" s="4"/>
      <c r="L1374" s="4"/>
      <c r="M1374" s="4"/>
      <c r="N1374" s="4"/>
      <c r="O1374" s="4"/>
      <c r="P1374" s="4"/>
      <c r="Q1374" s="4"/>
      <c r="R1374" s="4"/>
      <c r="S1374" s="4"/>
      <c r="T1374" s="4"/>
      <c r="U1374" s="4"/>
      <c r="V1374" s="4"/>
      <c r="W1374" s="4"/>
      <c r="X1374" s="4"/>
      <c r="Y1374" s="4"/>
      <c r="Z1374" s="4"/>
      <c r="AA1374" s="4"/>
      <c r="AB1374" s="4"/>
      <c r="AC1374" s="4"/>
      <c r="AD1374" s="4"/>
      <c r="AE1374" s="4"/>
      <c r="AF1374" s="4"/>
      <c r="AG1374" s="4"/>
    </row>
    <row r="1375" spans="2:33" ht="17" thickBot="1" x14ac:dyDescent="0.25">
      <c r="B1375" s="53"/>
      <c r="C1375" s="33"/>
      <c r="D1375" s="34"/>
      <c r="E1375" s="88"/>
      <c r="F1375" s="35" t="str">
        <f>IF(F1374&gt;G1374,G1373,H1373)</f>
        <v>APROBADO</v>
      </c>
      <c r="G1375" s="19"/>
      <c r="H1375" s="19"/>
      <c r="I1375" s="4"/>
      <c r="J1375" s="4"/>
      <c r="K1375" s="4"/>
      <c r="L1375" s="4"/>
      <c r="M1375" s="4"/>
      <c r="N1375" s="4"/>
      <c r="O1375" s="4"/>
      <c r="P1375" s="4"/>
      <c r="Q1375" s="4"/>
      <c r="R1375" s="4"/>
      <c r="S1375" s="4"/>
      <c r="T1375" s="4"/>
      <c r="U1375" s="4"/>
      <c r="V1375" s="4"/>
      <c r="W1375" s="4"/>
      <c r="X1375" s="4"/>
      <c r="Y1375" s="4"/>
      <c r="Z1375" s="4"/>
      <c r="AA1375" s="4"/>
      <c r="AB1375" s="4"/>
      <c r="AC1375" s="4"/>
      <c r="AD1375" s="4"/>
      <c r="AE1375" s="4"/>
      <c r="AF1375" s="4"/>
      <c r="AG1375" s="4"/>
    </row>
    <row r="1376" spans="2:33" ht="29" x14ac:dyDescent="0.35">
      <c r="B1376" s="54" t="s">
        <v>0</v>
      </c>
      <c r="C1376" s="113" t="s">
        <v>948</v>
      </c>
      <c r="D1376" s="113"/>
      <c r="E1376" s="113"/>
      <c r="F1376" s="114"/>
      <c r="G1376" s="19"/>
      <c r="H1376" s="19"/>
      <c r="I1376" s="4"/>
      <c r="J1376" s="4"/>
      <c r="K1376" s="4"/>
      <c r="L1376" s="4"/>
      <c r="M1376" s="4"/>
      <c r="N1376" s="4"/>
      <c r="O1376" s="4"/>
      <c r="P1376" s="4"/>
      <c r="Q1376" s="4"/>
      <c r="R1376" s="4"/>
      <c r="S1376" s="4"/>
      <c r="T1376" s="4"/>
      <c r="U1376" s="4"/>
      <c r="V1376" s="4"/>
      <c r="W1376" s="4"/>
      <c r="X1376" s="4"/>
      <c r="Y1376" s="4"/>
      <c r="Z1376" s="4"/>
      <c r="AA1376" s="4"/>
      <c r="AB1376" s="4"/>
      <c r="AC1376" s="4"/>
      <c r="AD1376" s="4"/>
      <c r="AE1376" s="4"/>
      <c r="AF1376" s="4"/>
      <c r="AG1376" s="4"/>
    </row>
    <row r="1377" spans="1:33" s="17" customFormat="1" x14ac:dyDescent="0.2">
      <c r="A1377" s="4"/>
      <c r="B1377" s="49" t="s">
        <v>949</v>
      </c>
      <c r="C1377" s="13"/>
      <c r="D1377" s="14"/>
      <c r="E1377" s="85"/>
      <c r="F1377" s="16"/>
      <c r="G1377" s="15"/>
      <c r="H1377" s="15"/>
    </row>
    <row r="1378" spans="1:33" x14ac:dyDescent="0.2">
      <c r="B1378" s="48"/>
      <c r="C1378" s="56" t="s">
        <v>1726</v>
      </c>
      <c r="D1378" s="44"/>
      <c r="E1378" s="90" t="s">
        <v>1034</v>
      </c>
      <c r="F1378" s="20"/>
      <c r="G1378" s="19"/>
      <c r="H1378" s="21" t="b">
        <f>IF(D1379="x",H$2,H$1)</f>
        <v>0</v>
      </c>
      <c r="I1378" s="4"/>
      <c r="J1378" s="4"/>
      <c r="K1378" s="4"/>
      <c r="L1378" s="4"/>
      <c r="M1378" s="4"/>
      <c r="N1378" s="4"/>
      <c r="O1378" s="4"/>
      <c r="P1378" s="4"/>
      <c r="Q1378" s="4"/>
      <c r="R1378" s="4"/>
      <c r="S1378" s="4"/>
      <c r="T1378" s="4"/>
      <c r="U1378" s="4"/>
      <c r="V1378" s="4"/>
      <c r="W1378" s="4"/>
      <c r="X1378" s="4"/>
      <c r="Y1378" s="4"/>
      <c r="Z1378" s="4"/>
      <c r="AA1378" s="4"/>
      <c r="AB1378" s="4"/>
      <c r="AC1378" s="4"/>
      <c r="AD1378" s="4"/>
      <c r="AE1378" s="4"/>
      <c r="AF1378" s="4"/>
      <c r="AG1378" s="4"/>
    </row>
    <row r="1379" spans="1:33" x14ac:dyDescent="0.2">
      <c r="B1379" s="48"/>
      <c r="C1379" s="57" t="s">
        <v>1727</v>
      </c>
      <c r="D1379" s="44"/>
      <c r="E1379" s="90" t="s">
        <v>1035</v>
      </c>
      <c r="F1379" s="22" t="str">
        <f>IF(H1380=1,IF(H1378=H$2,H1378,""),"")</f>
        <v/>
      </c>
      <c r="G1379" s="19"/>
      <c r="H1379" s="21" t="str">
        <f>IF(E$1497="comprobar",COUNTIF(D1378:D1382,"x"),"")</f>
        <v/>
      </c>
      <c r="I1379" s="4"/>
      <c r="J1379" s="4"/>
      <c r="K1379" s="4"/>
      <c r="L1379" s="4"/>
      <c r="M1379" s="4"/>
      <c r="N1379" s="4"/>
      <c r="O1379" s="4"/>
      <c r="P1379" s="4"/>
      <c r="Q1379" s="4"/>
      <c r="R1379" s="4"/>
      <c r="S1379" s="4"/>
      <c r="T1379" s="4"/>
      <c r="U1379" s="4"/>
      <c r="V1379" s="4"/>
      <c r="W1379" s="4"/>
      <c r="X1379" s="4"/>
      <c r="Y1379" s="4"/>
      <c r="Z1379" s="4"/>
      <c r="AA1379" s="4"/>
      <c r="AB1379" s="4"/>
      <c r="AC1379" s="4"/>
      <c r="AD1379" s="4"/>
      <c r="AE1379" s="4"/>
      <c r="AF1379" s="4"/>
      <c r="AG1379" s="4"/>
    </row>
    <row r="1380" spans="1:33" x14ac:dyDescent="0.2">
      <c r="B1380" s="48"/>
      <c r="C1380" s="57" t="s">
        <v>1728</v>
      </c>
      <c r="D1380" s="44"/>
      <c r="E1380" s="90" t="s">
        <v>1036</v>
      </c>
      <c r="F1380" s="23" t="str">
        <f>IF(H1380=-0.33,IF(H1378=H$1,H1378,""),"")</f>
        <v/>
      </c>
      <c r="G1380" s="19"/>
      <c r="H1380" s="24">
        <f>IF(H1379=1,IF(H1378=H$2,1,-0.33),0)</f>
        <v>0</v>
      </c>
      <c r="I1380" s="4"/>
      <c r="J1380" s="4"/>
      <c r="K1380" s="4"/>
      <c r="L1380" s="4"/>
      <c r="M1380" s="4"/>
      <c r="N1380" s="4"/>
      <c r="O1380" s="4"/>
      <c r="P1380" s="4"/>
      <c r="Q1380" s="4"/>
      <c r="R1380" s="4"/>
      <c r="S1380" s="4"/>
      <c r="T1380" s="4"/>
      <c r="U1380" s="4"/>
      <c r="V1380" s="4"/>
      <c r="W1380" s="4"/>
      <c r="X1380" s="4"/>
      <c r="Y1380" s="4"/>
      <c r="Z1380" s="4"/>
      <c r="AA1380" s="4"/>
      <c r="AB1380" s="4"/>
      <c r="AC1380" s="4"/>
      <c r="AD1380" s="4"/>
      <c r="AE1380" s="4"/>
      <c r="AF1380" s="4"/>
      <c r="AG1380" s="4"/>
    </row>
    <row r="1381" spans="1:33" x14ac:dyDescent="0.2">
      <c r="B1381" s="48"/>
      <c r="C1381" s="57"/>
      <c r="D1381" s="44"/>
      <c r="E1381" s="90" t="s">
        <v>1037</v>
      </c>
      <c r="F1381" s="20"/>
      <c r="G1381" s="19"/>
      <c r="H1381" s="24"/>
      <c r="I1381" s="4"/>
      <c r="J1381" s="4"/>
      <c r="K1381" s="4"/>
      <c r="L1381" s="4"/>
      <c r="M1381" s="4"/>
      <c r="N1381" s="4"/>
      <c r="O1381" s="4"/>
      <c r="P1381" s="4"/>
      <c r="Q1381" s="4"/>
      <c r="R1381" s="4"/>
      <c r="S1381" s="4"/>
      <c r="T1381" s="4"/>
      <c r="U1381" s="4"/>
      <c r="V1381" s="4"/>
      <c r="W1381" s="4"/>
      <c r="X1381" s="4"/>
      <c r="Y1381" s="4"/>
      <c r="Z1381" s="4"/>
      <c r="AA1381" s="4"/>
      <c r="AB1381" s="4"/>
      <c r="AC1381" s="4"/>
      <c r="AD1381" s="4"/>
      <c r="AE1381" s="4"/>
      <c r="AF1381" s="4"/>
      <c r="AG1381" s="4"/>
    </row>
    <row r="1382" spans="1:33" x14ac:dyDescent="0.2">
      <c r="B1382" s="48"/>
      <c r="C1382" s="8"/>
      <c r="D1382" s="44"/>
      <c r="E1382" s="90" t="s">
        <v>1038</v>
      </c>
      <c r="F1382" s="20"/>
      <c r="G1382" s="19"/>
      <c r="H1382" s="24"/>
      <c r="I1382" s="4"/>
      <c r="J1382" s="4"/>
      <c r="K1382" s="4"/>
      <c r="L1382" s="4"/>
      <c r="M1382" s="4"/>
      <c r="N1382" s="4"/>
      <c r="O1382" s="4"/>
      <c r="P1382" s="4"/>
      <c r="Q1382" s="4"/>
      <c r="R1382" s="4"/>
      <c r="S1382" s="4"/>
      <c r="T1382" s="4"/>
      <c r="U1382" s="4"/>
      <c r="V1382" s="4"/>
      <c r="W1382" s="4"/>
      <c r="X1382" s="4"/>
      <c r="Y1382" s="4"/>
      <c r="Z1382" s="4"/>
      <c r="AA1382" s="4"/>
      <c r="AB1382" s="4"/>
      <c r="AC1382" s="4"/>
      <c r="AD1382" s="4"/>
      <c r="AE1382" s="4"/>
      <c r="AF1382" s="4"/>
      <c r="AG1382" s="4"/>
    </row>
    <row r="1383" spans="1:33" s="17" customFormat="1" x14ac:dyDescent="0.2">
      <c r="A1383" s="4"/>
      <c r="B1383" s="49" t="s">
        <v>1729</v>
      </c>
      <c r="C1383" s="13"/>
      <c r="D1383" s="45"/>
      <c r="E1383" s="85"/>
      <c r="F1383" s="16"/>
      <c r="G1383" s="15"/>
      <c r="H1383" s="15"/>
    </row>
    <row r="1384" spans="1:33" x14ac:dyDescent="0.2">
      <c r="B1384" s="48"/>
      <c r="C1384" s="56" t="s">
        <v>1730</v>
      </c>
      <c r="D1384" s="44"/>
      <c r="E1384" s="90" t="s">
        <v>1034</v>
      </c>
      <c r="F1384" s="20"/>
      <c r="G1384" s="19"/>
      <c r="H1384" s="21" t="b">
        <f>IF(D1386="x",H$2,H$1)</f>
        <v>0</v>
      </c>
      <c r="I1384" s="4"/>
      <c r="J1384" s="4"/>
      <c r="K1384" s="4"/>
      <c r="L1384" s="4"/>
      <c r="M1384" s="4"/>
      <c r="N1384" s="4"/>
      <c r="O1384" s="4"/>
      <c r="P1384" s="4"/>
      <c r="Q1384" s="4"/>
      <c r="R1384" s="4"/>
      <c r="S1384" s="4"/>
      <c r="T1384" s="4"/>
      <c r="U1384" s="4"/>
      <c r="V1384" s="4"/>
      <c r="W1384" s="4"/>
      <c r="X1384" s="4"/>
      <c r="Y1384" s="4"/>
      <c r="Z1384" s="4"/>
      <c r="AA1384" s="4"/>
      <c r="AB1384" s="4"/>
      <c r="AC1384" s="4"/>
      <c r="AD1384" s="4"/>
      <c r="AE1384" s="4"/>
      <c r="AF1384" s="4"/>
      <c r="AG1384" s="4"/>
    </row>
    <row r="1385" spans="1:33" x14ac:dyDescent="0.2">
      <c r="B1385" s="52"/>
      <c r="C1385" s="57" t="s">
        <v>1731</v>
      </c>
      <c r="D1385" s="44"/>
      <c r="E1385" s="90" t="s">
        <v>1035</v>
      </c>
      <c r="F1385" s="22" t="str">
        <f>IF(H1386=1,IF(H1384=H$2,H1384,""),"")</f>
        <v/>
      </c>
      <c r="G1385" s="19"/>
      <c r="H1385" s="21" t="str">
        <f t="shared" ref="H1385" si="469">IF(E$1497="comprobar",COUNTIF(D1384:D1388,"x"),"")</f>
        <v/>
      </c>
      <c r="I1385" s="4"/>
      <c r="J1385" s="4"/>
      <c r="K1385" s="4"/>
      <c r="L1385" s="4"/>
      <c r="M1385" s="4"/>
      <c r="N1385" s="4"/>
      <c r="O1385" s="4"/>
      <c r="P1385" s="4"/>
      <c r="Q1385" s="4"/>
      <c r="R1385" s="4"/>
      <c r="S1385" s="4"/>
      <c r="T1385" s="4"/>
      <c r="U1385" s="4"/>
      <c r="V1385" s="4"/>
      <c r="W1385" s="4"/>
      <c r="X1385" s="4"/>
      <c r="Y1385" s="4"/>
      <c r="Z1385" s="4"/>
      <c r="AA1385" s="4"/>
      <c r="AB1385" s="4"/>
      <c r="AC1385" s="4"/>
      <c r="AD1385" s="4"/>
      <c r="AE1385" s="4"/>
      <c r="AF1385" s="4"/>
      <c r="AG1385" s="4"/>
    </row>
    <row r="1386" spans="1:33" x14ac:dyDescent="0.2">
      <c r="B1386" s="48"/>
      <c r="C1386" s="57" t="s">
        <v>1732</v>
      </c>
      <c r="D1386" s="44"/>
      <c r="E1386" s="90" t="s">
        <v>1036</v>
      </c>
      <c r="F1386" s="23" t="str">
        <f>IF(H1386=-0.33,IF(H1384=H$1,H1384,""),"")</f>
        <v/>
      </c>
      <c r="G1386" s="19"/>
      <c r="H1386" s="24">
        <f t="shared" ref="H1386" si="470">IF(H1385=1,IF(H1384=H$2,1,-0.33),0)</f>
        <v>0</v>
      </c>
      <c r="I1386" s="4"/>
      <c r="J1386" s="4"/>
      <c r="K1386" s="4"/>
      <c r="L1386" s="4"/>
      <c r="M1386" s="4"/>
      <c r="N1386" s="4"/>
      <c r="O1386" s="4"/>
      <c r="P1386" s="4"/>
      <c r="Q1386" s="4"/>
      <c r="R1386" s="4"/>
      <c r="S1386" s="4"/>
      <c r="T1386" s="4"/>
      <c r="U1386" s="4"/>
      <c r="V1386" s="4"/>
      <c r="W1386" s="4"/>
      <c r="X1386" s="4"/>
      <c r="Y1386" s="4"/>
      <c r="Z1386" s="4"/>
      <c r="AA1386" s="4"/>
      <c r="AB1386" s="4"/>
      <c r="AC1386" s="4"/>
      <c r="AD1386" s="4"/>
      <c r="AE1386" s="4"/>
      <c r="AF1386" s="4"/>
      <c r="AG1386" s="4"/>
    </row>
    <row r="1387" spans="1:33" x14ac:dyDescent="0.2">
      <c r="B1387" s="48"/>
      <c r="C1387" s="57"/>
      <c r="D1387" s="44"/>
      <c r="E1387" s="90" t="s">
        <v>1037</v>
      </c>
      <c r="F1387" s="20"/>
      <c r="G1387" s="19"/>
      <c r="H1387" s="24"/>
      <c r="I1387" s="4"/>
      <c r="J1387" s="4"/>
      <c r="K1387" s="4"/>
      <c r="L1387" s="4"/>
      <c r="M1387" s="4"/>
      <c r="N1387" s="4"/>
      <c r="O1387" s="4"/>
      <c r="P1387" s="4"/>
      <c r="Q1387" s="4"/>
      <c r="R1387" s="4"/>
      <c r="S1387" s="4"/>
      <c r="T1387" s="4"/>
      <c r="U1387" s="4"/>
      <c r="V1387" s="4"/>
      <c r="W1387" s="4"/>
      <c r="X1387" s="4"/>
      <c r="Y1387" s="4"/>
      <c r="Z1387" s="4"/>
      <c r="AA1387" s="4"/>
      <c r="AB1387" s="4"/>
      <c r="AC1387" s="4"/>
      <c r="AD1387" s="4"/>
      <c r="AE1387" s="4"/>
      <c r="AF1387" s="4"/>
      <c r="AG1387" s="4"/>
    </row>
    <row r="1388" spans="1:33" x14ac:dyDescent="0.2">
      <c r="B1388" s="48"/>
      <c r="C1388" s="8"/>
      <c r="D1388" s="44"/>
      <c r="E1388" s="90" t="s">
        <v>1038</v>
      </c>
      <c r="F1388" s="20"/>
      <c r="G1388" s="19"/>
      <c r="H1388" s="24"/>
      <c r="I1388" s="4"/>
      <c r="J1388" s="4"/>
      <c r="K1388" s="4"/>
      <c r="L1388" s="4"/>
      <c r="M1388" s="4"/>
      <c r="N1388" s="4"/>
      <c r="O1388" s="4"/>
      <c r="P1388" s="4"/>
      <c r="Q1388" s="4"/>
      <c r="R1388" s="4"/>
      <c r="S1388" s="4"/>
      <c r="T1388" s="4"/>
      <c r="U1388" s="4"/>
      <c r="V1388" s="4"/>
      <c r="W1388" s="4"/>
      <c r="X1388" s="4"/>
      <c r="Y1388" s="4"/>
      <c r="Z1388" s="4"/>
      <c r="AA1388" s="4"/>
      <c r="AB1388" s="4"/>
      <c r="AC1388" s="4"/>
      <c r="AD1388" s="4"/>
      <c r="AE1388" s="4"/>
      <c r="AF1388" s="4"/>
      <c r="AG1388" s="4"/>
    </row>
    <row r="1389" spans="1:33" s="17" customFormat="1" x14ac:dyDescent="0.2">
      <c r="A1389" s="4"/>
      <c r="B1389" s="49" t="s">
        <v>1733</v>
      </c>
      <c r="C1389" s="13"/>
      <c r="D1389" s="45"/>
      <c r="E1389" s="85"/>
      <c r="F1389" s="16"/>
      <c r="G1389" s="15"/>
      <c r="H1389" s="15"/>
    </row>
    <row r="1390" spans="1:33" x14ac:dyDescent="0.2">
      <c r="B1390" s="52"/>
      <c r="C1390" s="56" t="s">
        <v>1734</v>
      </c>
      <c r="D1390" s="44"/>
      <c r="E1390" s="90" t="s">
        <v>1034</v>
      </c>
      <c r="F1390" s="20"/>
      <c r="G1390" s="19"/>
      <c r="H1390" s="21" t="b">
        <f>IF(D1391="x",H$2,H$1)</f>
        <v>0</v>
      </c>
      <c r="I1390" s="4"/>
      <c r="J1390" s="4"/>
      <c r="K1390" s="4"/>
      <c r="L1390" s="4"/>
      <c r="M1390" s="4"/>
      <c r="N1390" s="4"/>
      <c r="O1390" s="4"/>
      <c r="P1390" s="4"/>
      <c r="Q1390" s="4"/>
      <c r="R1390" s="4"/>
      <c r="S1390" s="4"/>
      <c r="T1390" s="4"/>
      <c r="U1390" s="4"/>
      <c r="V1390" s="4"/>
      <c r="W1390" s="4"/>
      <c r="X1390" s="4"/>
      <c r="Y1390" s="4"/>
      <c r="Z1390" s="4"/>
      <c r="AA1390" s="4"/>
      <c r="AB1390" s="4"/>
      <c r="AC1390" s="4"/>
      <c r="AD1390" s="4"/>
      <c r="AE1390" s="4"/>
      <c r="AF1390" s="4"/>
      <c r="AG1390" s="4"/>
    </row>
    <row r="1391" spans="1:33" x14ac:dyDescent="0.2">
      <c r="B1391" s="48"/>
      <c r="C1391" s="57" t="s">
        <v>1735</v>
      </c>
      <c r="D1391" s="44"/>
      <c r="E1391" s="90" t="s">
        <v>1035</v>
      </c>
      <c r="F1391" s="22" t="str">
        <f>IF(H1392=1,IF(H1390=H$2,H1390,""),"")</f>
        <v/>
      </c>
      <c r="G1391" s="19"/>
      <c r="H1391" s="21" t="str">
        <f t="shared" ref="H1391" si="471">IF(E$1497="comprobar",COUNTIF(D1390:D1394,"x"),"")</f>
        <v/>
      </c>
      <c r="I1391" s="4"/>
      <c r="J1391" s="4"/>
      <c r="K1391" s="4"/>
      <c r="L1391" s="4"/>
      <c r="M1391" s="4"/>
      <c r="N1391" s="4"/>
      <c r="O1391" s="4"/>
      <c r="P1391" s="4"/>
      <c r="Q1391" s="4"/>
      <c r="R1391" s="4"/>
      <c r="S1391" s="4"/>
      <c r="T1391" s="4"/>
      <c r="U1391" s="4"/>
      <c r="V1391" s="4"/>
      <c r="W1391" s="4"/>
      <c r="X1391" s="4"/>
      <c r="Y1391" s="4"/>
      <c r="Z1391" s="4"/>
      <c r="AA1391" s="4"/>
      <c r="AB1391" s="4"/>
      <c r="AC1391" s="4"/>
      <c r="AD1391" s="4"/>
      <c r="AE1391" s="4"/>
      <c r="AF1391" s="4"/>
      <c r="AG1391" s="4"/>
    </row>
    <row r="1392" spans="1:33" x14ac:dyDescent="0.2">
      <c r="B1392" s="48"/>
      <c r="C1392" s="57" t="s">
        <v>1736</v>
      </c>
      <c r="D1392" s="44"/>
      <c r="E1392" s="90" t="s">
        <v>1036</v>
      </c>
      <c r="F1392" s="23" t="str">
        <f>IF(H1392=-0.33,IF(H1390=H$1,H1390,""),"")</f>
        <v/>
      </c>
      <c r="G1392" s="19"/>
      <c r="H1392" s="24">
        <f t="shared" ref="H1392" si="472">IF(H1391=1,IF(H1390=H$2,1,-0.33),0)</f>
        <v>0</v>
      </c>
      <c r="I1392" s="4"/>
      <c r="J1392" s="4"/>
      <c r="K1392" s="4"/>
      <c r="L1392" s="4"/>
      <c r="M1392" s="4"/>
      <c r="N1392" s="4"/>
      <c r="O1392" s="4"/>
      <c r="P1392" s="4"/>
      <c r="Q1392" s="4"/>
      <c r="R1392" s="4"/>
      <c r="S1392" s="4"/>
      <c r="T1392" s="4"/>
      <c r="U1392" s="4"/>
      <c r="V1392" s="4"/>
      <c r="W1392" s="4"/>
      <c r="X1392" s="4"/>
      <c r="Y1392" s="4"/>
      <c r="Z1392" s="4"/>
      <c r="AA1392" s="4"/>
      <c r="AB1392" s="4"/>
      <c r="AC1392" s="4"/>
      <c r="AD1392" s="4"/>
      <c r="AE1392" s="4"/>
      <c r="AF1392" s="4"/>
      <c r="AG1392" s="4"/>
    </row>
    <row r="1393" spans="1:33" s="4" customFormat="1" x14ac:dyDescent="0.2">
      <c r="B1393" s="52"/>
      <c r="C1393" s="57" t="s">
        <v>1737</v>
      </c>
      <c r="D1393" s="44"/>
      <c r="E1393" s="90" t="s">
        <v>1037</v>
      </c>
      <c r="F1393" s="20"/>
      <c r="G1393" s="19"/>
      <c r="H1393" s="24"/>
    </row>
    <row r="1394" spans="1:33" x14ac:dyDescent="0.2">
      <c r="B1394" s="48"/>
      <c r="C1394" s="8"/>
      <c r="D1394" s="44"/>
      <c r="E1394" s="90" t="s">
        <v>1038</v>
      </c>
      <c r="F1394" s="20"/>
      <c r="G1394" s="19"/>
      <c r="H1394" s="24"/>
      <c r="I1394" s="4"/>
      <c r="J1394" s="4"/>
      <c r="K1394" s="4"/>
      <c r="L1394" s="4"/>
      <c r="M1394" s="4"/>
      <c r="N1394" s="4"/>
      <c r="O1394" s="4"/>
      <c r="P1394" s="4"/>
      <c r="Q1394" s="4"/>
      <c r="R1394" s="4"/>
      <c r="S1394" s="4"/>
      <c r="T1394" s="4"/>
      <c r="U1394" s="4"/>
      <c r="V1394" s="4"/>
      <c r="W1394" s="4"/>
      <c r="X1394" s="4"/>
      <c r="Y1394" s="4"/>
      <c r="Z1394" s="4"/>
      <c r="AA1394" s="4"/>
      <c r="AB1394" s="4"/>
      <c r="AC1394" s="4"/>
      <c r="AD1394" s="4"/>
      <c r="AE1394" s="4"/>
      <c r="AF1394" s="4"/>
      <c r="AG1394" s="4"/>
    </row>
    <row r="1395" spans="1:33" s="17" customFormat="1" x14ac:dyDescent="0.2">
      <c r="A1395" s="4"/>
      <c r="B1395" s="49" t="s">
        <v>1738</v>
      </c>
      <c r="C1395" s="13"/>
      <c r="D1395" s="45"/>
      <c r="E1395" s="85"/>
      <c r="F1395" s="16"/>
      <c r="G1395" s="15"/>
      <c r="H1395" s="15"/>
    </row>
    <row r="1396" spans="1:33" x14ac:dyDescent="0.2">
      <c r="B1396" s="48"/>
      <c r="C1396" s="56" t="s">
        <v>1739</v>
      </c>
      <c r="D1396" s="44"/>
      <c r="E1396" s="90" t="s">
        <v>1034</v>
      </c>
      <c r="F1396" s="20"/>
      <c r="G1396" s="19"/>
      <c r="H1396" s="21" t="b">
        <f>IF(D1399="x",H$2,H$1)</f>
        <v>0</v>
      </c>
      <c r="I1396" s="4"/>
      <c r="J1396" s="4"/>
      <c r="K1396" s="4"/>
      <c r="L1396" s="4"/>
      <c r="M1396" s="4"/>
      <c r="N1396" s="4"/>
      <c r="O1396" s="4"/>
      <c r="P1396" s="4"/>
      <c r="Q1396" s="4"/>
      <c r="R1396" s="4"/>
      <c r="S1396" s="4"/>
      <c r="T1396" s="4"/>
      <c r="U1396" s="4"/>
      <c r="V1396" s="4"/>
      <c r="W1396" s="4"/>
      <c r="X1396" s="4"/>
      <c r="Y1396" s="4"/>
      <c r="Z1396" s="4"/>
      <c r="AA1396" s="4"/>
      <c r="AB1396" s="4"/>
      <c r="AC1396" s="4"/>
      <c r="AD1396" s="4"/>
      <c r="AE1396" s="4"/>
      <c r="AF1396" s="4"/>
      <c r="AG1396" s="4"/>
    </row>
    <row r="1397" spans="1:33" x14ac:dyDescent="0.2">
      <c r="B1397" s="52"/>
      <c r="C1397" s="57" t="s">
        <v>1740</v>
      </c>
      <c r="D1397" s="44"/>
      <c r="E1397" s="90" t="s">
        <v>1035</v>
      </c>
      <c r="F1397" s="22" t="str">
        <f>IF(H1398=1,IF(H1396=H$2,H1396,""),"")</f>
        <v/>
      </c>
      <c r="G1397" s="19"/>
      <c r="H1397" s="21" t="str">
        <f t="shared" ref="H1397" si="473">IF(E$1497="comprobar",COUNTIF(D1396:D1400,"x"),"")</f>
        <v/>
      </c>
      <c r="I1397" s="4"/>
      <c r="J1397" s="4"/>
      <c r="K1397" s="4"/>
      <c r="L1397" s="4"/>
      <c r="M1397" s="4"/>
      <c r="N1397" s="4"/>
      <c r="O1397" s="4"/>
      <c r="P1397" s="4"/>
      <c r="Q1397" s="4"/>
      <c r="R1397" s="4"/>
      <c r="S1397" s="4"/>
      <c r="T1397" s="4"/>
      <c r="U1397" s="4"/>
      <c r="V1397" s="4"/>
      <c r="W1397" s="4"/>
      <c r="X1397" s="4"/>
      <c r="Y1397" s="4"/>
      <c r="Z1397" s="4"/>
      <c r="AA1397" s="4"/>
      <c r="AB1397" s="4"/>
      <c r="AC1397" s="4"/>
      <c r="AD1397" s="4"/>
      <c r="AE1397" s="4"/>
      <c r="AF1397" s="4"/>
      <c r="AG1397" s="4"/>
    </row>
    <row r="1398" spans="1:33" x14ac:dyDescent="0.2">
      <c r="B1398" s="48"/>
      <c r="C1398" s="57" t="s">
        <v>1741</v>
      </c>
      <c r="D1398" s="44"/>
      <c r="E1398" s="90" t="s">
        <v>1036</v>
      </c>
      <c r="F1398" s="23" t="str">
        <f>IF(H1398=-0.33,IF(H1396=H$1,H1396,""),"")</f>
        <v/>
      </c>
      <c r="G1398" s="19"/>
      <c r="H1398" s="24">
        <f t="shared" ref="H1398" si="474">IF(H1397=1,IF(H1396=H$2,1,-0.33),0)</f>
        <v>0</v>
      </c>
      <c r="I1398" s="4"/>
      <c r="J1398" s="4"/>
      <c r="K1398" s="4"/>
      <c r="L1398" s="4"/>
      <c r="M1398" s="4"/>
      <c r="N1398" s="4"/>
      <c r="O1398" s="4"/>
      <c r="P1398" s="4"/>
      <c r="Q1398" s="4"/>
      <c r="R1398" s="4"/>
      <c r="S1398" s="4"/>
      <c r="T1398" s="4"/>
      <c r="U1398" s="4"/>
      <c r="V1398" s="4"/>
      <c r="W1398" s="4"/>
      <c r="X1398" s="4"/>
      <c r="Y1398" s="4"/>
      <c r="Z1398" s="4"/>
      <c r="AA1398" s="4"/>
      <c r="AB1398" s="4"/>
      <c r="AC1398" s="4"/>
      <c r="AD1398" s="4"/>
      <c r="AE1398" s="4"/>
      <c r="AF1398" s="4"/>
      <c r="AG1398" s="4"/>
    </row>
    <row r="1399" spans="1:33" x14ac:dyDescent="0.2">
      <c r="B1399" s="48"/>
      <c r="C1399" s="57" t="s">
        <v>165</v>
      </c>
      <c r="D1399" s="44"/>
      <c r="E1399" s="90" t="s">
        <v>1037</v>
      </c>
      <c r="F1399" s="20"/>
      <c r="G1399" s="19"/>
      <c r="H1399" s="24"/>
      <c r="I1399" s="4"/>
      <c r="J1399" s="4"/>
      <c r="K1399" s="4"/>
      <c r="L1399" s="4"/>
      <c r="M1399" s="4"/>
      <c r="N1399" s="4"/>
      <c r="O1399" s="4"/>
      <c r="P1399" s="4"/>
      <c r="Q1399" s="4"/>
      <c r="R1399" s="4"/>
      <c r="S1399" s="4"/>
      <c r="T1399" s="4"/>
      <c r="U1399" s="4"/>
      <c r="V1399" s="4"/>
      <c r="W1399" s="4"/>
      <c r="X1399" s="4"/>
      <c r="Y1399" s="4"/>
      <c r="Z1399" s="4"/>
      <c r="AA1399" s="4"/>
      <c r="AB1399" s="4"/>
      <c r="AC1399" s="4"/>
      <c r="AD1399" s="4"/>
      <c r="AE1399" s="4"/>
      <c r="AF1399" s="4"/>
      <c r="AG1399" s="4"/>
    </row>
    <row r="1400" spans="1:33" x14ac:dyDescent="0.2">
      <c r="B1400" s="48"/>
      <c r="C1400" s="8"/>
      <c r="D1400" s="44"/>
      <c r="E1400" s="90" t="s">
        <v>1038</v>
      </c>
      <c r="F1400" s="20"/>
      <c r="G1400" s="19"/>
      <c r="H1400" s="24"/>
      <c r="I1400" s="4"/>
      <c r="J1400" s="4"/>
      <c r="K1400" s="4"/>
      <c r="L1400" s="4"/>
      <c r="M1400" s="4"/>
      <c r="N1400" s="4"/>
      <c r="O1400" s="4"/>
      <c r="P1400" s="4"/>
      <c r="Q1400" s="4"/>
      <c r="R1400" s="4"/>
      <c r="S1400" s="4"/>
      <c r="T1400" s="4"/>
      <c r="U1400" s="4"/>
      <c r="V1400" s="4"/>
      <c r="W1400" s="4"/>
      <c r="X1400" s="4"/>
      <c r="Y1400" s="4"/>
      <c r="Z1400" s="4"/>
      <c r="AA1400" s="4"/>
      <c r="AB1400" s="4"/>
      <c r="AC1400" s="4"/>
      <c r="AD1400" s="4"/>
      <c r="AE1400" s="4"/>
      <c r="AF1400" s="4"/>
      <c r="AG1400" s="4"/>
    </row>
    <row r="1401" spans="1:33" s="17" customFormat="1" x14ac:dyDescent="0.2">
      <c r="A1401" s="4"/>
      <c r="B1401" s="49" t="s">
        <v>1742</v>
      </c>
      <c r="C1401" s="36"/>
      <c r="D1401" s="45"/>
      <c r="E1401" s="85"/>
      <c r="F1401" s="16"/>
      <c r="G1401" s="15"/>
      <c r="H1401" s="15"/>
    </row>
    <row r="1402" spans="1:33" x14ac:dyDescent="0.2">
      <c r="B1402" s="48"/>
      <c r="C1402" s="56" t="s">
        <v>1743</v>
      </c>
      <c r="D1402" s="44"/>
      <c r="E1402" s="90" t="s">
        <v>1034</v>
      </c>
      <c r="F1402" s="20"/>
      <c r="G1402" s="19"/>
      <c r="H1402" s="21" t="b">
        <f>IF(D1403="x",H$2,H$1)</f>
        <v>0</v>
      </c>
      <c r="I1402" s="4"/>
      <c r="J1402" s="4"/>
      <c r="K1402" s="4"/>
      <c r="L1402" s="4"/>
      <c r="M1402" s="4"/>
      <c r="N1402" s="4"/>
      <c r="O1402" s="4"/>
      <c r="P1402" s="4"/>
      <c r="Q1402" s="4"/>
      <c r="R1402" s="4"/>
      <c r="S1402" s="4"/>
      <c r="T1402" s="4"/>
      <c r="U1402" s="4"/>
      <c r="V1402" s="4"/>
      <c r="W1402" s="4"/>
      <c r="X1402" s="4"/>
      <c r="Y1402" s="4"/>
      <c r="Z1402" s="4"/>
      <c r="AA1402" s="4"/>
      <c r="AB1402" s="4"/>
      <c r="AC1402" s="4"/>
      <c r="AD1402" s="4"/>
      <c r="AE1402" s="4"/>
      <c r="AF1402" s="4"/>
      <c r="AG1402" s="4"/>
    </row>
    <row r="1403" spans="1:33" x14ac:dyDescent="0.2">
      <c r="B1403" s="48"/>
      <c r="C1403" s="57" t="s">
        <v>1744</v>
      </c>
      <c r="D1403" s="44"/>
      <c r="E1403" s="90" t="s">
        <v>1035</v>
      </c>
      <c r="F1403" s="22" t="str">
        <f>IF(H1404=1,IF(H1402=H$2,H1402,""),"")</f>
        <v/>
      </c>
      <c r="G1403" s="19"/>
      <c r="H1403" s="21" t="str">
        <f t="shared" ref="H1403" si="475">IF(E$1497="comprobar",COUNTIF(D1402:D1406,"x"),"")</f>
        <v/>
      </c>
      <c r="I1403" s="4"/>
      <c r="J1403" s="4"/>
      <c r="K1403" s="4"/>
      <c r="L1403" s="4"/>
      <c r="M1403" s="4"/>
      <c r="N1403" s="4"/>
      <c r="O1403" s="4"/>
      <c r="P1403" s="4"/>
      <c r="Q1403" s="4"/>
      <c r="R1403" s="4"/>
      <c r="S1403" s="4"/>
      <c r="T1403" s="4"/>
      <c r="U1403" s="4"/>
      <c r="V1403" s="4"/>
      <c r="W1403" s="4"/>
      <c r="X1403" s="4"/>
      <c r="Y1403" s="4"/>
      <c r="Z1403" s="4"/>
      <c r="AA1403" s="4"/>
      <c r="AB1403" s="4"/>
      <c r="AC1403" s="4"/>
      <c r="AD1403" s="4"/>
      <c r="AE1403" s="4"/>
      <c r="AF1403" s="4"/>
      <c r="AG1403" s="4"/>
    </row>
    <row r="1404" spans="1:33" x14ac:dyDescent="0.2">
      <c r="B1404" s="48"/>
      <c r="C1404" s="57" t="s">
        <v>1745</v>
      </c>
      <c r="D1404" s="44"/>
      <c r="E1404" s="90" t="s">
        <v>1036</v>
      </c>
      <c r="F1404" s="23" t="str">
        <f>IF(H1404=-0.33,IF(H1402=H$1,H1402,""),"")</f>
        <v/>
      </c>
      <c r="G1404" s="19"/>
      <c r="H1404" s="24">
        <f t="shared" ref="H1404" si="476">IF(H1403=1,IF(H1402=H$2,1,-0.33),0)</f>
        <v>0</v>
      </c>
      <c r="I1404" s="4"/>
      <c r="J1404" s="4"/>
      <c r="K1404" s="4"/>
      <c r="L1404" s="4"/>
      <c r="M1404" s="4"/>
      <c r="N1404" s="4"/>
      <c r="O1404" s="4"/>
      <c r="P1404" s="4"/>
      <c r="Q1404" s="4"/>
      <c r="R1404" s="4"/>
      <c r="S1404" s="4"/>
      <c r="T1404" s="4"/>
      <c r="U1404" s="4"/>
      <c r="V1404" s="4"/>
      <c r="W1404" s="4"/>
      <c r="X1404" s="4"/>
      <c r="Y1404" s="4"/>
      <c r="Z1404" s="4"/>
      <c r="AA1404" s="4"/>
      <c r="AB1404" s="4"/>
      <c r="AC1404" s="4"/>
      <c r="AD1404" s="4"/>
      <c r="AE1404" s="4"/>
      <c r="AF1404" s="4"/>
      <c r="AG1404" s="4"/>
    </row>
    <row r="1405" spans="1:33" x14ac:dyDescent="0.2">
      <c r="B1405" s="48"/>
      <c r="C1405" s="57" t="s">
        <v>1746</v>
      </c>
      <c r="D1405" s="44"/>
      <c r="E1405" s="90" t="s">
        <v>1037</v>
      </c>
      <c r="F1405" s="20"/>
      <c r="G1405" s="19"/>
      <c r="H1405" s="24"/>
      <c r="I1405" s="4"/>
      <c r="J1405" s="4"/>
      <c r="K1405" s="4"/>
      <c r="L1405" s="4"/>
      <c r="M1405" s="4"/>
      <c r="N1405" s="4"/>
      <c r="O1405" s="4"/>
      <c r="P1405" s="4"/>
      <c r="Q1405" s="4"/>
      <c r="R1405" s="4"/>
      <c r="S1405" s="4"/>
      <c r="T1405" s="4"/>
      <c r="U1405" s="4"/>
      <c r="V1405" s="4"/>
      <c r="W1405" s="4"/>
      <c r="X1405" s="4"/>
      <c r="Y1405" s="4"/>
      <c r="Z1405" s="4"/>
      <c r="AA1405" s="4"/>
      <c r="AB1405" s="4"/>
      <c r="AC1405" s="4"/>
      <c r="AD1405" s="4"/>
      <c r="AE1405" s="4"/>
      <c r="AF1405" s="4"/>
      <c r="AG1405" s="4"/>
    </row>
    <row r="1406" spans="1:33" x14ac:dyDescent="0.2">
      <c r="B1406" s="48"/>
      <c r="C1406" s="8"/>
      <c r="D1406" s="44"/>
      <c r="E1406" s="90" t="s">
        <v>1038</v>
      </c>
      <c r="F1406" s="20"/>
      <c r="G1406" s="19"/>
      <c r="H1406" s="24"/>
      <c r="I1406" s="4"/>
      <c r="J1406" s="4"/>
      <c r="K1406" s="4"/>
      <c r="L1406" s="4"/>
      <c r="M1406" s="4"/>
      <c r="N1406" s="4"/>
      <c r="O1406" s="4"/>
      <c r="P1406" s="4"/>
      <c r="Q1406" s="4"/>
      <c r="R1406" s="4"/>
      <c r="S1406" s="4"/>
      <c r="T1406" s="4"/>
      <c r="U1406" s="4"/>
      <c r="V1406" s="4"/>
      <c r="W1406" s="4"/>
      <c r="X1406" s="4"/>
      <c r="Y1406" s="4"/>
      <c r="Z1406" s="4"/>
      <c r="AA1406" s="4"/>
      <c r="AB1406" s="4"/>
      <c r="AC1406" s="4"/>
      <c r="AD1406" s="4"/>
      <c r="AE1406" s="4"/>
      <c r="AF1406" s="4"/>
      <c r="AG1406" s="4"/>
    </row>
    <row r="1407" spans="1:33" s="17" customFormat="1" x14ac:dyDescent="0.2">
      <c r="A1407" s="4"/>
      <c r="B1407" s="49" t="s">
        <v>1747</v>
      </c>
      <c r="C1407" s="13"/>
      <c r="D1407" s="45"/>
      <c r="E1407" s="85"/>
      <c r="F1407" s="16"/>
      <c r="G1407" s="15"/>
      <c r="H1407" s="15"/>
    </row>
    <row r="1408" spans="1:33" s="4" customFormat="1" x14ac:dyDescent="0.2">
      <c r="B1408" s="52"/>
      <c r="C1408" s="56" t="s">
        <v>1748</v>
      </c>
      <c r="D1408" s="44"/>
      <c r="E1408" s="90" t="s">
        <v>1034</v>
      </c>
      <c r="F1408" s="20"/>
      <c r="G1408" s="19"/>
      <c r="H1408" s="21" t="b">
        <f>IF(D1409="x",H$2,H$1)</f>
        <v>0</v>
      </c>
    </row>
    <row r="1409" spans="1:33" x14ac:dyDescent="0.2">
      <c r="B1409" s="48"/>
      <c r="C1409" s="57" t="s">
        <v>1749</v>
      </c>
      <c r="D1409" s="44"/>
      <c r="E1409" s="90" t="s">
        <v>1035</v>
      </c>
      <c r="F1409" s="22" t="str">
        <f>IF(H1410=1,IF(H1408=H$2,H1408,""),"")</f>
        <v/>
      </c>
      <c r="G1409" s="19"/>
      <c r="H1409" s="21" t="str">
        <f t="shared" ref="H1409" si="477">IF(E$1497="comprobar",COUNTIF(D1408:D1412,"x"),"")</f>
        <v/>
      </c>
      <c r="I1409" s="4"/>
      <c r="J1409" s="4"/>
      <c r="K1409" s="4"/>
      <c r="L1409" s="4"/>
      <c r="M1409" s="4"/>
      <c r="N1409" s="4"/>
      <c r="O1409" s="4"/>
      <c r="P1409" s="4"/>
      <c r="Q1409" s="4"/>
      <c r="R1409" s="4"/>
      <c r="S1409" s="4"/>
      <c r="T1409" s="4"/>
      <c r="U1409" s="4"/>
      <c r="V1409" s="4"/>
      <c r="W1409" s="4"/>
      <c r="X1409" s="4"/>
      <c r="Y1409" s="4"/>
      <c r="Z1409" s="4"/>
      <c r="AA1409" s="4"/>
      <c r="AB1409" s="4"/>
      <c r="AC1409" s="4"/>
      <c r="AD1409" s="4"/>
      <c r="AE1409" s="4"/>
      <c r="AF1409" s="4"/>
      <c r="AG1409" s="4"/>
    </row>
    <row r="1410" spans="1:33" x14ac:dyDescent="0.2">
      <c r="B1410" s="48"/>
      <c r="C1410" s="57" t="s">
        <v>1750</v>
      </c>
      <c r="D1410" s="44"/>
      <c r="E1410" s="90" t="s">
        <v>1036</v>
      </c>
      <c r="F1410" s="23" t="str">
        <f>IF(H1410=-0.33,IF(H1408=H$1,H1408,""),"")</f>
        <v/>
      </c>
      <c r="G1410" s="19"/>
      <c r="H1410" s="24">
        <f t="shared" ref="H1410" si="478">IF(H1409=1,IF(H1408=H$2,1,-0.33),0)</f>
        <v>0</v>
      </c>
      <c r="I1410" s="4"/>
      <c r="J1410" s="4"/>
      <c r="K1410" s="4"/>
      <c r="L1410" s="4"/>
      <c r="M1410" s="4"/>
      <c r="N1410" s="4"/>
      <c r="O1410" s="4"/>
      <c r="P1410" s="4"/>
      <c r="Q1410" s="4"/>
      <c r="R1410" s="4"/>
      <c r="S1410" s="4"/>
      <c r="T1410" s="4"/>
      <c r="U1410" s="4"/>
      <c r="V1410" s="4"/>
      <c r="W1410" s="4"/>
      <c r="X1410" s="4"/>
      <c r="Y1410" s="4"/>
      <c r="Z1410" s="4"/>
      <c r="AA1410" s="4"/>
      <c r="AB1410" s="4"/>
      <c r="AC1410" s="4"/>
      <c r="AD1410" s="4"/>
      <c r="AE1410" s="4"/>
      <c r="AF1410" s="4"/>
      <c r="AG1410" s="4"/>
    </row>
    <row r="1411" spans="1:33" x14ac:dyDescent="0.2">
      <c r="B1411" s="52"/>
      <c r="C1411" s="57" t="s">
        <v>1751</v>
      </c>
      <c r="D1411" s="44"/>
      <c r="E1411" s="90" t="s">
        <v>1037</v>
      </c>
      <c r="F1411" s="20"/>
      <c r="G1411" s="19"/>
      <c r="H1411" s="24"/>
      <c r="I1411" s="4"/>
      <c r="J1411" s="4"/>
      <c r="K1411" s="4"/>
      <c r="L1411" s="4"/>
      <c r="M1411" s="4"/>
      <c r="N1411" s="4"/>
      <c r="O1411" s="4"/>
      <c r="P1411" s="4"/>
      <c r="Q1411" s="4"/>
      <c r="R1411" s="4"/>
      <c r="S1411" s="4"/>
      <c r="T1411" s="4"/>
      <c r="U1411" s="4"/>
      <c r="V1411" s="4"/>
      <c r="W1411" s="4"/>
      <c r="X1411" s="4"/>
      <c r="Y1411" s="4"/>
      <c r="Z1411" s="4"/>
      <c r="AA1411" s="4"/>
      <c r="AB1411" s="4"/>
      <c r="AC1411" s="4"/>
      <c r="AD1411" s="4"/>
      <c r="AE1411" s="4"/>
      <c r="AF1411" s="4"/>
      <c r="AG1411" s="4"/>
    </row>
    <row r="1412" spans="1:33" x14ac:dyDescent="0.2">
      <c r="B1412" s="48"/>
      <c r="C1412" s="8"/>
      <c r="D1412" s="44"/>
      <c r="E1412" s="90" t="s">
        <v>1038</v>
      </c>
      <c r="F1412" s="20"/>
      <c r="G1412" s="19"/>
      <c r="H1412" s="24"/>
      <c r="I1412" s="4"/>
      <c r="J1412" s="4"/>
      <c r="K1412" s="4"/>
      <c r="L1412" s="4"/>
      <c r="M1412" s="4"/>
      <c r="N1412" s="4"/>
      <c r="O1412" s="4"/>
      <c r="P1412" s="4"/>
      <c r="Q1412" s="4"/>
      <c r="R1412" s="4"/>
      <c r="S1412" s="4"/>
      <c r="T1412" s="4"/>
      <c r="U1412" s="4"/>
      <c r="V1412" s="4"/>
      <c r="W1412" s="4"/>
      <c r="X1412" s="4"/>
      <c r="Y1412" s="4"/>
      <c r="Z1412" s="4"/>
      <c r="AA1412" s="4"/>
      <c r="AB1412" s="4"/>
      <c r="AC1412" s="4"/>
      <c r="AD1412" s="4"/>
      <c r="AE1412" s="4"/>
      <c r="AF1412" s="4"/>
      <c r="AG1412" s="4"/>
    </row>
    <row r="1413" spans="1:33" s="17" customFormat="1" x14ac:dyDescent="0.2">
      <c r="A1413" s="4"/>
      <c r="B1413" s="49" t="s">
        <v>1752</v>
      </c>
      <c r="C1413" s="13"/>
      <c r="D1413" s="45"/>
      <c r="E1413" s="85"/>
      <c r="F1413" s="16"/>
      <c r="G1413" s="15"/>
      <c r="H1413" s="15"/>
    </row>
    <row r="1414" spans="1:33" x14ac:dyDescent="0.2">
      <c r="B1414" s="48"/>
      <c r="C1414" s="56" t="s">
        <v>1748</v>
      </c>
      <c r="D1414" s="44"/>
      <c r="E1414" s="90" t="s">
        <v>1034</v>
      </c>
      <c r="F1414" s="20"/>
      <c r="G1414" s="19"/>
      <c r="H1414" s="21" t="b">
        <f>IF(D1414="x",H$2,H$1)</f>
        <v>0</v>
      </c>
      <c r="I1414" s="4"/>
      <c r="J1414" s="4"/>
      <c r="K1414" s="4"/>
      <c r="L1414" s="4"/>
      <c r="M1414" s="4"/>
      <c r="N1414" s="4"/>
      <c r="O1414" s="4"/>
      <c r="P1414" s="4"/>
      <c r="Q1414" s="4"/>
      <c r="R1414" s="4"/>
      <c r="S1414" s="4"/>
      <c r="T1414" s="4"/>
      <c r="U1414" s="4"/>
      <c r="V1414" s="4"/>
      <c r="W1414" s="4"/>
      <c r="X1414" s="4"/>
      <c r="Y1414" s="4"/>
      <c r="Z1414" s="4"/>
      <c r="AA1414" s="4"/>
      <c r="AB1414" s="4"/>
      <c r="AC1414" s="4"/>
      <c r="AD1414" s="4"/>
      <c r="AE1414" s="4"/>
      <c r="AF1414" s="4"/>
      <c r="AG1414" s="4"/>
    </row>
    <row r="1415" spans="1:33" x14ac:dyDescent="0.2">
      <c r="B1415" s="52"/>
      <c r="C1415" s="57" t="s">
        <v>1749</v>
      </c>
      <c r="D1415" s="44"/>
      <c r="E1415" s="90" t="s">
        <v>1035</v>
      </c>
      <c r="F1415" s="22" t="str">
        <f>IF(H1416=1,IF(H1414=H$2,H1414,""),"")</f>
        <v/>
      </c>
      <c r="G1415" s="19"/>
      <c r="H1415" s="21" t="str">
        <f t="shared" ref="H1415" si="479">IF(E$1497="comprobar",COUNTIF(D1414:D1418,"x"),"")</f>
        <v/>
      </c>
      <c r="I1415" s="4"/>
      <c r="J1415" s="4"/>
      <c r="K1415" s="4"/>
      <c r="L1415" s="4"/>
      <c r="M1415" s="4"/>
      <c r="N1415" s="4"/>
      <c r="O1415" s="4"/>
      <c r="P1415" s="4"/>
      <c r="Q1415" s="4"/>
      <c r="R1415" s="4"/>
      <c r="S1415" s="4"/>
      <c r="T1415" s="4"/>
      <c r="U1415" s="4"/>
      <c r="V1415" s="4"/>
      <c r="W1415" s="4"/>
      <c r="X1415" s="4"/>
      <c r="Y1415" s="4"/>
      <c r="Z1415" s="4"/>
      <c r="AA1415" s="4"/>
      <c r="AB1415" s="4"/>
      <c r="AC1415" s="4"/>
      <c r="AD1415" s="4"/>
      <c r="AE1415" s="4"/>
      <c r="AF1415" s="4"/>
      <c r="AG1415" s="4"/>
    </row>
    <row r="1416" spans="1:33" x14ac:dyDescent="0.2">
      <c r="B1416" s="52"/>
      <c r="C1416" s="57" t="s">
        <v>1750</v>
      </c>
      <c r="D1416" s="44"/>
      <c r="E1416" s="90" t="s">
        <v>1036</v>
      </c>
      <c r="F1416" s="23" t="str">
        <f>IF(H1416=-0.33,IF(H1414=H$1,H1414,""),"")</f>
        <v/>
      </c>
      <c r="G1416" s="19"/>
      <c r="H1416" s="24">
        <f t="shared" ref="H1416" si="480">IF(H1415=1,IF(H1414=H$2,1,-0.33),0)</f>
        <v>0</v>
      </c>
      <c r="I1416" s="4"/>
      <c r="J1416" s="4"/>
      <c r="K1416" s="4"/>
      <c r="L1416" s="4"/>
      <c r="M1416" s="4"/>
      <c r="N1416" s="4"/>
      <c r="O1416" s="4"/>
      <c r="P1416" s="4"/>
      <c r="Q1416" s="4"/>
      <c r="R1416" s="4"/>
      <c r="S1416" s="4"/>
      <c r="T1416" s="4"/>
      <c r="U1416" s="4"/>
      <c r="V1416" s="4"/>
      <c r="W1416" s="4"/>
      <c r="X1416" s="4"/>
      <c r="Y1416" s="4"/>
      <c r="Z1416" s="4"/>
      <c r="AA1416" s="4"/>
      <c r="AB1416" s="4"/>
      <c r="AC1416" s="4"/>
      <c r="AD1416" s="4"/>
      <c r="AE1416" s="4"/>
      <c r="AF1416" s="4"/>
      <c r="AG1416" s="4"/>
    </row>
    <row r="1417" spans="1:33" x14ac:dyDescent="0.2">
      <c r="B1417" s="48"/>
      <c r="C1417" s="57" t="s">
        <v>1751</v>
      </c>
      <c r="D1417" s="44"/>
      <c r="E1417" s="90" t="s">
        <v>1037</v>
      </c>
      <c r="F1417" s="20"/>
      <c r="G1417" s="19"/>
      <c r="H1417" s="24"/>
      <c r="I1417" s="4"/>
      <c r="J1417" s="4"/>
      <c r="K1417" s="4"/>
      <c r="L1417" s="4"/>
      <c r="M1417" s="4"/>
      <c r="N1417" s="4"/>
      <c r="O1417" s="4"/>
      <c r="P1417" s="4"/>
      <c r="Q1417" s="4"/>
      <c r="R1417" s="4"/>
      <c r="S1417" s="4"/>
      <c r="T1417" s="4"/>
      <c r="U1417" s="4"/>
      <c r="V1417" s="4"/>
      <c r="W1417" s="4"/>
      <c r="X1417" s="4"/>
      <c r="Y1417" s="4"/>
      <c r="Z1417" s="4"/>
      <c r="AA1417" s="4"/>
      <c r="AB1417" s="4"/>
      <c r="AC1417" s="4"/>
      <c r="AD1417" s="4"/>
      <c r="AE1417" s="4"/>
      <c r="AF1417" s="4"/>
      <c r="AG1417" s="4"/>
    </row>
    <row r="1418" spans="1:33" x14ac:dyDescent="0.2">
      <c r="B1418" s="48"/>
      <c r="C1418" s="8"/>
      <c r="D1418" s="44"/>
      <c r="E1418" s="90" t="s">
        <v>1038</v>
      </c>
      <c r="F1418" s="20"/>
      <c r="G1418" s="19"/>
      <c r="H1418" s="24"/>
      <c r="I1418" s="4"/>
      <c r="J1418" s="4"/>
      <c r="K1418" s="4"/>
      <c r="L1418" s="4"/>
      <c r="M1418" s="4"/>
      <c r="N1418" s="4"/>
      <c r="O1418" s="4"/>
      <c r="P1418" s="4"/>
      <c r="Q1418" s="4"/>
      <c r="R1418" s="4"/>
      <c r="S1418" s="4"/>
      <c r="T1418" s="4"/>
      <c r="U1418" s="4"/>
      <c r="V1418" s="4"/>
      <c r="W1418" s="4"/>
      <c r="X1418" s="4"/>
      <c r="Y1418" s="4"/>
      <c r="Z1418" s="4"/>
      <c r="AA1418" s="4"/>
      <c r="AB1418" s="4"/>
      <c r="AC1418" s="4"/>
      <c r="AD1418" s="4"/>
      <c r="AE1418" s="4"/>
      <c r="AF1418" s="4"/>
      <c r="AG1418" s="4"/>
    </row>
    <row r="1419" spans="1:33" s="17" customFormat="1" x14ac:dyDescent="0.2">
      <c r="A1419" s="4"/>
      <c r="B1419" s="49" t="s">
        <v>1753</v>
      </c>
      <c r="C1419" s="13"/>
      <c r="D1419" s="45"/>
      <c r="E1419" s="85"/>
      <c r="F1419" s="16"/>
      <c r="G1419" s="15"/>
      <c r="H1419" s="15"/>
    </row>
    <row r="1420" spans="1:33" s="4" customFormat="1" x14ac:dyDescent="0.2">
      <c r="B1420" s="52"/>
      <c r="C1420" s="56" t="s">
        <v>1748</v>
      </c>
      <c r="D1420" s="44"/>
      <c r="E1420" s="90" t="s">
        <v>1034</v>
      </c>
      <c r="F1420" s="20"/>
      <c r="G1420" s="19"/>
      <c r="H1420" s="21" t="b">
        <f>IF(D1423="x",H$2,H$1)</f>
        <v>0</v>
      </c>
    </row>
    <row r="1421" spans="1:33" x14ac:dyDescent="0.2">
      <c r="B1421" s="48"/>
      <c r="C1421" s="57" t="s">
        <v>1749</v>
      </c>
      <c r="D1421" s="44"/>
      <c r="E1421" s="90" t="s">
        <v>1035</v>
      </c>
      <c r="F1421" s="22" t="str">
        <f>IF(H1422=1,IF(H1420=H$2,H1420,""),"")</f>
        <v/>
      </c>
      <c r="G1421" s="19"/>
      <c r="H1421" s="21" t="str">
        <f t="shared" ref="H1421" si="481">IF(E$1497="comprobar",COUNTIF(D1420:D1424,"x"),"")</f>
        <v/>
      </c>
      <c r="I1421" s="4"/>
      <c r="J1421" s="4"/>
      <c r="K1421" s="4"/>
      <c r="L1421" s="4"/>
      <c r="M1421" s="4"/>
      <c r="N1421" s="4"/>
      <c r="O1421" s="4"/>
      <c r="P1421" s="4"/>
      <c r="Q1421" s="4"/>
      <c r="R1421" s="4"/>
      <c r="S1421" s="4"/>
      <c r="T1421" s="4"/>
      <c r="U1421" s="4"/>
      <c r="V1421" s="4"/>
      <c r="W1421" s="4"/>
      <c r="X1421" s="4"/>
      <c r="Y1421" s="4"/>
      <c r="Z1421" s="4"/>
      <c r="AA1421" s="4"/>
      <c r="AB1421" s="4"/>
      <c r="AC1421" s="4"/>
      <c r="AD1421" s="4"/>
      <c r="AE1421" s="4"/>
      <c r="AF1421" s="4"/>
      <c r="AG1421" s="4"/>
    </row>
    <row r="1422" spans="1:33" x14ac:dyDescent="0.2">
      <c r="B1422" s="52"/>
      <c r="C1422" s="57" t="s">
        <v>1750</v>
      </c>
      <c r="D1422" s="44"/>
      <c r="E1422" s="90" t="s">
        <v>1036</v>
      </c>
      <c r="F1422" s="23" t="str">
        <f>IF(H1422=-0.33,IF(H1420=H$1,H1420,""),"")</f>
        <v/>
      </c>
      <c r="G1422" s="19"/>
      <c r="H1422" s="24">
        <f t="shared" ref="H1422" si="482">IF(H1421=1,IF(H1420=H$2,1,-0.33),0)</f>
        <v>0</v>
      </c>
      <c r="I1422" s="4"/>
      <c r="J1422" s="4"/>
      <c r="K1422" s="4"/>
      <c r="L1422" s="4"/>
      <c r="M1422" s="4"/>
      <c r="N1422" s="4"/>
      <c r="O1422" s="4"/>
      <c r="P1422" s="4"/>
      <c r="Q1422" s="4"/>
      <c r="R1422" s="4"/>
      <c r="S1422" s="4"/>
      <c r="T1422" s="4"/>
      <c r="U1422" s="4"/>
      <c r="V1422" s="4"/>
      <c r="W1422" s="4"/>
      <c r="X1422" s="4"/>
      <c r="Y1422" s="4"/>
      <c r="Z1422" s="4"/>
      <c r="AA1422" s="4"/>
      <c r="AB1422" s="4"/>
      <c r="AC1422" s="4"/>
      <c r="AD1422" s="4"/>
      <c r="AE1422" s="4"/>
      <c r="AF1422" s="4"/>
      <c r="AG1422" s="4"/>
    </row>
    <row r="1423" spans="1:33" x14ac:dyDescent="0.2">
      <c r="B1423" s="48"/>
      <c r="C1423" s="57" t="s">
        <v>1751</v>
      </c>
      <c r="D1423" s="44"/>
      <c r="E1423" s="90" t="s">
        <v>1037</v>
      </c>
      <c r="F1423" s="20"/>
      <c r="G1423" s="19"/>
      <c r="H1423" s="24"/>
      <c r="I1423" s="4"/>
      <c r="J1423" s="4"/>
      <c r="K1423" s="4"/>
      <c r="L1423" s="4"/>
      <c r="M1423" s="4"/>
      <c r="N1423" s="4"/>
      <c r="O1423" s="4"/>
      <c r="P1423" s="4"/>
      <c r="Q1423" s="4"/>
      <c r="R1423" s="4"/>
      <c r="S1423" s="4"/>
      <c r="T1423" s="4"/>
      <c r="U1423" s="4"/>
      <c r="V1423" s="4"/>
      <c r="W1423" s="4"/>
      <c r="X1423" s="4"/>
      <c r="Y1423" s="4"/>
      <c r="Z1423" s="4"/>
      <c r="AA1423" s="4"/>
      <c r="AB1423" s="4"/>
      <c r="AC1423" s="4"/>
      <c r="AD1423" s="4"/>
      <c r="AE1423" s="4"/>
      <c r="AF1423" s="4"/>
      <c r="AG1423" s="4"/>
    </row>
    <row r="1424" spans="1:33" x14ac:dyDescent="0.2">
      <c r="B1424" s="48"/>
      <c r="C1424" s="8"/>
      <c r="D1424" s="44"/>
      <c r="E1424" s="90" t="s">
        <v>1038</v>
      </c>
      <c r="F1424" s="20"/>
      <c r="G1424" s="19"/>
      <c r="H1424" s="24"/>
      <c r="I1424" s="4"/>
      <c r="J1424" s="4"/>
      <c r="K1424" s="4"/>
      <c r="L1424" s="4"/>
      <c r="M1424" s="4"/>
      <c r="N1424" s="4"/>
      <c r="O1424" s="4"/>
      <c r="P1424" s="4"/>
      <c r="Q1424" s="4"/>
      <c r="R1424" s="4"/>
      <c r="S1424" s="4"/>
      <c r="T1424" s="4"/>
      <c r="U1424" s="4"/>
      <c r="V1424" s="4"/>
      <c r="W1424" s="4"/>
      <c r="X1424" s="4"/>
      <c r="Y1424" s="4"/>
      <c r="Z1424" s="4"/>
      <c r="AA1424" s="4"/>
      <c r="AB1424" s="4"/>
      <c r="AC1424" s="4"/>
      <c r="AD1424" s="4"/>
      <c r="AE1424" s="4"/>
      <c r="AF1424" s="4"/>
      <c r="AG1424" s="4"/>
    </row>
    <row r="1425" spans="1:33" s="17" customFormat="1" x14ac:dyDescent="0.2">
      <c r="A1425" s="4"/>
      <c r="B1425" s="49" t="s">
        <v>1754</v>
      </c>
      <c r="C1425" s="13"/>
      <c r="D1425" s="45"/>
      <c r="E1425" s="85"/>
      <c r="F1425" s="16"/>
      <c r="G1425" s="15"/>
      <c r="H1425" s="15"/>
    </row>
    <row r="1426" spans="1:33" s="4" customFormat="1" x14ac:dyDescent="0.2">
      <c r="B1426" s="52"/>
      <c r="C1426" s="56" t="s">
        <v>1755</v>
      </c>
      <c r="D1426" s="44"/>
      <c r="E1426" s="90" t="s">
        <v>1034</v>
      </c>
      <c r="F1426" s="20"/>
      <c r="G1426" s="19"/>
      <c r="H1426" s="21" t="b">
        <f>IF(D1428="x",H$2,H$1)</f>
        <v>0</v>
      </c>
    </row>
    <row r="1427" spans="1:33" x14ac:dyDescent="0.2">
      <c r="B1427" s="48"/>
      <c r="C1427" s="57" t="s">
        <v>1756</v>
      </c>
      <c r="D1427" s="44"/>
      <c r="E1427" s="90" t="s">
        <v>1035</v>
      </c>
      <c r="F1427" s="22" t="str">
        <f>IF(H1428=1,IF(H1426=H$2,H1426,""),"")</f>
        <v/>
      </c>
      <c r="G1427" s="19"/>
      <c r="H1427" s="21" t="str">
        <f t="shared" ref="H1427" si="483">IF(E$1497="comprobar",COUNTIF(D1426:D1430,"x"),"")</f>
        <v/>
      </c>
      <c r="I1427" s="4"/>
      <c r="J1427" s="4"/>
      <c r="K1427" s="4"/>
      <c r="L1427" s="4"/>
      <c r="M1427" s="4"/>
      <c r="N1427" s="4"/>
      <c r="O1427" s="4"/>
      <c r="P1427" s="4"/>
      <c r="Q1427" s="4"/>
      <c r="R1427" s="4"/>
      <c r="S1427" s="4"/>
      <c r="T1427" s="4"/>
      <c r="U1427" s="4"/>
      <c r="V1427" s="4"/>
      <c r="W1427" s="4"/>
      <c r="X1427" s="4"/>
      <c r="Y1427" s="4"/>
      <c r="Z1427" s="4"/>
      <c r="AA1427" s="4"/>
      <c r="AB1427" s="4"/>
      <c r="AC1427" s="4"/>
      <c r="AD1427" s="4"/>
      <c r="AE1427" s="4"/>
      <c r="AF1427" s="4"/>
      <c r="AG1427" s="4"/>
    </row>
    <row r="1428" spans="1:33" x14ac:dyDescent="0.2">
      <c r="B1428" s="48"/>
      <c r="C1428" s="61" t="s">
        <v>1757</v>
      </c>
      <c r="D1428" s="44"/>
      <c r="E1428" s="90" t="s">
        <v>1036</v>
      </c>
      <c r="F1428" s="23" t="str">
        <f>IF(H1428=-0.33,IF(H1426=H$1,H1426,""),"")</f>
        <v/>
      </c>
      <c r="G1428" s="19"/>
      <c r="H1428" s="24">
        <f t="shared" ref="H1428" si="484">IF(H1427=1,IF(H1426=H$2,1,-0.33),0)</f>
        <v>0</v>
      </c>
      <c r="I1428" s="4"/>
      <c r="J1428" s="4"/>
      <c r="K1428" s="4"/>
      <c r="L1428" s="4"/>
      <c r="M1428" s="4"/>
      <c r="N1428" s="4"/>
      <c r="O1428" s="4"/>
      <c r="P1428" s="4"/>
      <c r="Q1428" s="4"/>
      <c r="R1428" s="4"/>
      <c r="S1428" s="4"/>
      <c r="T1428" s="4"/>
      <c r="U1428" s="4"/>
      <c r="V1428" s="4"/>
      <c r="W1428" s="4"/>
      <c r="X1428" s="4"/>
      <c r="Y1428" s="4"/>
      <c r="Z1428" s="4"/>
      <c r="AA1428" s="4"/>
      <c r="AB1428" s="4"/>
      <c r="AC1428" s="4"/>
      <c r="AD1428" s="4"/>
      <c r="AE1428" s="4"/>
      <c r="AF1428" s="4"/>
      <c r="AG1428" s="4"/>
    </row>
    <row r="1429" spans="1:33" x14ac:dyDescent="0.2">
      <c r="B1429" s="48"/>
      <c r="C1429" s="57"/>
      <c r="D1429" s="44"/>
      <c r="E1429" s="90" t="s">
        <v>1037</v>
      </c>
      <c r="F1429" s="20"/>
      <c r="G1429" s="19"/>
      <c r="H1429" s="24"/>
      <c r="I1429" s="4"/>
      <c r="J1429" s="4"/>
      <c r="K1429" s="4"/>
      <c r="L1429" s="4"/>
      <c r="M1429" s="4"/>
      <c r="N1429" s="4"/>
      <c r="O1429" s="4"/>
      <c r="P1429" s="4"/>
      <c r="Q1429" s="4"/>
      <c r="R1429" s="4"/>
      <c r="S1429" s="4"/>
      <c r="T1429" s="4"/>
      <c r="U1429" s="4"/>
      <c r="V1429" s="4"/>
      <c r="W1429" s="4"/>
      <c r="X1429" s="4"/>
      <c r="Y1429" s="4"/>
      <c r="Z1429" s="4"/>
      <c r="AA1429" s="4"/>
      <c r="AB1429" s="4"/>
      <c r="AC1429" s="4"/>
      <c r="AD1429" s="4"/>
      <c r="AE1429" s="4"/>
      <c r="AF1429" s="4"/>
      <c r="AG1429" s="4"/>
    </row>
    <row r="1430" spans="1:33" x14ac:dyDescent="0.2">
      <c r="B1430" s="48"/>
      <c r="C1430" s="8"/>
      <c r="D1430" s="44"/>
      <c r="E1430" s="90" t="s">
        <v>1038</v>
      </c>
      <c r="F1430" s="12"/>
      <c r="G1430" s="19"/>
      <c r="H1430" s="24"/>
      <c r="I1430" s="4"/>
      <c r="J1430" s="4"/>
      <c r="K1430" s="4"/>
      <c r="L1430" s="4"/>
      <c r="M1430" s="4"/>
      <c r="N1430" s="4"/>
      <c r="O1430" s="4"/>
      <c r="P1430" s="4"/>
      <c r="Q1430" s="4"/>
      <c r="R1430" s="4"/>
      <c r="S1430" s="4"/>
      <c r="T1430" s="4"/>
      <c r="U1430" s="4"/>
      <c r="V1430" s="4"/>
      <c r="W1430" s="4"/>
      <c r="X1430" s="4"/>
      <c r="Y1430" s="4"/>
      <c r="Z1430" s="4"/>
      <c r="AA1430" s="4"/>
      <c r="AB1430" s="4"/>
      <c r="AC1430" s="4"/>
      <c r="AD1430" s="4"/>
      <c r="AE1430" s="4"/>
      <c r="AF1430" s="4"/>
      <c r="AG1430" s="4"/>
    </row>
    <row r="1431" spans="1:33" s="17" customFormat="1" x14ac:dyDescent="0.2">
      <c r="A1431" s="4"/>
      <c r="B1431" s="49" t="s">
        <v>1758</v>
      </c>
      <c r="C1431" s="13"/>
      <c r="D1431" s="45"/>
      <c r="E1431" s="85"/>
      <c r="F1431" s="30"/>
      <c r="G1431" s="29"/>
      <c r="H1431" s="15"/>
    </row>
    <row r="1432" spans="1:33" x14ac:dyDescent="0.2">
      <c r="B1432" s="48"/>
      <c r="C1432" s="56" t="s">
        <v>1759</v>
      </c>
      <c r="D1432" s="44"/>
      <c r="E1432" s="90" t="s">
        <v>1034</v>
      </c>
      <c r="F1432" s="27"/>
      <c r="G1432" s="26"/>
      <c r="H1432" s="21" t="b">
        <f>IF(D1433="x",H$2,H$1)</f>
        <v>0</v>
      </c>
      <c r="I1432" s="4"/>
      <c r="J1432" s="4"/>
      <c r="K1432" s="4"/>
      <c r="L1432" s="4"/>
      <c r="M1432" s="4"/>
      <c r="N1432" s="4"/>
      <c r="O1432" s="4"/>
      <c r="P1432" s="4"/>
      <c r="Q1432" s="4"/>
      <c r="R1432" s="4"/>
      <c r="S1432" s="4"/>
      <c r="T1432" s="4"/>
      <c r="U1432" s="4"/>
      <c r="V1432" s="4"/>
      <c r="W1432" s="4"/>
      <c r="X1432" s="4"/>
      <c r="Y1432" s="4"/>
      <c r="Z1432" s="4"/>
      <c r="AA1432" s="4"/>
      <c r="AB1432" s="4"/>
      <c r="AC1432" s="4"/>
      <c r="AD1432" s="4"/>
      <c r="AE1432" s="4"/>
      <c r="AF1432" s="4"/>
      <c r="AG1432" s="4"/>
    </row>
    <row r="1433" spans="1:33" x14ac:dyDescent="0.2">
      <c r="B1433" s="48"/>
      <c r="C1433" s="61" t="s">
        <v>1760</v>
      </c>
      <c r="D1433" s="44"/>
      <c r="E1433" s="90" t="s">
        <v>1035</v>
      </c>
      <c r="F1433" s="22" t="str">
        <f>IF(H1434=1,IF(H1432=H$2,H1432,""),"")</f>
        <v/>
      </c>
      <c r="G1433" s="26"/>
      <c r="H1433" s="21" t="str">
        <f t="shared" ref="H1433" si="485">IF(E$1497="comprobar",COUNTIF(D1432:D1436,"x"),"")</f>
        <v/>
      </c>
      <c r="I1433" s="4"/>
      <c r="J1433" s="4"/>
      <c r="K1433" s="4"/>
      <c r="L1433" s="4"/>
      <c r="M1433" s="4"/>
      <c r="N1433" s="4"/>
      <c r="O1433" s="4"/>
      <c r="P1433" s="4"/>
      <c r="Q1433" s="4"/>
      <c r="R1433" s="4"/>
      <c r="S1433" s="4"/>
      <c r="T1433" s="4"/>
      <c r="U1433" s="4"/>
      <c r="V1433" s="4"/>
      <c r="W1433" s="4"/>
      <c r="X1433" s="4"/>
      <c r="Y1433" s="4"/>
      <c r="Z1433" s="4"/>
      <c r="AA1433" s="4"/>
      <c r="AB1433" s="4"/>
      <c r="AC1433" s="4"/>
      <c r="AD1433" s="4"/>
      <c r="AE1433" s="4"/>
      <c r="AF1433" s="4"/>
      <c r="AG1433" s="4"/>
    </row>
    <row r="1434" spans="1:33" x14ac:dyDescent="0.2">
      <c r="B1434" s="52"/>
      <c r="C1434" s="57" t="s">
        <v>1761</v>
      </c>
      <c r="D1434" s="44"/>
      <c r="E1434" s="90" t="s">
        <v>1036</v>
      </c>
      <c r="F1434" s="23" t="str">
        <f>IF(H1434=-0.33,IF(H1432=H$1,H1432,""),"")</f>
        <v/>
      </c>
      <c r="G1434" s="26"/>
      <c r="H1434" s="24">
        <f t="shared" ref="H1434" si="486">IF(H1433=1,IF(H1432=H$2,1,-0.33),0)</f>
        <v>0</v>
      </c>
      <c r="I1434" s="4"/>
      <c r="J1434" s="4"/>
      <c r="K1434" s="4"/>
      <c r="L1434" s="4"/>
      <c r="M1434" s="4"/>
      <c r="N1434" s="4"/>
      <c r="O1434" s="4"/>
      <c r="P1434" s="4"/>
      <c r="Q1434" s="4"/>
      <c r="R1434" s="4"/>
      <c r="S1434" s="4"/>
      <c r="T1434" s="4"/>
      <c r="U1434" s="4"/>
      <c r="V1434" s="4"/>
      <c r="W1434" s="4"/>
      <c r="X1434" s="4"/>
      <c r="Y1434" s="4"/>
      <c r="Z1434" s="4"/>
      <c r="AA1434" s="4"/>
      <c r="AB1434" s="4"/>
      <c r="AC1434" s="4"/>
      <c r="AD1434" s="4"/>
      <c r="AE1434" s="4"/>
      <c r="AF1434" s="4"/>
      <c r="AG1434" s="4"/>
    </row>
    <row r="1435" spans="1:33" x14ac:dyDescent="0.2">
      <c r="B1435" s="48"/>
      <c r="C1435" s="57"/>
      <c r="D1435" s="44"/>
      <c r="E1435" s="90" t="s">
        <v>1037</v>
      </c>
      <c r="F1435" s="28"/>
      <c r="G1435" s="26"/>
      <c r="H1435" s="24"/>
      <c r="I1435" s="4"/>
      <c r="J1435" s="4"/>
      <c r="K1435" s="4"/>
      <c r="L1435" s="4"/>
      <c r="M1435" s="4"/>
      <c r="N1435" s="4"/>
      <c r="O1435" s="4"/>
      <c r="P1435" s="4"/>
      <c r="Q1435" s="4"/>
      <c r="R1435" s="4"/>
      <c r="S1435" s="4"/>
      <c r="T1435" s="4"/>
      <c r="U1435" s="4"/>
      <c r="V1435" s="4"/>
      <c r="W1435" s="4"/>
      <c r="X1435" s="4"/>
      <c r="Y1435" s="4"/>
      <c r="Z1435" s="4"/>
      <c r="AA1435" s="4"/>
      <c r="AB1435" s="4"/>
      <c r="AC1435" s="4"/>
      <c r="AD1435" s="4"/>
      <c r="AE1435" s="4"/>
      <c r="AF1435" s="4"/>
      <c r="AG1435" s="4"/>
    </row>
    <row r="1436" spans="1:33" x14ac:dyDescent="0.2">
      <c r="B1436" s="48"/>
      <c r="C1436" s="8"/>
      <c r="D1436" s="44"/>
      <c r="E1436" s="90" t="s">
        <v>1038</v>
      </c>
      <c r="F1436" s="28"/>
      <c r="G1436" s="26"/>
      <c r="H1436" s="24"/>
      <c r="I1436" s="4"/>
      <c r="J1436" s="4"/>
      <c r="K1436" s="4"/>
      <c r="L1436" s="4"/>
      <c r="M1436" s="4"/>
      <c r="N1436" s="4"/>
      <c r="O1436" s="4"/>
      <c r="P1436" s="4"/>
      <c r="Q1436" s="4"/>
      <c r="R1436" s="4"/>
      <c r="S1436" s="4"/>
      <c r="T1436" s="4"/>
      <c r="U1436" s="4"/>
      <c r="V1436" s="4"/>
      <c r="W1436" s="4"/>
      <c r="X1436" s="4"/>
      <c r="Y1436" s="4"/>
      <c r="Z1436" s="4"/>
      <c r="AA1436" s="4"/>
      <c r="AB1436" s="4"/>
      <c r="AC1436" s="4"/>
      <c r="AD1436" s="4"/>
      <c r="AE1436" s="4"/>
      <c r="AF1436" s="4"/>
      <c r="AG1436" s="4"/>
    </row>
    <row r="1437" spans="1:33" s="17" customFormat="1" x14ac:dyDescent="0.2">
      <c r="A1437" s="4"/>
      <c r="B1437" s="49" t="s">
        <v>1762</v>
      </c>
      <c r="C1437" s="13"/>
      <c r="D1437" s="45"/>
      <c r="E1437" s="85"/>
      <c r="F1437" s="30"/>
      <c r="G1437" s="29"/>
      <c r="H1437" s="15"/>
    </row>
    <row r="1438" spans="1:33" x14ac:dyDescent="0.2">
      <c r="B1438" s="48"/>
      <c r="C1438" s="56" t="s">
        <v>1763</v>
      </c>
      <c r="D1438" s="44"/>
      <c r="E1438" s="90" t="s">
        <v>1034</v>
      </c>
      <c r="F1438" s="27"/>
      <c r="G1438" s="26"/>
      <c r="H1438" s="21" t="b">
        <f>IF(D1439="x",H$2,H$1)</f>
        <v>0</v>
      </c>
      <c r="I1438" s="4"/>
      <c r="J1438" s="4"/>
      <c r="K1438" s="4"/>
      <c r="L1438" s="4"/>
      <c r="M1438" s="4"/>
      <c r="N1438" s="4"/>
      <c r="O1438" s="4"/>
      <c r="P1438" s="4"/>
      <c r="Q1438" s="4"/>
      <c r="R1438" s="4"/>
      <c r="S1438" s="4"/>
      <c r="T1438" s="4"/>
      <c r="U1438" s="4"/>
      <c r="V1438" s="4"/>
      <c r="W1438" s="4"/>
      <c r="X1438" s="4"/>
      <c r="Y1438" s="4"/>
      <c r="Z1438" s="4"/>
      <c r="AA1438" s="4"/>
      <c r="AB1438" s="4"/>
      <c r="AC1438" s="4"/>
      <c r="AD1438" s="4"/>
      <c r="AE1438" s="4"/>
      <c r="AF1438" s="4"/>
      <c r="AG1438" s="4"/>
    </row>
    <row r="1439" spans="1:33" x14ac:dyDescent="0.2">
      <c r="B1439" s="48"/>
      <c r="C1439" s="57" t="s">
        <v>1764</v>
      </c>
      <c r="D1439" s="44"/>
      <c r="E1439" s="90" t="s">
        <v>1035</v>
      </c>
      <c r="F1439" s="22" t="str">
        <f>IF(H1440=1,IF(H1438=H$2,H1438,""),"")</f>
        <v/>
      </c>
      <c r="G1439" s="26"/>
      <c r="H1439" s="21" t="str">
        <f t="shared" ref="H1439" si="487">IF(E$1497="comprobar",COUNTIF(D1438:D1442,"x"),"")</f>
        <v/>
      </c>
      <c r="I1439" s="4"/>
      <c r="J1439" s="4"/>
      <c r="K1439" s="4"/>
      <c r="L1439" s="4"/>
      <c r="M1439" s="4"/>
      <c r="N1439" s="4"/>
      <c r="O1439" s="4"/>
      <c r="P1439" s="4"/>
      <c r="Q1439" s="4"/>
      <c r="R1439" s="4"/>
      <c r="S1439" s="4"/>
      <c r="T1439" s="4"/>
      <c r="U1439" s="4"/>
      <c r="V1439" s="4"/>
      <c r="W1439" s="4"/>
      <c r="X1439" s="4"/>
      <c r="Y1439" s="4"/>
      <c r="Z1439" s="4"/>
      <c r="AA1439" s="4"/>
      <c r="AB1439" s="4"/>
      <c r="AC1439" s="4"/>
      <c r="AD1439" s="4"/>
      <c r="AE1439" s="4"/>
      <c r="AF1439" s="4"/>
      <c r="AG1439" s="4"/>
    </row>
    <row r="1440" spans="1:33" x14ac:dyDescent="0.2">
      <c r="B1440" s="52"/>
      <c r="C1440" s="57" t="s">
        <v>1765</v>
      </c>
      <c r="D1440" s="44"/>
      <c r="E1440" s="90" t="s">
        <v>1036</v>
      </c>
      <c r="F1440" s="23" t="str">
        <f>IF(H1440=-0.33,IF(H1438=H$1,H1438,""),"")</f>
        <v/>
      </c>
      <c r="G1440" s="26"/>
      <c r="H1440" s="24">
        <f t="shared" ref="H1440" si="488">IF(H1439=1,IF(H1438=H$2,1,-0.33),0)</f>
        <v>0</v>
      </c>
      <c r="I1440" s="4"/>
      <c r="J1440" s="4"/>
      <c r="K1440" s="4"/>
      <c r="L1440" s="4"/>
      <c r="M1440" s="4"/>
      <c r="N1440" s="4"/>
      <c r="O1440" s="4"/>
      <c r="P1440" s="4"/>
      <c r="Q1440" s="4"/>
      <c r="R1440" s="4"/>
      <c r="S1440" s="4"/>
      <c r="T1440" s="4"/>
      <c r="U1440" s="4"/>
      <c r="V1440" s="4"/>
      <c r="W1440" s="4"/>
      <c r="X1440" s="4"/>
      <c r="Y1440" s="4"/>
      <c r="Z1440" s="4"/>
      <c r="AA1440" s="4"/>
      <c r="AB1440" s="4"/>
      <c r="AC1440" s="4"/>
      <c r="AD1440" s="4"/>
      <c r="AE1440" s="4"/>
      <c r="AF1440" s="4"/>
      <c r="AG1440" s="4"/>
    </row>
    <row r="1441" spans="1:33" x14ac:dyDescent="0.2">
      <c r="B1441" s="48"/>
      <c r="C1441" s="57"/>
      <c r="D1441" s="44"/>
      <c r="E1441" s="90" t="s">
        <v>1037</v>
      </c>
      <c r="F1441" s="20"/>
      <c r="G1441" s="55"/>
      <c r="H1441" s="24"/>
      <c r="I1441" s="4"/>
      <c r="J1441" s="4"/>
      <c r="K1441" s="4"/>
      <c r="L1441" s="4"/>
      <c r="M1441" s="4"/>
      <c r="N1441" s="4"/>
      <c r="O1441" s="4"/>
      <c r="P1441" s="4"/>
      <c r="Q1441" s="4"/>
      <c r="R1441" s="4"/>
      <c r="S1441" s="4"/>
      <c r="T1441" s="4"/>
      <c r="U1441" s="4"/>
      <c r="V1441" s="4"/>
      <c r="W1441" s="4"/>
      <c r="X1441" s="4"/>
      <c r="Y1441" s="4"/>
      <c r="Z1441" s="4"/>
      <c r="AA1441" s="4"/>
      <c r="AB1441" s="4"/>
      <c r="AC1441" s="4"/>
      <c r="AD1441" s="4"/>
      <c r="AE1441" s="4"/>
      <c r="AF1441" s="4"/>
      <c r="AG1441" s="4"/>
    </row>
    <row r="1442" spans="1:33" x14ac:dyDescent="0.2">
      <c r="B1442" s="48"/>
      <c r="C1442" s="8"/>
      <c r="D1442" s="44"/>
      <c r="E1442" s="90" t="s">
        <v>1038</v>
      </c>
      <c r="F1442" s="28"/>
      <c r="G1442" s="26"/>
      <c r="H1442" s="24"/>
      <c r="I1442" s="4"/>
      <c r="J1442" s="4"/>
      <c r="K1442" s="4"/>
      <c r="L1442" s="4"/>
      <c r="M1442" s="4"/>
      <c r="N1442" s="4"/>
      <c r="O1442" s="4"/>
      <c r="P1442" s="4"/>
      <c r="Q1442" s="4"/>
      <c r="R1442" s="4"/>
      <c r="S1442" s="4"/>
      <c r="T1442" s="4"/>
      <c r="U1442" s="4"/>
      <c r="V1442" s="4"/>
      <c r="W1442" s="4"/>
      <c r="X1442" s="4"/>
      <c r="Y1442" s="4"/>
      <c r="Z1442" s="4"/>
      <c r="AA1442" s="4"/>
      <c r="AB1442" s="4"/>
      <c r="AC1442" s="4"/>
      <c r="AD1442" s="4"/>
      <c r="AE1442" s="4"/>
      <c r="AF1442" s="4"/>
      <c r="AG1442" s="4"/>
    </row>
    <row r="1443" spans="1:33" s="17" customFormat="1" x14ac:dyDescent="0.2">
      <c r="A1443" s="4"/>
      <c r="B1443" s="49" t="s">
        <v>1766</v>
      </c>
      <c r="C1443" s="13"/>
      <c r="D1443" s="45"/>
      <c r="E1443" s="85"/>
      <c r="F1443" s="30"/>
      <c r="G1443" s="29"/>
      <c r="H1443" s="15"/>
    </row>
    <row r="1444" spans="1:33" x14ac:dyDescent="0.2">
      <c r="B1444" s="48"/>
      <c r="C1444" s="56" t="s">
        <v>1767</v>
      </c>
      <c r="D1444" s="44"/>
      <c r="E1444" s="90" t="s">
        <v>1034</v>
      </c>
      <c r="F1444" s="27"/>
      <c r="G1444" s="26"/>
      <c r="H1444" s="21" t="b">
        <f>IF(D1445="x",H$2,H$1)</f>
        <v>0</v>
      </c>
      <c r="I1444" s="4"/>
      <c r="J1444" s="4"/>
      <c r="K1444" s="4"/>
      <c r="L1444" s="4"/>
      <c r="M1444" s="4"/>
      <c r="N1444" s="4"/>
      <c r="O1444" s="4"/>
      <c r="P1444" s="4"/>
      <c r="Q1444" s="4"/>
      <c r="R1444" s="4"/>
      <c r="S1444" s="4"/>
      <c r="T1444" s="4"/>
      <c r="U1444" s="4"/>
      <c r="V1444" s="4"/>
      <c r="W1444" s="4"/>
      <c r="X1444" s="4"/>
      <c r="Y1444" s="4"/>
      <c r="Z1444" s="4"/>
      <c r="AA1444" s="4"/>
      <c r="AB1444" s="4"/>
      <c r="AC1444" s="4"/>
      <c r="AD1444" s="4"/>
      <c r="AE1444" s="4"/>
      <c r="AF1444" s="4"/>
      <c r="AG1444" s="4"/>
    </row>
    <row r="1445" spans="1:33" x14ac:dyDescent="0.2">
      <c r="B1445" s="48"/>
      <c r="C1445" s="57" t="s">
        <v>1768</v>
      </c>
      <c r="D1445" s="44"/>
      <c r="E1445" s="90" t="s">
        <v>1035</v>
      </c>
      <c r="F1445" s="22" t="str">
        <f>IF(H1446=1,IF(H1444=H$2,H1444,""),"")</f>
        <v/>
      </c>
      <c r="G1445" s="26"/>
      <c r="H1445" s="21" t="str">
        <f t="shared" ref="H1445" si="489">IF(E$1497="comprobar",COUNTIF(D1444:D1448,"x"),"")</f>
        <v/>
      </c>
      <c r="I1445" s="4"/>
      <c r="J1445" s="4"/>
      <c r="K1445" s="4"/>
      <c r="L1445" s="4"/>
      <c r="M1445" s="4"/>
      <c r="N1445" s="4"/>
      <c r="O1445" s="4"/>
      <c r="P1445" s="4"/>
      <c r="Q1445" s="4"/>
      <c r="R1445" s="4"/>
      <c r="S1445" s="4"/>
      <c r="T1445" s="4"/>
      <c r="U1445" s="4"/>
      <c r="V1445" s="4"/>
      <c r="W1445" s="4"/>
      <c r="X1445" s="4"/>
      <c r="Y1445" s="4"/>
      <c r="Z1445" s="4"/>
      <c r="AA1445" s="4"/>
      <c r="AB1445" s="4"/>
      <c r="AC1445" s="4"/>
      <c r="AD1445" s="4"/>
      <c r="AE1445" s="4"/>
      <c r="AF1445" s="4"/>
      <c r="AG1445" s="4"/>
    </row>
    <row r="1446" spans="1:33" x14ac:dyDescent="0.2">
      <c r="B1446" s="48"/>
      <c r="C1446" s="57" t="s">
        <v>1769</v>
      </c>
      <c r="D1446" s="44"/>
      <c r="E1446" s="90" t="s">
        <v>1036</v>
      </c>
      <c r="F1446" s="23" t="str">
        <f>IF(H1446=-0.33,IF(H1444=H$1,H1444,""),"")</f>
        <v/>
      </c>
      <c r="G1446" s="26"/>
      <c r="H1446" s="24">
        <f t="shared" ref="H1446" si="490">IF(H1445=1,IF(H1444=H$2,1,-0.33),0)</f>
        <v>0</v>
      </c>
      <c r="I1446" s="4"/>
      <c r="J1446" s="4"/>
      <c r="K1446" s="4"/>
      <c r="L1446" s="4"/>
      <c r="M1446" s="4"/>
      <c r="N1446" s="4"/>
      <c r="O1446" s="4"/>
      <c r="P1446" s="4"/>
      <c r="Q1446" s="4"/>
      <c r="R1446" s="4"/>
      <c r="S1446" s="4"/>
      <c r="T1446" s="4"/>
      <c r="U1446" s="4"/>
      <c r="V1446" s="4"/>
      <c r="W1446" s="4"/>
      <c r="X1446" s="4"/>
      <c r="Y1446" s="4"/>
      <c r="Z1446" s="4"/>
      <c r="AA1446" s="4"/>
      <c r="AB1446" s="4"/>
      <c r="AC1446" s="4"/>
      <c r="AD1446" s="4"/>
      <c r="AE1446" s="4"/>
      <c r="AF1446" s="4"/>
      <c r="AG1446" s="4"/>
    </row>
    <row r="1447" spans="1:33" x14ac:dyDescent="0.2">
      <c r="B1447" s="48"/>
      <c r="C1447" s="57"/>
      <c r="D1447" s="44"/>
      <c r="E1447" s="90" t="s">
        <v>1037</v>
      </c>
      <c r="F1447" s="28"/>
      <c r="G1447" s="26"/>
      <c r="H1447" s="24"/>
      <c r="I1447" s="4"/>
      <c r="J1447" s="4"/>
      <c r="K1447" s="4"/>
      <c r="L1447" s="4"/>
      <c r="M1447" s="4"/>
      <c r="N1447" s="4"/>
      <c r="O1447" s="4"/>
      <c r="P1447" s="4"/>
      <c r="Q1447" s="4"/>
      <c r="R1447" s="4"/>
      <c r="S1447" s="4"/>
      <c r="T1447" s="4"/>
      <c r="U1447" s="4"/>
      <c r="V1447" s="4"/>
      <c r="W1447" s="4"/>
      <c r="X1447" s="4"/>
      <c r="Y1447" s="4"/>
      <c r="Z1447" s="4"/>
      <c r="AA1447" s="4"/>
      <c r="AB1447" s="4"/>
      <c r="AC1447" s="4"/>
      <c r="AD1447" s="4"/>
      <c r="AE1447" s="4"/>
      <c r="AF1447" s="4"/>
      <c r="AG1447" s="4"/>
    </row>
    <row r="1448" spans="1:33" x14ac:dyDescent="0.2">
      <c r="B1448" s="48"/>
      <c r="C1448" s="8"/>
      <c r="D1448" s="44"/>
      <c r="E1448" s="90" t="s">
        <v>1038</v>
      </c>
      <c r="F1448" s="28"/>
      <c r="G1448" s="26"/>
      <c r="H1448" s="24"/>
      <c r="I1448" s="4"/>
      <c r="J1448" s="4"/>
      <c r="K1448" s="4"/>
      <c r="L1448" s="4"/>
      <c r="M1448" s="4"/>
      <c r="N1448" s="4"/>
      <c r="O1448" s="4"/>
      <c r="P1448" s="4"/>
      <c r="Q1448" s="4"/>
      <c r="R1448" s="4"/>
      <c r="S1448" s="4"/>
      <c r="T1448" s="4"/>
      <c r="U1448" s="4"/>
      <c r="V1448" s="4"/>
      <c r="W1448" s="4"/>
      <c r="X1448" s="4"/>
      <c r="Y1448" s="4"/>
      <c r="Z1448" s="4"/>
      <c r="AA1448" s="4"/>
      <c r="AB1448" s="4"/>
      <c r="AC1448" s="4"/>
      <c r="AD1448" s="4"/>
      <c r="AE1448" s="4"/>
      <c r="AF1448" s="4"/>
      <c r="AG1448" s="4"/>
    </row>
    <row r="1449" spans="1:33" s="17" customFormat="1" x14ac:dyDescent="0.2">
      <c r="A1449" s="4"/>
      <c r="B1449" s="109" t="s">
        <v>1770</v>
      </c>
      <c r="C1449" s="110"/>
      <c r="D1449" s="45"/>
      <c r="E1449" s="85"/>
      <c r="F1449" s="16"/>
      <c r="G1449" s="15"/>
      <c r="H1449" s="15"/>
    </row>
    <row r="1450" spans="1:33" x14ac:dyDescent="0.2">
      <c r="B1450" s="48"/>
      <c r="C1450" s="56" t="s">
        <v>1771</v>
      </c>
      <c r="D1450" s="44"/>
      <c r="E1450" s="90" t="s">
        <v>1034</v>
      </c>
      <c r="F1450" s="20"/>
      <c r="G1450" s="19"/>
      <c r="H1450" s="21" t="b">
        <f>IF(D1450="x",H$2,H$1)</f>
        <v>0</v>
      </c>
      <c r="I1450" s="4"/>
      <c r="J1450" s="4"/>
      <c r="K1450" s="4"/>
      <c r="L1450" s="4"/>
      <c r="M1450" s="4"/>
      <c r="N1450" s="4"/>
      <c r="O1450" s="4"/>
      <c r="P1450" s="4"/>
      <c r="Q1450" s="4"/>
      <c r="R1450" s="4"/>
      <c r="S1450" s="4"/>
      <c r="T1450" s="4"/>
      <c r="U1450" s="4"/>
      <c r="V1450" s="4"/>
      <c r="W1450" s="4"/>
      <c r="X1450" s="4"/>
      <c r="Y1450" s="4"/>
      <c r="Z1450" s="4"/>
      <c r="AA1450" s="4"/>
      <c r="AB1450" s="4"/>
      <c r="AC1450" s="4"/>
      <c r="AD1450" s="4"/>
      <c r="AE1450" s="4"/>
      <c r="AF1450" s="4"/>
      <c r="AG1450" s="4"/>
    </row>
    <row r="1451" spans="1:33" x14ac:dyDescent="0.2">
      <c r="B1451" s="52"/>
      <c r="C1451" s="57" t="s">
        <v>1772</v>
      </c>
      <c r="D1451" s="44"/>
      <c r="E1451" s="90" t="s">
        <v>1035</v>
      </c>
      <c r="F1451" s="22" t="str">
        <f>IF(H1452=1,IF(H1450=H$2,H1450,""),"")</f>
        <v/>
      </c>
      <c r="G1451" s="19"/>
      <c r="H1451" s="21" t="str">
        <f t="shared" ref="H1451" si="491">IF(E$1497="comprobar",COUNTIF(D1450:D1454,"x"),"")</f>
        <v/>
      </c>
      <c r="I1451" s="4"/>
      <c r="J1451" s="4"/>
      <c r="K1451" s="4"/>
      <c r="L1451" s="4"/>
      <c r="M1451" s="4"/>
      <c r="N1451" s="4"/>
      <c r="O1451" s="4"/>
      <c r="P1451" s="4"/>
      <c r="Q1451" s="4"/>
      <c r="R1451" s="4"/>
      <c r="S1451" s="4"/>
      <c r="T1451" s="4"/>
      <c r="U1451" s="4"/>
      <c r="V1451" s="4"/>
      <c r="W1451" s="4"/>
      <c r="X1451" s="4"/>
      <c r="Y1451" s="4"/>
      <c r="Z1451" s="4"/>
      <c r="AA1451" s="4"/>
      <c r="AB1451" s="4"/>
      <c r="AC1451" s="4"/>
      <c r="AD1451" s="4"/>
      <c r="AE1451" s="4"/>
      <c r="AF1451" s="4"/>
      <c r="AG1451" s="4"/>
    </row>
    <row r="1452" spans="1:33" x14ac:dyDescent="0.2">
      <c r="B1452" s="52"/>
      <c r="C1452" s="57" t="s">
        <v>1773</v>
      </c>
      <c r="D1452" s="44"/>
      <c r="E1452" s="90" t="s">
        <v>1036</v>
      </c>
      <c r="F1452" s="23" t="str">
        <f>IF(H1452=-0.33,IF(H1450=H$1,H1450,""),"")</f>
        <v/>
      </c>
      <c r="G1452" s="19"/>
      <c r="H1452" s="24">
        <f t="shared" ref="H1452" si="492">IF(H1451=1,IF(H1450=H$2,1,-0.33),0)</f>
        <v>0</v>
      </c>
      <c r="I1452" s="4"/>
      <c r="J1452" s="4"/>
      <c r="K1452" s="4"/>
      <c r="L1452" s="4"/>
      <c r="M1452" s="4"/>
      <c r="N1452" s="4"/>
      <c r="O1452" s="4"/>
      <c r="P1452" s="4"/>
      <c r="Q1452" s="4"/>
      <c r="R1452" s="4"/>
      <c r="S1452" s="4"/>
      <c r="T1452" s="4"/>
      <c r="U1452" s="4"/>
      <c r="V1452" s="4"/>
      <c r="W1452" s="4"/>
      <c r="X1452" s="4"/>
      <c r="Y1452" s="4"/>
      <c r="Z1452" s="4"/>
      <c r="AA1452" s="4"/>
      <c r="AB1452" s="4"/>
      <c r="AC1452" s="4"/>
      <c r="AD1452" s="4"/>
      <c r="AE1452" s="4"/>
      <c r="AF1452" s="4"/>
      <c r="AG1452" s="4"/>
    </row>
    <row r="1453" spans="1:33" x14ac:dyDescent="0.2">
      <c r="B1453" s="48"/>
      <c r="C1453" s="57"/>
      <c r="D1453" s="44"/>
      <c r="E1453" s="90" t="s">
        <v>1037</v>
      </c>
      <c r="F1453" s="20"/>
      <c r="G1453" s="19"/>
      <c r="H1453" s="24"/>
      <c r="I1453" s="4"/>
      <c r="J1453" s="4"/>
      <c r="K1453" s="4"/>
      <c r="L1453" s="4"/>
      <c r="M1453" s="4"/>
      <c r="N1453" s="4"/>
      <c r="O1453" s="4"/>
      <c r="P1453" s="4"/>
      <c r="Q1453" s="4"/>
      <c r="R1453" s="4"/>
      <c r="S1453" s="4"/>
      <c r="T1453" s="4"/>
      <c r="U1453" s="4"/>
      <c r="V1453" s="4"/>
      <c r="W1453" s="4"/>
      <c r="X1453" s="4"/>
      <c r="Y1453" s="4"/>
      <c r="Z1453" s="4"/>
      <c r="AA1453" s="4"/>
      <c r="AB1453" s="4"/>
      <c r="AC1453" s="4"/>
      <c r="AD1453" s="4"/>
      <c r="AE1453" s="4"/>
      <c r="AF1453" s="4"/>
      <c r="AG1453" s="4"/>
    </row>
    <row r="1454" spans="1:33" x14ac:dyDescent="0.2">
      <c r="B1454" s="48"/>
      <c r="C1454" s="8"/>
      <c r="D1454" s="44"/>
      <c r="E1454" s="90" t="s">
        <v>1038</v>
      </c>
      <c r="F1454" s="20"/>
      <c r="G1454" s="19"/>
      <c r="H1454" s="24"/>
      <c r="I1454" s="4"/>
      <c r="J1454" s="4"/>
      <c r="K1454" s="4"/>
      <c r="L1454" s="4"/>
      <c r="M1454" s="4"/>
      <c r="N1454" s="4"/>
      <c r="O1454" s="4"/>
      <c r="P1454" s="4"/>
      <c r="Q1454" s="4"/>
      <c r="R1454" s="4"/>
      <c r="S1454" s="4"/>
      <c r="T1454" s="4"/>
      <c r="U1454" s="4"/>
      <c r="V1454" s="4"/>
      <c r="W1454" s="4"/>
      <c r="X1454" s="4"/>
      <c r="Y1454" s="4"/>
      <c r="Z1454" s="4"/>
      <c r="AA1454" s="4"/>
      <c r="AB1454" s="4"/>
      <c r="AC1454" s="4"/>
      <c r="AD1454" s="4"/>
      <c r="AE1454" s="4"/>
      <c r="AF1454" s="4"/>
      <c r="AG1454" s="4"/>
    </row>
    <row r="1455" spans="1:33" s="17" customFormat="1" x14ac:dyDescent="0.2">
      <c r="A1455" s="4"/>
      <c r="B1455" s="49" t="s">
        <v>1774</v>
      </c>
      <c r="C1455" s="13"/>
      <c r="D1455" s="45"/>
      <c r="E1455" s="85"/>
      <c r="F1455" s="30"/>
      <c r="G1455" s="29"/>
      <c r="H1455" s="15"/>
    </row>
    <row r="1456" spans="1:33" x14ac:dyDescent="0.2">
      <c r="B1456" s="48"/>
      <c r="C1456" s="56" t="s">
        <v>1771</v>
      </c>
      <c r="D1456" s="44"/>
      <c r="E1456" s="90" t="s">
        <v>1034</v>
      </c>
      <c r="F1456" s="27"/>
      <c r="G1456" s="26"/>
      <c r="H1456" s="21" t="b">
        <f>IF(D1458="x",H$2,H$1)</f>
        <v>0</v>
      </c>
      <c r="I1456" s="4"/>
      <c r="J1456" s="4"/>
      <c r="K1456" s="4"/>
      <c r="L1456" s="4"/>
      <c r="M1456" s="4"/>
      <c r="N1456" s="4"/>
      <c r="O1456" s="4"/>
      <c r="P1456" s="4"/>
      <c r="Q1456" s="4"/>
      <c r="R1456" s="4"/>
      <c r="S1456" s="4"/>
      <c r="T1456" s="4"/>
      <c r="U1456" s="4"/>
      <c r="V1456" s="4"/>
      <c r="W1456" s="4"/>
      <c r="X1456" s="4"/>
      <c r="Y1456" s="4"/>
      <c r="Z1456" s="4"/>
      <c r="AA1456" s="4"/>
      <c r="AB1456" s="4"/>
      <c r="AC1456" s="4"/>
      <c r="AD1456" s="4"/>
      <c r="AE1456" s="4"/>
      <c r="AF1456" s="4"/>
      <c r="AG1456" s="4"/>
    </row>
    <row r="1457" spans="1:33" x14ac:dyDescent="0.2">
      <c r="B1457" s="48"/>
      <c r="C1457" s="57" t="s">
        <v>1775</v>
      </c>
      <c r="D1457" s="44"/>
      <c r="E1457" s="90" t="s">
        <v>1035</v>
      </c>
      <c r="F1457" s="22" t="str">
        <f>IF(H1458=1,IF(H1456=H$2,H1456,""),"")</f>
        <v/>
      </c>
      <c r="G1457" s="26"/>
      <c r="H1457" s="21" t="str">
        <f t="shared" ref="H1457" si="493">IF(E$1497="comprobar",COUNTIF(D1456:D1460,"x"),"")</f>
        <v/>
      </c>
      <c r="I1457" s="4"/>
      <c r="J1457" s="4"/>
      <c r="K1457" s="4"/>
      <c r="L1457" s="4"/>
      <c r="M1457" s="4"/>
      <c r="N1457" s="4"/>
      <c r="O1457" s="4"/>
      <c r="P1457" s="4"/>
      <c r="Q1457" s="4"/>
      <c r="R1457" s="4"/>
      <c r="S1457" s="4"/>
      <c r="T1457" s="4"/>
      <c r="U1457" s="4"/>
      <c r="V1457" s="4"/>
      <c r="W1457" s="4"/>
      <c r="X1457" s="4"/>
      <c r="Y1457" s="4"/>
      <c r="Z1457" s="4"/>
      <c r="AA1457" s="4"/>
      <c r="AB1457" s="4"/>
      <c r="AC1457" s="4"/>
      <c r="AD1457" s="4"/>
      <c r="AE1457" s="4"/>
      <c r="AF1457" s="4"/>
      <c r="AG1457" s="4"/>
    </row>
    <row r="1458" spans="1:33" x14ac:dyDescent="0.2">
      <c r="B1458" s="48"/>
      <c r="C1458" s="57" t="s">
        <v>1773</v>
      </c>
      <c r="D1458" s="44"/>
      <c r="E1458" s="90" t="s">
        <v>1036</v>
      </c>
      <c r="F1458" s="23" t="str">
        <f>IF(H1458=-0.33,IF(H1456=H$1,H1456,""),"")</f>
        <v/>
      </c>
      <c r="G1458" s="26"/>
      <c r="H1458" s="24">
        <f t="shared" ref="H1458" si="494">IF(H1457=1,IF(H1456=H$2,1,-0.33),0)</f>
        <v>0</v>
      </c>
      <c r="I1458" s="4"/>
      <c r="J1458" s="4"/>
      <c r="K1458" s="4"/>
      <c r="L1458" s="4"/>
      <c r="M1458" s="4"/>
      <c r="N1458" s="4"/>
      <c r="O1458" s="4"/>
      <c r="P1458" s="4"/>
      <c r="Q1458" s="4"/>
      <c r="R1458" s="4"/>
      <c r="S1458" s="4"/>
      <c r="T1458" s="4"/>
      <c r="U1458" s="4"/>
      <c r="V1458" s="4"/>
      <c r="W1458" s="4"/>
      <c r="X1458" s="4"/>
      <c r="Y1458" s="4"/>
      <c r="Z1458" s="4"/>
      <c r="AA1458" s="4"/>
      <c r="AB1458" s="4"/>
      <c r="AC1458" s="4"/>
      <c r="AD1458" s="4"/>
      <c r="AE1458" s="4"/>
      <c r="AF1458" s="4"/>
      <c r="AG1458" s="4"/>
    </row>
    <row r="1459" spans="1:33" x14ac:dyDescent="0.2">
      <c r="B1459" s="48"/>
      <c r="C1459" s="57"/>
      <c r="D1459" s="44"/>
      <c r="E1459" s="90" t="s">
        <v>1037</v>
      </c>
      <c r="F1459" s="28"/>
      <c r="G1459" s="26"/>
      <c r="H1459" s="24"/>
      <c r="I1459" s="4"/>
      <c r="J1459" s="4"/>
      <c r="K1459" s="4"/>
      <c r="L1459" s="4"/>
      <c r="M1459" s="4"/>
      <c r="N1459" s="4"/>
      <c r="O1459" s="4"/>
      <c r="P1459" s="4"/>
      <c r="Q1459" s="4"/>
      <c r="R1459" s="4"/>
      <c r="S1459" s="4"/>
      <c r="T1459" s="4"/>
      <c r="U1459" s="4"/>
      <c r="V1459" s="4"/>
      <c r="W1459" s="4"/>
      <c r="X1459" s="4"/>
      <c r="Y1459" s="4"/>
      <c r="Z1459" s="4"/>
      <c r="AA1459" s="4"/>
      <c r="AB1459" s="4"/>
      <c r="AC1459" s="4"/>
      <c r="AD1459" s="4"/>
      <c r="AE1459" s="4"/>
      <c r="AF1459" s="4"/>
      <c r="AG1459" s="4"/>
    </row>
    <row r="1460" spans="1:33" x14ac:dyDescent="0.2">
      <c r="B1460" s="48"/>
      <c r="C1460" s="8"/>
      <c r="D1460" s="44"/>
      <c r="E1460" s="90" t="s">
        <v>1038</v>
      </c>
      <c r="F1460" s="28"/>
      <c r="G1460" s="26"/>
      <c r="H1460" s="24"/>
      <c r="I1460" s="4"/>
      <c r="J1460" s="4"/>
      <c r="K1460" s="4"/>
      <c r="L1460" s="4"/>
      <c r="M1460" s="4"/>
      <c r="N1460" s="4"/>
      <c r="O1460" s="4"/>
      <c r="P1460" s="4"/>
      <c r="Q1460" s="4"/>
      <c r="R1460" s="4"/>
      <c r="S1460" s="4"/>
      <c r="T1460" s="4"/>
      <c r="U1460" s="4"/>
      <c r="V1460" s="4"/>
      <c r="W1460" s="4"/>
      <c r="X1460" s="4"/>
      <c r="Y1460" s="4"/>
      <c r="Z1460" s="4"/>
      <c r="AA1460" s="4"/>
      <c r="AB1460" s="4"/>
      <c r="AC1460" s="4"/>
      <c r="AD1460" s="4"/>
      <c r="AE1460" s="4"/>
      <c r="AF1460" s="4"/>
      <c r="AG1460" s="4"/>
    </row>
    <row r="1461" spans="1:33" s="17" customFormat="1" x14ac:dyDescent="0.2">
      <c r="A1461" s="4"/>
      <c r="B1461" s="109" t="s">
        <v>1776</v>
      </c>
      <c r="C1461" s="110"/>
      <c r="D1461" s="95"/>
      <c r="E1461" s="85"/>
      <c r="F1461" s="71"/>
      <c r="G1461" s="29"/>
      <c r="H1461" s="15"/>
    </row>
    <row r="1462" spans="1:33" x14ac:dyDescent="0.2">
      <c r="B1462" s="48"/>
      <c r="C1462" s="56" t="s">
        <v>1777</v>
      </c>
      <c r="D1462" s="44"/>
      <c r="E1462" s="90" t="s">
        <v>1034</v>
      </c>
      <c r="F1462" s="28"/>
      <c r="G1462" s="55"/>
      <c r="H1462" s="21" t="b">
        <f>IF(D1462="x",H$2,H$1)</f>
        <v>0</v>
      </c>
      <c r="I1462" s="4"/>
      <c r="J1462" s="4"/>
      <c r="K1462" s="4"/>
      <c r="L1462" s="4"/>
      <c r="M1462" s="4"/>
      <c r="N1462" s="4"/>
      <c r="O1462" s="4"/>
      <c r="P1462" s="4"/>
      <c r="Q1462" s="4"/>
      <c r="R1462" s="4"/>
      <c r="S1462" s="4"/>
      <c r="T1462" s="4"/>
      <c r="U1462" s="4"/>
      <c r="V1462" s="4"/>
      <c r="W1462" s="4"/>
      <c r="X1462" s="4"/>
      <c r="Y1462" s="4"/>
      <c r="Z1462" s="4"/>
      <c r="AA1462" s="4"/>
      <c r="AB1462" s="4"/>
      <c r="AC1462" s="4"/>
      <c r="AD1462" s="4"/>
      <c r="AE1462" s="4"/>
      <c r="AF1462" s="4"/>
      <c r="AG1462" s="4"/>
    </row>
    <row r="1463" spans="1:33" x14ac:dyDescent="0.2">
      <c r="B1463" s="52"/>
      <c r="C1463" s="57" t="s">
        <v>1778</v>
      </c>
      <c r="D1463" s="44"/>
      <c r="E1463" s="90" t="s">
        <v>1035</v>
      </c>
      <c r="F1463" s="22" t="str">
        <f>IF(H1464=1,IF(H1462=H$2,H1462,""),"")</f>
        <v/>
      </c>
      <c r="G1463" s="26"/>
      <c r="H1463" s="21" t="str">
        <f t="shared" ref="H1463" si="495">IF(E$1497="comprobar",COUNTIF(D1462:D1466,"x"),"")</f>
        <v/>
      </c>
      <c r="I1463" s="4"/>
      <c r="J1463" s="4"/>
      <c r="K1463" s="4"/>
      <c r="L1463" s="4"/>
      <c r="M1463" s="4"/>
      <c r="N1463" s="4"/>
      <c r="O1463" s="4"/>
      <c r="P1463" s="4"/>
      <c r="Q1463" s="4"/>
      <c r="R1463" s="4"/>
      <c r="S1463" s="4"/>
      <c r="T1463" s="4"/>
      <c r="U1463" s="4"/>
      <c r="V1463" s="4"/>
      <c r="W1463" s="4"/>
      <c r="X1463" s="4"/>
      <c r="Y1463" s="4"/>
      <c r="Z1463" s="4"/>
      <c r="AA1463" s="4"/>
      <c r="AB1463" s="4"/>
      <c r="AC1463" s="4"/>
      <c r="AD1463" s="4"/>
      <c r="AE1463" s="4"/>
      <c r="AF1463" s="4"/>
      <c r="AG1463" s="4"/>
    </row>
    <row r="1464" spans="1:33" x14ac:dyDescent="0.2">
      <c r="B1464" s="48"/>
      <c r="C1464" s="57" t="s">
        <v>1773</v>
      </c>
      <c r="D1464" s="44"/>
      <c r="E1464" s="90" t="s">
        <v>1036</v>
      </c>
      <c r="F1464" s="23" t="str">
        <f>IF(H1464=-0.33,IF(H1462=H$1,H1462,""),"")</f>
        <v/>
      </c>
      <c r="G1464" s="26"/>
      <c r="H1464" s="24">
        <f t="shared" ref="H1464" si="496">IF(H1463=1,IF(H1462=H$2,1,-0.33),0)</f>
        <v>0</v>
      </c>
      <c r="I1464" s="4"/>
      <c r="J1464" s="4"/>
      <c r="K1464" s="4"/>
      <c r="L1464" s="4"/>
      <c r="M1464" s="4"/>
      <c r="N1464" s="4"/>
      <c r="O1464" s="4"/>
      <c r="P1464" s="4"/>
      <c r="Q1464" s="4"/>
      <c r="R1464" s="4"/>
      <c r="S1464" s="4"/>
      <c r="T1464" s="4"/>
      <c r="U1464" s="4"/>
      <c r="V1464" s="4"/>
      <c r="W1464" s="4"/>
      <c r="X1464" s="4"/>
      <c r="Y1464" s="4"/>
      <c r="Z1464" s="4"/>
      <c r="AA1464" s="4"/>
      <c r="AB1464" s="4"/>
      <c r="AC1464" s="4"/>
      <c r="AD1464" s="4"/>
      <c r="AE1464" s="4"/>
      <c r="AF1464" s="4"/>
      <c r="AG1464" s="4"/>
    </row>
    <row r="1465" spans="1:33" x14ac:dyDescent="0.2">
      <c r="B1465" s="48"/>
      <c r="C1465" s="57"/>
      <c r="D1465" s="44"/>
      <c r="E1465" s="90" t="s">
        <v>1037</v>
      </c>
      <c r="F1465" s="28"/>
      <c r="G1465" s="26"/>
      <c r="H1465" s="24"/>
      <c r="I1465" s="4"/>
      <c r="J1465" s="4"/>
      <c r="K1465" s="4"/>
      <c r="L1465" s="4"/>
      <c r="M1465" s="4"/>
      <c r="N1465" s="4"/>
      <c r="O1465" s="4"/>
      <c r="P1465" s="4"/>
      <c r="Q1465" s="4"/>
      <c r="R1465" s="4"/>
      <c r="S1465" s="4"/>
      <c r="T1465" s="4"/>
      <c r="U1465" s="4"/>
      <c r="V1465" s="4"/>
      <c r="W1465" s="4"/>
      <c r="X1465" s="4"/>
      <c r="Y1465" s="4"/>
      <c r="Z1465" s="4"/>
      <c r="AA1465" s="4"/>
      <c r="AB1465" s="4"/>
      <c r="AC1465" s="4"/>
      <c r="AD1465" s="4"/>
      <c r="AE1465" s="4"/>
      <c r="AF1465" s="4"/>
      <c r="AG1465" s="4"/>
    </row>
    <row r="1466" spans="1:33" x14ac:dyDescent="0.2">
      <c r="B1466" s="48"/>
      <c r="C1466" s="8"/>
      <c r="D1466" s="44"/>
      <c r="E1466" s="90" t="s">
        <v>1038</v>
      </c>
      <c r="F1466" s="28"/>
      <c r="G1466" s="26"/>
      <c r="H1466" s="24"/>
      <c r="I1466" s="4"/>
      <c r="J1466" s="4"/>
      <c r="K1466" s="4"/>
      <c r="L1466" s="4"/>
      <c r="M1466" s="4"/>
      <c r="N1466" s="4"/>
      <c r="O1466" s="4"/>
      <c r="P1466" s="4"/>
      <c r="Q1466" s="4"/>
      <c r="R1466" s="4"/>
      <c r="S1466" s="4"/>
      <c r="T1466" s="4"/>
      <c r="U1466" s="4"/>
      <c r="V1466" s="4"/>
      <c r="W1466" s="4"/>
      <c r="X1466" s="4"/>
      <c r="Y1466" s="4"/>
      <c r="Z1466" s="4"/>
      <c r="AA1466" s="4"/>
      <c r="AB1466" s="4"/>
      <c r="AC1466" s="4"/>
      <c r="AD1466" s="4"/>
      <c r="AE1466" s="4"/>
      <c r="AF1466" s="4"/>
      <c r="AG1466" s="4"/>
    </row>
    <row r="1467" spans="1:33" s="17" customFormat="1" x14ac:dyDescent="0.2">
      <c r="A1467" s="4"/>
      <c r="B1467" s="49" t="s">
        <v>1779</v>
      </c>
      <c r="C1467" s="13"/>
      <c r="D1467" s="45"/>
      <c r="E1467" s="85"/>
      <c r="F1467" s="30"/>
      <c r="G1467" s="29"/>
      <c r="H1467" s="15"/>
    </row>
    <row r="1468" spans="1:33" x14ac:dyDescent="0.2">
      <c r="B1468" s="52"/>
      <c r="C1468" s="56" t="s">
        <v>1780</v>
      </c>
      <c r="D1468" s="44"/>
      <c r="E1468" s="90" t="s">
        <v>1034</v>
      </c>
      <c r="F1468" s="27"/>
      <c r="G1468" s="26"/>
      <c r="H1468" s="21" t="b">
        <f>IF(D1470="x",H$2,H$1)</f>
        <v>0</v>
      </c>
      <c r="I1468" s="4"/>
      <c r="J1468" s="4"/>
      <c r="K1468" s="4"/>
      <c r="L1468" s="4"/>
      <c r="M1468" s="4"/>
      <c r="N1468" s="4"/>
      <c r="O1468" s="4"/>
      <c r="P1468" s="4"/>
      <c r="Q1468" s="4"/>
      <c r="R1468" s="4"/>
      <c r="S1468" s="4"/>
      <c r="T1468" s="4"/>
      <c r="U1468" s="4"/>
      <c r="V1468" s="4"/>
      <c r="W1468" s="4"/>
      <c r="X1468" s="4"/>
      <c r="Y1468" s="4"/>
      <c r="Z1468" s="4"/>
      <c r="AA1468" s="4"/>
      <c r="AB1468" s="4"/>
      <c r="AC1468" s="4"/>
      <c r="AD1468" s="4"/>
      <c r="AE1468" s="4"/>
      <c r="AF1468" s="4"/>
      <c r="AG1468" s="4"/>
    </row>
    <row r="1469" spans="1:33" x14ac:dyDescent="0.2">
      <c r="B1469" s="48"/>
      <c r="C1469" s="57" t="s">
        <v>1781</v>
      </c>
      <c r="D1469" s="44"/>
      <c r="E1469" s="90" t="s">
        <v>1035</v>
      </c>
      <c r="F1469" s="22" t="str">
        <f>IF(H1470=1,IF(H1468=H$2,H1468,""),"")</f>
        <v/>
      </c>
      <c r="G1469" s="26"/>
      <c r="H1469" s="21" t="str">
        <f t="shared" ref="H1469" si="497">IF(E$1497="comprobar",COUNTIF(D1468:D1472,"x"),"")</f>
        <v/>
      </c>
      <c r="I1469" s="4"/>
      <c r="J1469" s="4"/>
      <c r="K1469" s="4"/>
      <c r="L1469" s="4"/>
      <c r="M1469" s="4"/>
      <c r="N1469" s="4"/>
      <c r="O1469" s="4"/>
      <c r="P1469" s="4"/>
      <c r="Q1469" s="4"/>
      <c r="R1469" s="4"/>
      <c r="S1469" s="4"/>
      <c r="T1469" s="4"/>
      <c r="U1469" s="4"/>
      <c r="V1469" s="4"/>
      <c r="W1469" s="4"/>
      <c r="X1469" s="4"/>
      <c r="Y1469" s="4"/>
      <c r="Z1469" s="4"/>
      <c r="AA1469" s="4"/>
      <c r="AB1469" s="4"/>
      <c r="AC1469" s="4"/>
      <c r="AD1469" s="4"/>
      <c r="AE1469" s="4"/>
      <c r="AF1469" s="4"/>
      <c r="AG1469" s="4"/>
    </row>
    <row r="1470" spans="1:33" x14ac:dyDescent="0.2">
      <c r="B1470" s="48"/>
      <c r="C1470" s="57" t="s">
        <v>1782</v>
      </c>
      <c r="D1470" s="44"/>
      <c r="E1470" s="90" t="s">
        <v>1036</v>
      </c>
      <c r="F1470" s="23" t="str">
        <f>IF(H1470=-0.33,IF(H1468=H$1,H1468,""),"")</f>
        <v/>
      </c>
      <c r="G1470" s="26"/>
      <c r="H1470" s="24">
        <f t="shared" ref="H1470" si="498">IF(H1469=1,IF(H1468=H$2,1,-0.33),0)</f>
        <v>0</v>
      </c>
      <c r="I1470" s="4"/>
      <c r="J1470" s="4"/>
      <c r="K1470" s="4"/>
      <c r="L1470" s="4"/>
      <c r="M1470" s="4"/>
      <c r="N1470" s="4"/>
      <c r="O1470" s="4"/>
      <c r="P1470" s="4"/>
      <c r="Q1470" s="4"/>
      <c r="R1470" s="4"/>
      <c r="S1470" s="4"/>
      <c r="T1470" s="4"/>
      <c r="U1470" s="4"/>
      <c r="V1470" s="4"/>
      <c r="W1470" s="4"/>
      <c r="X1470" s="4"/>
      <c r="Y1470" s="4"/>
      <c r="Z1470" s="4"/>
      <c r="AA1470" s="4"/>
      <c r="AB1470" s="4"/>
      <c r="AC1470" s="4"/>
      <c r="AD1470" s="4"/>
      <c r="AE1470" s="4"/>
      <c r="AF1470" s="4"/>
      <c r="AG1470" s="4"/>
    </row>
    <row r="1471" spans="1:33" x14ac:dyDescent="0.2">
      <c r="B1471" s="52"/>
      <c r="C1471" s="57" t="s">
        <v>622</v>
      </c>
      <c r="D1471" s="44"/>
      <c r="E1471" s="90" t="s">
        <v>1037</v>
      </c>
      <c r="F1471" s="28"/>
      <c r="G1471" s="26"/>
      <c r="H1471" s="24"/>
      <c r="I1471" s="4"/>
      <c r="J1471" s="4"/>
      <c r="K1471" s="4"/>
      <c r="L1471" s="4"/>
      <c r="M1471" s="4"/>
      <c r="N1471" s="4"/>
      <c r="O1471" s="4"/>
      <c r="P1471" s="4"/>
      <c r="Q1471" s="4"/>
      <c r="R1471" s="4"/>
      <c r="S1471" s="4"/>
      <c r="T1471" s="4"/>
      <c r="U1471" s="4"/>
      <c r="V1471" s="4"/>
      <c r="W1471" s="4"/>
      <c r="X1471" s="4"/>
      <c r="Y1471" s="4"/>
      <c r="Z1471" s="4"/>
      <c r="AA1471" s="4"/>
      <c r="AB1471" s="4"/>
      <c r="AC1471" s="4"/>
      <c r="AD1471" s="4"/>
      <c r="AE1471" s="4"/>
      <c r="AF1471" s="4"/>
      <c r="AG1471" s="4"/>
    </row>
    <row r="1472" spans="1:33" x14ac:dyDescent="0.2">
      <c r="B1472" s="48"/>
      <c r="C1472" s="8"/>
      <c r="D1472" s="44"/>
      <c r="E1472" s="90" t="s">
        <v>1038</v>
      </c>
      <c r="F1472" s="28"/>
      <c r="G1472" s="26"/>
      <c r="H1472" s="24"/>
      <c r="I1472" s="4"/>
      <c r="J1472" s="4"/>
      <c r="K1472" s="4"/>
      <c r="L1472" s="4"/>
      <c r="M1472" s="4"/>
      <c r="N1472" s="4"/>
      <c r="O1472" s="4"/>
      <c r="P1472" s="4"/>
      <c r="Q1472" s="4"/>
      <c r="R1472" s="4"/>
      <c r="S1472" s="4"/>
      <c r="T1472" s="4"/>
      <c r="U1472" s="4"/>
      <c r="V1472" s="4"/>
      <c r="W1472" s="4"/>
      <c r="X1472" s="4"/>
      <c r="Y1472" s="4"/>
      <c r="Z1472" s="4"/>
      <c r="AA1472" s="4"/>
      <c r="AB1472" s="4"/>
      <c r="AC1472" s="4"/>
      <c r="AD1472" s="4"/>
      <c r="AE1472" s="4"/>
      <c r="AF1472" s="4"/>
      <c r="AG1472" s="4"/>
    </row>
    <row r="1473" spans="1:33" s="17" customFormat="1" x14ac:dyDescent="0.2">
      <c r="A1473" s="4"/>
      <c r="B1473" s="49" t="s">
        <v>1783</v>
      </c>
      <c r="C1473" s="13"/>
      <c r="D1473" s="45"/>
      <c r="E1473" s="85"/>
      <c r="F1473" s="30"/>
      <c r="G1473" s="29"/>
      <c r="H1473" s="15"/>
    </row>
    <row r="1474" spans="1:33" s="4" customFormat="1" ht="32" x14ac:dyDescent="0.2">
      <c r="B1474" s="52"/>
      <c r="C1474" s="60" t="s">
        <v>1784</v>
      </c>
      <c r="D1474" s="44"/>
      <c r="E1474" s="90" t="s">
        <v>1034</v>
      </c>
      <c r="F1474" s="28"/>
      <c r="G1474" s="55"/>
      <c r="H1474" s="21" t="b">
        <f>IF(D1477="x",H$2,H$1)</f>
        <v>0</v>
      </c>
    </row>
    <row r="1475" spans="1:33" ht="32" x14ac:dyDescent="0.2">
      <c r="B1475" s="48"/>
      <c r="C1475" s="61" t="s">
        <v>1785</v>
      </c>
      <c r="D1475" s="44"/>
      <c r="E1475" s="90" t="s">
        <v>1035</v>
      </c>
      <c r="F1475" s="22" t="str">
        <f>IF(H1476=1,IF(H1474=H$2,H1474,""),"")</f>
        <v/>
      </c>
      <c r="G1475" s="26"/>
      <c r="H1475" s="21" t="str">
        <f t="shared" ref="H1475" si="499">IF(E$1497="comprobar",COUNTIF(D1474:D1478,"x"),"")</f>
        <v/>
      </c>
      <c r="I1475" s="4"/>
      <c r="J1475" s="4"/>
      <c r="K1475" s="4"/>
      <c r="L1475" s="4"/>
      <c r="M1475" s="4"/>
      <c r="N1475" s="4"/>
      <c r="O1475" s="4"/>
      <c r="P1475" s="4"/>
      <c r="Q1475" s="4"/>
      <c r="R1475" s="4"/>
      <c r="S1475" s="4"/>
      <c r="T1475" s="4"/>
      <c r="U1475" s="4"/>
      <c r="V1475" s="4"/>
      <c r="W1475" s="4"/>
      <c r="X1475" s="4"/>
      <c r="Y1475" s="4"/>
      <c r="Z1475" s="4"/>
      <c r="AA1475" s="4"/>
      <c r="AB1475" s="4"/>
      <c r="AC1475" s="4"/>
      <c r="AD1475" s="4"/>
      <c r="AE1475" s="4"/>
      <c r="AF1475" s="4"/>
      <c r="AG1475" s="4"/>
    </row>
    <row r="1476" spans="1:33" ht="32" x14ac:dyDescent="0.2">
      <c r="B1476" s="48"/>
      <c r="C1476" s="61" t="s">
        <v>1786</v>
      </c>
      <c r="D1476" s="44"/>
      <c r="E1476" s="90" t="s">
        <v>1036</v>
      </c>
      <c r="F1476" s="23" t="str">
        <f>IF(H1476=-0.33,IF(H1474=H$1,H1474,""),"")</f>
        <v/>
      </c>
      <c r="G1476" s="26"/>
      <c r="H1476" s="24">
        <f t="shared" ref="H1476" si="500">IF(H1475=1,IF(H1474=H$2,1,-0.33),0)</f>
        <v>0</v>
      </c>
      <c r="I1476" s="4"/>
      <c r="J1476" s="4"/>
      <c r="K1476" s="4"/>
      <c r="L1476" s="4"/>
      <c r="M1476" s="4"/>
      <c r="N1476" s="4"/>
      <c r="O1476" s="4"/>
      <c r="P1476" s="4"/>
      <c r="Q1476" s="4"/>
      <c r="R1476" s="4"/>
      <c r="S1476" s="4"/>
      <c r="T1476" s="4"/>
      <c r="U1476" s="4"/>
      <c r="V1476" s="4"/>
      <c r="W1476" s="4"/>
      <c r="X1476" s="4"/>
      <c r="Y1476" s="4"/>
      <c r="Z1476" s="4"/>
      <c r="AA1476" s="4"/>
      <c r="AB1476" s="4"/>
      <c r="AC1476" s="4"/>
      <c r="AD1476" s="4"/>
      <c r="AE1476" s="4"/>
      <c r="AF1476" s="4"/>
      <c r="AG1476" s="4"/>
    </row>
    <row r="1477" spans="1:33" x14ac:dyDescent="0.2">
      <c r="B1477" s="48"/>
      <c r="C1477" s="57" t="s">
        <v>622</v>
      </c>
      <c r="D1477" s="44"/>
      <c r="E1477" s="90" t="s">
        <v>1037</v>
      </c>
      <c r="F1477" s="28"/>
      <c r="G1477" s="26"/>
      <c r="H1477" s="24"/>
      <c r="I1477" s="4"/>
      <c r="J1477" s="4"/>
      <c r="K1477" s="4"/>
      <c r="L1477" s="4"/>
      <c r="M1477" s="4"/>
      <c r="N1477" s="4"/>
      <c r="O1477" s="4"/>
      <c r="P1477" s="4"/>
      <c r="Q1477" s="4"/>
      <c r="R1477" s="4"/>
      <c r="S1477" s="4"/>
      <c r="T1477" s="4"/>
      <c r="U1477" s="4"/>
      <c r="V1477" s="4"/>
      <c r="W1477" s="4"/>
      <c r="X1477" s="4"/>
      <c r="Y1477" s="4"/>
      <c r="Z1477" s="4"/>
      <c r="AA1477" s="4"/>
      <c r="AB1477" s="4"/>
      <c r="AC1477" s="4"/>
      <c r="AD1477" s="4"/>
      <c r="AE1477" s="4"/>
      <c r="AF1477" s="4"/>
      <c r="AG1477" s="4"/>
    </row>
    <row r="1478" spans="1:33" x14ac:dyDescent="0.2">
      <c r="B1478" s="48"/>
      <c r="C1478" s="8"/>
      <c r="D1478" s="44"/>
      <c r="E1478" s="90" t="s">
        <v>1038</v>
      </c>
      <c r="F1478" s="28"/>
      <c r="G1478" s="26"/>
      <c r="H1478" s="24"/>
      <c r="I1478" s="4"/>
      <c r="J1478" s="4"/>
      <c r="K1478" s="4"/>
      <c r="L1478" s="4"/>
      <c r="M1478" s="4"/>
      <c r="N1478" s="4"/>
      <c r="O1478" s="4"/>
      <c r="P1478" s="4"/>
      <c r="Q1478" s="4"/>
      <c r="R1478" s="4"/>
      <c r="S1478" s="4"/>
      <c r="T1478" s="4"/>
      <c r="U1478" s="4"/>
      <c r="V1478" s="4"/>
      <c r="W1478" s="4"/>
      <c r="X1478" s="4"/>
      <c r="Y1478" s="4"/>
      <c r="Z1478" s="4"/>
      <c r="AA1478" s="4"/>
      <c r="AB1478" s="4"/>
      <c r="AC1478" s="4"/>
      <c r="AD1478" s="4"/>
      <c r="AE1478" s="4"/>
      <c r="AF1478" s="4"/>
      <c r="AG1478" s="4"/>
    </row>
    <row r="1479" spans="1:33" s="17" customFormat="1" x14ac:dyDescent="0.2">
      <c r="A1479" s="4"/>
      <c r="B1479" s="49" t="s">
        <v>1787</v>
      </c>
      <c r="C1479" s="13"/>
      <c r="D1479" s="45"/>
      <c r="E1479" s="85"/>
      <c r="F1479" s="30"/>
      <c r="G1479" s="29"/>
      <c r="H1479" s="15"/>
    </row>
    <row r="1480" spans="1:33" x14ac:dyDescent="0.2">
      <c r="B1480" s="48"/>
      <c r="C1480" s="56" t="s">
        <v>1788</v>
      </c>
      <c r="D1480" s="44"/>
      <c r="E1480" s="90" t="s">
        <v>1034</v>
      </c>
      <c r="F1480" s="27"/>
      <c r="G1480" s="26"/>
      <c r="H1480" s="21" t="b">
        <f>IF(D1480="x",H$2,H$1)</f>
        <v>0</v>
      </c>
      <c r="I1480" s="4"/>
      <c r="J1480" s="4"/>
      <c r="K1480" s="4"/>
      <c r="L1480" s="4"/>
      <c r="M1480" s="4"/>
      <c r="N1480" s="4"/>
      <c r="O1480" s="4"/>
      <c r="P1480" s="4"/>
      <c r="Q1480" s="4"/>
      <c r="R1480" s="4"/>
      <c r="S1480" s="4"/>
      <c r="T1480" s="4"/>
      <c r="U1480" s="4"/>
      <c r="V1480" s="4"/>
      <c r="W1480" s="4"/>
      <c r="X1480" s="4"/>
      <c r="Y1480" s="4"/>
      <c r="Z1480" s="4"/>
      <c r="AA1480" s="4"/>
      <c r="AB1480" s="4"/>
      <c r="AC1480" s="4"/>
      <c r="AD1480" s="4"/>
      <c r="AE1480" s="4"/>
      <c r="AF1480" s="4"/>
      <c r="AG1480" s="4"/>
    </row>
    <row r="1481" spans="1:33" x14ac:dyDescent="0.2">
      <c r="B1481" s="52"/>
      <c r="C1481" s="57" t="s">
        <v>1789</v>
      </c>
      <c r="D1481" s="44"/>
      <c r="E1481" s="90" t="s">
        <v>1035</v>
      </c>
      <c r="F1481" s="22" t="str">
        <f>IF(H1482=1,IF(H1480=H$2,H1480,""),"")</f>
        <v/>
      </c>
      <c r="G1481" s="26"/>
      <c r="H1481" s="21" t="str">
        <f t="shared" ref="H1481" si="501">IF(E$1497="comprobar",COUNTIF(D1480:D1484,"x"),"")</f>
        <v/>
      </c>
      <c r="I1481" s="4"/>
      <c r="J1481" s="4"/>
      <c r="K1481" s="4"/>
      <c r="L1481" s="4"/>
      <c r="M1481" s="4"/>
      <c r="N1481" s="4"/>
      <c r="O1481" s="4"/>
      <c r="P1481" s="4"/>
      <c r="Q1481" s="4"/>
      <c r="R1481" s="4"/>
      <c r="S1481" s="4"/>
      <c r="T1481" s="4"/>
      <c r="U1481" s="4"/>
      <c r="V1481" s="4"/>
      <c r="W1481" s="4"/>
      <c r="X1481" s="4"/>
      <c r="Y1481" s="4"/>
      <c r="Z1481" s="4"/>
      <c r="AA1481" s="4"/>
      <c r="AB1481" s="4"/>
      <c r="AC1481" s="4"/>
      <c r="AD1481" s="4"/>
      <c r="AE1481" s="4"/>
      <c r="AF1481" s="4"/>
      <c r="AG1481" s="4"/>
    </row>
    <row r="1482" spans="1:33" x14ac:dyDescent="0.2">
      <c r="B1482" s="48"/>
      <c r="C1482" s="57" t="s">
        <v>1790</v>
      </c>
      <c r="D1482" s="44"/>
      <c r="E1482" s="90" t="s">
        <v>1036</v>
      </c>
      <c r="F1482" s="23" t="str">
        <f>IF(H1482=-0.33,IF(H1480=H$1,H1480,""),"")</f>
        <v/>
      </c>
      <c r="G1482" s="26"/>
      <c r="H1482" s="24">
        <f t="shared" ref="H1482" si="502">IF(H1481=1,IF(H1480=H$2,1,-0.33),0)</f>
        <v>0</v>
      </c>
      <c r="I1482" s="4"/>
      <c r="J1482" s="4"/>
      <c r="K1482" s="4"/>
      <c r="L1482" s="4"/>
      <c r="M1482" s="4"/>
      <c r="N1482" s="4"/>
      <c r="O1482" s="4"/>
      <c r="P1482" s="4"/>
      <c r="Q1482" s="4"/>
      <c r="R1482" s="4"/>
      <c r="S1482" s="4"/>
      <c r="T1482" s="4"/>
      <c r="U1482" s="4"/>
      <c r="V1482" s="4"/>
      <c r="W1482" s="4"/>
      <c r="X1482" s="4"/>
      <c r="Y1482" s="4"/>
      <c r="Z1482" s="4"/>
      <c r="AA1482" s="4"/>
      <c r="AB1482" s="4"/>
      <c r="AC1482" s="4"/>
      <c r="AD1482" s="4"/>
      <c r="AE1482" s="4"/>
      <c r="AF1482" s="4"/>
      <c r="AG1482" s="4"/>
    </row>
    <row r="1483" spans="1:33" x14ac:dyDescent="0.2">
      <c r="B1483" s="48"/>
      <c r="C1483" s="57" t="s">
        <v>1791</v>
      </c>
      <c r="D1483" s="44"/>
      <c r="E1483" s="90" t="s">
        <v>1037</v>
      </c>
      <c r="F1483" s="28"/>
      <c r="G1483" s="55"/>
      <c r="H1483" s="24"/>
      <c r="I1483" s="4"/>
      <c r="J1483" s="4"/>
      <c r="K1483" s="4"/>
      <c r="L1483" s="4"/>
      <c r="M1483" s="4"/>
      <c r="N1483" s="4"/>
      <c r="O1483" s="4"/>
      <c r="P1483" s="4"/>
      <c r="Q1483" s="4"/>
      <c r="R1483" s="4"/>
      <c r="S1483" s="4"/>
      <c r="T1483" s="4"/>
      <c r="U1483" s="4"/>
      <c r="V1483" s="4"/>
      <c r="W1483" s="4"/>
      <c r="X1483" s="4"/>
      <c r="Y1483" s="4"/>
      <c r="Z1483" s="4"/>
      <c r="AA1483" s="4"/>
      <c r="AB1483" s="4"/>
      <c r="AC1483" s="4"/>
      <c r="AD1483" s="4"/>
      <c r="AE1483" s="4"/>
      <c r="AF1483" s="4"/>
      <c r="AG1483" s="4"/>
    </row>
    <row r="1484" spans="1:33" x14ac:dyDescent="0.2">
      <c r="B1484" s="48"/>
      <c r="C1484" s="8"/>
      <c r="D1484" s="44"/>
      <c r="E1484" s="90" t="s">
        <v>1038</v>
      </c>
      <c r="F1484" s="28"/>
      <c r="G1484" s="26"/>
      <c r="H1484" s="24"/>
      <c r="I1484" s="4"/>
      <c r="J1484" s="4"/>
      <c r="K1484" s="4"/>
      <c r="L1484" s="4"/>
      <c r="M1484" s="4"/>
      <c r="N1484" s="4"/>
      <c r="O1484" s="4"/>
      <c r="P1484" s="4"/>
      <c r="Q1484" s="4"/>
      <c r="R1484" s="4"/>
      <c r="S1484" s="4"/>
      <c r="T1484" s="4"/>
      <c r="U1484" s="4"/>
      <c r="V1484" s="4"/>
      <c r="W1484" s="4"/>
      <c r="X1484" s="4"/>
      <c r="Y1484" s="4"/>
      <c r="Z1484" s="4"/>
      <c r="AA1484" s="4"/>
      <c r="AB1484" s="4"/>
      <c r="AC1484" s="4"/>
      <c r="AD1484" s="4"/>
      <c r="AE1484" s="4"/>
      <c r="AF1484" s="4"/>
      <c r="AG1484" s="4"/>
    </row>
    <row r="1485" spans="1:33" s="17" customFormat="1" x14ac:dyDescent="0.2">
      <c r="A1485" s="4"/>
      <c r="B1485" s="49" t="s">
        <v>1792</v>
      </c>
      <c r="C1485" s="36"/>
      <c r="D1485" s="45"/>
      <c r="E1485" s="85"/>
      <c r="F1485" s="30"/>
      <c r="G1485" s="29"/>
      <c r="H1485" s="15"/>
    </row>
    <row r="1486" spans="1:33" x14ac:dyDescent="0.2">
      <c r="B1486" s="48"/>
      <c r="C1486" s="56" t="s">
        <v>1793</v>
      </c>
      <c r="D1486" s="44"/>
      <c r="E1486" s="90" t="s">
        <v>1034</v>
      </c>
      <c r="F1486" s="27"/>
      <c r="G1486" s="26"/>
      <c r="H1486" s="21" t="b">
        <f>IF(D1488="x",H$2,H$1)</f>
        <v>0</v>
      </c>
      <c r="I1486" s="4"/>
      <c r="J1486" s="4"/>
      <c r="K1486" s="4"/>
      <c r="L1486" s="4"/>
      <c r="M1486" s="4"/>
      <c r="N1486" s="4"/>
      <c r="O1486" s="4"/>
      <c r="P1486" s="4"/>
      <c r="Q1486" s="4"/>
      <c r="R1486" s="4"/>
      <c r="S1486" s="4"/>
      <c r="T1486" s="4"/>
      <c r="U1486" s="4"/>
      <c r="V1486" s="4"/>
      <c r="W1486" s="4"/>
      <c r="X1486" s="4"/>
      <c r="Y1486" s="4"/>
      <c r="Z1486" s="4"/>
      <c r="AA1486" s="4"/>
      <c r="AB1486" s="4"/>
      <c r="AC1486" s="4"/>
      <c r="AD1486" s="4"/>
      <c r="AE1486" s="4"/>
      <c r="AF1486" s="4"/>
      <c r="AG1486" s="4"/>
    </row>
    <row r="1487" spans="1:33" x14ac:dyDescent="0.2">
      <c r="B1487" s="48"/>
      <c r="C1487" s="57" t="s">
        <v>1794</v>
      </c>
      <c r="D1487" s="44"/>
      <c r="E1487" s="90" t="s">
        <v>1035</v>
      </c>
      <c r="F1487" s="22" t="str">
        <f>IF(H1488=1,IF(H1486=H$2,H1486,""),"")</f>
        <v/>
      </c>
      <c r="G1487" s="26"/>
      <c r="H1487" s="21" t="str">
        <f t="shared" ref="H1487" si="503">IF(E$1497="comprobar",COUNTIF(D1486:D1490,"x"),"")</f>
        <v/>
      </c>
      <c r="I1487" s="4"/>
      <c r="J1487" s="4"/>
      <c r="K1487" s="4"/>
      <c r="L1487" s="4"/>
      <c r="M1487" s="4"/>
      <c r="N1487" s="4"/>
      <c r="O1487" s="4"/>
      <c r="P1487" s="4"/>
      <c r="Q1487" s="4"/>
      <c r="R1487" s="4"/>
      <c r="S1487" s="4"/>
      <c r="T1487" s="4"/>
      <c r="U1487" s="4"/>
      <c r="V1487" s="4"/>
      <c r="W1487" s="4"/>
      <c r="X1487" s="4"/>
      <c r="Y1487" s="4"/>
      <c r="Z1487" s="4"/>
      <c r="AA1487" s="4"/>
      <c r="AB1487" s="4"/>
      <c r="AC1487" s="4"/>
      <c r="AD1487" s="4"/>
      <c r="AE1487" s="4"/>
      <c r="AF1487" s="4"/>
      <c r="AG1487" s="4"/>
    </row>
    <row r="1488" spans="1:33" x14ac:dyDescent="0.2">
      <c r="B1488" s="52"/>
      <c r="C1488" s="57" t="s">
        <v>590</v>
      </c>
      <c r="D1488" s="44"/>
      <c r="E1488" s="90" t="s">
        <v>1036</v>
      </c>
      <c r="F1488" s="23" t="str">
        <f>IF(H1488=-0.33,IF(H1486=H$1,H1486,""),"")</f>
        <v/>
      </c>
      <c r="G1488" s="26"/>
      <c r="H1488" s="24">
        <f t="shared" ref="H1488" si="504">IF(H1487=1,IF(H1486=H$2,1,-0.33),0)</f>
        <v>0</v>
      </c>
      <c r="I1488" s="4"/>
      <c r="J1488" s="4"/>
      <c r="K1488" s="4"/>
      <c r="L1488" s="4"/>
      <c r="M1488" s="4"/>
      <c r="N1488" s="4"/>
      <c r="O1488" s="4"/>
      <c r="P1488" s="4"/>
      <c r="Q1488" s="4"/>
      <c r="R1488" s="4"/>
      <c r="S1488" s="4"/>
      <c r="T1488" s="4"/>
      <c r="U1488" s="4"/>
      <c r="V1488" s="4"/>
      <c r="W1488" s="4"/>
      <c r="X1488" s="4"/>
      <c r="Y1488" s="4"/>
      <c r="Z1488" s="4"/>
      <c r="AA1488" s="4"/>
      <c r="AB1488" s="4"/>
      <c r="AC1488" s="4"/>
      <c r="AD1488" s="4"/>
      <c r="AE1488" s="4"/>
      <c r="AF1488" s="4"/>
      <c r="AG1488" s="4"/>
    </row>
    <row r="1489" spans="1:33" x14ac:dyDescent="0.2">
      <c r="B1489" s="48"/>
      <c r="C1489" s="57"/>
      <c r="D1489" s="44"/>
      <c r="E1489" s="90" t="s">
        <v>1037</v>
      </c>
      <c r="F1489" s="28"/>
      <c r="G1489" s="26"/>
      <c r="H1489" s="24"/>
      <c r="I1489" s="4"/>
      <c r="J1489" s="4"/>
      <c r="K1489" s="4"/>
      <c r="L1489" s="4"/>
      <c r="M1489" s="4"/>
      <c r="N1489" s="4"/>
      <c r="O1489" s="4"/>
      <c r="P1489" s="4"/>
      <c r="Q1489" s="4"/>
      <c r="R1489" s="4"/>
      <c r="S1489" s="4"/>
      <c r="T1489" s="4"/>
      <c r="U1489" s="4"/>
      <c r="V1489" s="4"/>
      <c r="W1489" s="4"/>
      <c r="X1489" s="4"/>
      <c r="Y1489" s="4"/>
      <c r="Z1489" s="4"/>
      <c r="AA1489" s="4"/>
      <c r="AB1489" s="4"/>
      <c r="AC1489" s="4"/>
      <c r="AD1489" s="4"/>
      <c r="AE1489" s="4"/>
      <c r="AF1489" s="4"/>
      <c r="AG1489" s="4"/>
    </row>
    <row r="1490" spans="1:33" x14ac:dyDescent="0.2">
      <c r="B1490" s="48"/>
      <c r="C1490" s="8"/>
      <c r="D1490" s="44"/>
      <c r="E1490" s="90" t="s">
        <v>1038</v>
      </c>
      <c r="F1490" s="28"/>
      <c r="G1490" s="26"/>
      <c r="H1490" s="24"/>
      <c r="I1490" s="4"/>
      <c r="J1490" s="4"/>
      <c r="K1490" s="4"/>
      <c r="L1490" s="4"/>
      <c r="M1490" s="4"/>
      <c r="N1490" s="4"/>
      <c r="O1490" s="4"/>
      <c r="P1490" s="4"/>
      <c r="Q1490" s="4"/>
      <c r="R1490" s="4"/>
      <c r="S1490" s="4"/>
      <c r="T1490" s="4"/>
      <c r="U1490" s="4"/>
      <c r="V1490" s="4"/>
      <c r="W1490" s="4"/>
      <c r="X1490" s="4"/>
      <c r="Y1490" s="4"/>
      <c r="Z1490" s="4"/>
      <c r="AA1490" s="4"/>
      <c r="AB1490" s="4"/>
      <c r="AC1490" s="4"/>
      <c r="AD1490" s="4"/>
      <c r="AE1490" s="4"/>
      <c r="AF1490" s="4"/>
      <c r="AG1490" s="4"/>
    </row>
    <row r="1491" spans="1:33" s="17" customFormat="1" x14ac:dyDescent="0.2">
      <c r="A1491" s="4"/>
      <c r="B1491" s="49" t="s">
        <v>1795</v>
      </c>
      <c r="C1491" s="13"/>
      <c r="D1491" s="45"/>
      <c r="E1491" s="85"/>
      <c r="F1491" s="30"/>
      <c r="G1491" s="29"/>
      <c r="H1491" s="15"/>
    </row>
    <row r="1492" spans="1:33" x14ac:dyDescent="0.2">
      <c r="B1492" s="52"/>
      <c r="C1492" s="56" t="s">
        <v>1796</v>
      </c>
      <c r="D1492" s="44"/>
      <c r="E1492" s="90" t="s">
        <v>1034</v>
      </c>
      <c r="F1492" s="28"/>
      <c r="G1492" s="55"/>
      <c r="H1492" s="21" t="b">
        <f>IF(D1493="x",H$2,H$1)</f>
        <v>0</v>
      </c>
      <c r="I1492" s="4"/>
      <c r="J1492" s="4"/>
      <c r="K1492" s="4"/>
      <c r="L1492" s="4"/>
      <c r="M1492" s="4"/>
      <c r="N1492" s="4"/>
      <c r="O1492" s="4"/>
      <c r="P1492" s="4"/>
      <c r="Q1492" s="4"/>
      <c r="R1492" s="4"/>
      <c r="S1492" s="4"/>
      <c r="T1492" s="4"/>
      <c r="U1492" s="4"/>
      <c r="V1492" s="4"/>
      <c r="W1492" s="4"/>
      <c r="X1492" s="4"/>
      <c r="Y1492" s="4"/>
      <c r="Z1492" s="4"/>
      <c r="AA1492" s="4"/>
      <c r="AB1492" s="4"/>
      <c r="AC1492" s="4"/>
      <c r="AD1492" s="4"/>
      <c r="AE1492" s="4"/>
      <c r="AF1492" s="4"/>
      <c r="AG1492" s="4"/>
    </row>
    <row r="1493" spans="1:33" x14ac:dyDescent="0.2">
      <c r="B1493" s="48"/>
      <c r="C1493" s="61" t="s">
        <v>1797</v>
      </c>
      <c r="D1493" s="44"/>
      <c r="E1493" s="90" t="s">
        <v>1035</v>
      </c>
      <c r="F1493" s="22" t="str">
        <f>IF(H1494=1,IF(H1492=H$2,H1492,""),"")</f>
        <v/>
      </c>
      <c r="G1493" s="26"/>
      <c r="H1493" s="21" t="str">
        <f t="shared" ref="H1493" si="505">IF(E$1497="comprobar",COUNTIF(D1492:D1496,"x"),"")</f>
        <v/>
      </c>
      <c r="I1493" s="4"/>
      <c r="J1493" s="4"/>
      <c r="K1493" s="4"/>
      <c r="L1493" s="4"/>
      <c r="M1493" s="4"/>
      <c r="N1493" s="4"/>
      <c r="O1493" s="4"/>
      <c r="P1493" s="4"/>
      <c r="Q1493" s="4"/>
      <c r="R1493" s="4"/>
      <c r="S1493" s="4"/>
      <c r="T1493" s="4"/>
      <c r="U1493" s="4"/>
      <c r="V1493" s="4"/>
      <c r="W1493" s="4"/>
      <c r="X1493" s="4"/>
      <c r="Y1493" s="4"/>
      <c r="Z1493" s="4"/>
      <c r="AA1493" s="4"/>
      <c r="AB1493" s="4"/>
      <c r="AC1493" s="4"/>
      <c r="AD1493" s="4"/>
      <c r="AE1493" s="4"/>
      <c r="AF1493" s="4"/>
      <c r="AG1493" s="4"/>
    </row>
    <row r="1494" spans="1:33" x14ac:dyDescent="0.2">
      <c r="B1494" s="48"/>
      <c r="C1494" s="57" t="s">
        <v>1798</v>
      </c>
      <c r="D1494" s="44"/>
      <c r="E1494" s="90" t="s">
        <v>1036</v>
      </c>
      <c r="F1494" s="23" t="str">
        <f>IF(H1494=-0.33,IF(H1492=H$1,H1492,""),"")</f>
        <v/>
      </c>
      <c r="G1494" s="26"/>
      <c r="H1494" s="24">
        <f t="shared" ref="H1494" si="506">IF(H1493=1,IF(H1492=H$2,1,-0.33),0)</f>
        <v>0</v>
      </c>
      <c r="I1494" s="4"/>
      <c r="J1494" s="4"/>
      <c r="K1494" s="4"/>
      <c r="L1494" s="4"/>
      <c r="M1494" s="4"/>
      <c r="N1494" s="4"/>
      <c r="O1494" s="4"/>
      <c r="P1494" s="4"/>
      <c r="Q1494" s="4"/>
      <c r="R1494" s="4"/>
      <c r="S1494" s="4"/>
      <c r="T1494" s="4"/>
      <c r="U1494" s="4"/>
      <c r="V1494" s="4"/>
      <c r="W1494" s="4"/>
      <c r="X1494" s="4"/>
      <c r="Y1494" s="4"/>
      <c r="Z1494" s="4"/>
      <c r="AA1494" s="4"/>
      <c r="AB1494" s="4"/>
      <c r="AC1494" s="4"/>
      <c r="AD1494" s="4"/>
      <c r="AE1494" s="4"/>
      <c r="AF1494" s="4"/>
      <c r="AG1494" s="4"/>
    </row>
    <row r="1495" spans="1:33" x14ac:dyDescent="0.2">
      <c r="B1495" s="48"/>
      <c r="C1495" s="57" t="s">
        <v>622</v>
      </c>
      <c r="D1495" s="44"/>
      <c r="E1495" s="90" t="s">
        <v>1037</v>
      </c>
      <c r="F1495" s="28"/>
      <c r="G1495" s="26"/>
      <c r="H1495" s="24"/>
      <c r="I1495" s="4"/>
      <c r="J1495" s="4"/>
      <c r="K1495" s="4"/>
      <c r="L1495" s="4"/>
      <c r="M1495" s="4"/>
      <c r="N1495" s="4"/>
      <c r="O1495" s="4"/>
      <c r="P1495" s="4"/>
      <c r="Q1495" s="4"/>
      <c r="R1495" s="4"/>
      <c r="S1495" s="4"/>
      <c r="T1495" s="4"/>
      <c r="U1495" s="4"/>
      <c r="V1495" s="4"/>
      <c r="W1495" s="4"/>
      <c r="X1495" s="4"/>
      <c r="Y1495" s="4"/>
      <c r="Z1495" s="4"/>
      <c r="AA1495" s="4"/>
      <c r="AB1495" s="4"/>
      <c r="AC1495" s="4"/>
      <c r="AD1495" s="4"/>
      <c r="AE1495" s="4"/>
      <c r="AF1495" s="4"/>
      <c r="AG1495" s="4"/>
    </row>
    <row r="1496" spans="1:33" x14ac:dyDescent="0.2">
      <c r="B1496" s="48"/>
      <c r="C1496" s="8"/>
      <c r="D1496" s="44"/>
      <c r="E1496" s="90" t="s">
        <v>1038</v>
      </c>
      <c r="F1496" s="20"/>
      <c r="G1496" s="19"/>
      <c r="H1496" s="24"/>
      <c r="I1496" s="4"/>
      <c r="J1496" s="4"/>
      <c r="K1496" s="4"/>
      <c r="L1496" s="4"/>
      <c r="M1496" s="4"/>
      <c r="N1496" s="4"/>
      <c r="O1496" s="4"/>
      <c r="P1496" s="4"/>
      <c r="Q1496" s="4"/>
      <c r="R1496" s="4"/>
      <c r="S1496" s="4"/>
      <c r="T1496" s="4"/>
      <c r="U1496" s="4"/>
      <c r="V1496" s="4"/>
      <c r="W1496" s="4"/>
      <c r="X1496" s="4"/>
      <c r="Y1496" s="4"/>
      <c r="Z1496" s="4"/>
      <c r="AA1496" s="4"/>
      <c r="AB1496" s="4"/>
      <c r="AC1496" s="4"/>
      <c r="AD1496" s="4"/>
      <c r="AE1496" s="4"/>
      <c r="AF1496" s="4"/>
      <c r="AG1496" s="4"/>
    </row>
    <row r="1497" spans="1:33" x14ac:dyDescent="0.2">
      <c r="B1497" s="52"/>
      <c r="C1497" s="47"/>
      <c r="D1497" s="73"/>
      <c r="E1497" s="87"/>
      <c r="F1497" s="20"/>
      <c r="G1497" s="19"/>
      <c r="H1497" s="19"/>
      <c r="I1497" s="4"/>
      <c r="J1497" s="4"/>
      <c r="K1497" s="4"/>
      <c r="L1497" s="4"/>
      <c r="M1497" s="4"/>
      <c r="N1497" s="4"/>
      <c r="O1497" s="4"/>
      <c r="P1497" s="4"/>
      <c r="Q1497" s="4"/>
      <c r="R1497" s="4"/>
      <c r="S1497" s="4"/>
      <c r="T1497" s="4"/>
      <c r="U1497" s="4"/>
      <c r="V1497" s="4"/>
      <c r="W1497" s="4"/>
      <c r="X1497" s="4"/>
      <c r="Y1497" s="4"/>
      <c r="Z1497" s="4"/>
      <c r="AA1497" s="4"/>
      <c r="AB1497" s="4"/>
      <c r="AC1497" s="4"/>
      <c r="AD1497" s="4"/>
      <c r="AE1497" s="4"/>
      <c r="AF1497" s="4"/>
      <c r="AG1497" s="4"/>
    </row>
    <row r="1498" spans="1:33" x14ac:dyDescent="0.2">
      <c r="B1498" s="52"/>
      <c r="C1498" s="18"/>
      <c r="D1498" s="69"/>
      <c r="E1498" s="86"/>
      <c r="F1498" s="31" t="s">
        <v>93</v>
      </c>
      <c r="G1498" s="19" t="s">
        <v>91</v>
      </c>
      <c r="H1498" s="19" t="s">
        <v>92</v>
      </c>
      <c r="I1498" s="4"/>
      <c r="J1498" s="4"/>
      <c r="K1498" s="4"/>
      <c r="L1498" s="4"/>
      <c r="M1498" s="4"/>
      <c r="N1498" s="4"/>
      <c r="O1498" s="4"/>
      <c r="P1498" s="4"/>
      <c r="Q1498" s="4"/>
      <c r="R1498" s="4"/>
      <c r="S1498" s="4"/>
      <c r="T1498" s="4"/>
      <c r="U1498" s="4"/>
      <c r="V1498" s="4"/>
      <c r="W1498" s="4"/>
      <c r="X1498" s="4"/>
      <c r="Y1498" s="4"/>
      <c r="Z1498" s="4"/>
      <c r="AA1498" s="4"/>
      <c r="AB1498" s="4"/>
      <c r="AC1498" s="4"/>
      <c r="AD1498" s="4"/>
      <c r="AE1498" s="4"/>
      <c r="AF1498" s="4"/>
      <c r="AG1498" s="4"/>
    </row>
    <row r="1499" spans="1:33" ht="20" x14ac:dyDescent="0.2">
      <c r="B1499" s="52"/>
      <c r="C1499" s="18"/>
      <c r="D1499" s="69"/>
      <c r="E1499" s="84"/>
      <c r="F1499" s="32" t="str">
        <f>IF(E1497="comprobar",H1434+H1428+H1422+H1416+H1410+H1404+H1398+H1392+H1386+H1380+H1440+H1446+H1452+H1458+H1464+H1470+H1476+H1482+H1488+H1494,"")</f>
        <v/>
      </c>
      <c r="G1499" s="19">
        <f>20/2</f>
        <v>10</v>
      </c>
      <c r="H1499" s="19"/>
      <c r="I1499" s="4"/>
      <c r="J1499" s="4"/>
      <c r="K1499" s="4"/>
      <c r="L1499" s="4"/>
      <c r="M1499" s="4"/>
      <c r="N1499" s="4"/>
      <c r="O1499" s="4"/>
      <c r="P1499" s="4"/>
      <c r="Q1499" s="4"/>
      <c r="R1499" s="4"/>
      <c r="S1499" s="4"/>
      <c r="T1499" s="4"/>
      <c r="U1499" s="4"/>
      <c r="V1499" s="4"/>
      <c r="W1499" s="4"/>
      <c r="X1499" s="4"/>
      <c r="Y1499" s="4"/>
      <c r="Z1499" s="4"/>
      <c r="AA1499" s="4"/>
      <c r="AB1499" s="4"/>
      <c r="AC1499" s="4"/>
      <c r="AD1499" s="4"/>
      <c r="AE1499" s="4"/>
      <c r="AF1499" s="4"/>
      <c r="AG1499" s="4"/>
    </row>
    <row r="1500" spans="1:33" ht="17" thickBot="1" x14ac:dyDescent="0.25">
      <c r="B1500" s="53"/>
      <c r="C1500" s="33"/>
      <c r="D1500" s="34"/>
      <c r="E1500" s="88"/>
      <c r="F1500" s="35" t="str">
        <f>IF(F1499&gt;G1499,G1498,H1498)</f>
        <v>APROBADO</v>
      </c>
      <c r="G1500" s="19"/>
      <c r="H1500" s="19"/>
      <c r="I1500" s="4"/>
      <c r="J1500" s="4"/>
      <c r="K1500" s="4"/>
      <c r="L1500" s="4"/>
      <c r="M1500" s="4"/>
      <c r="N1500" s="4"/>
      <c r="O1500" s="4"/>
      <c r="P1500" s="4"/>
      <c r="Q1500" s="4"/>
      <c r="R1500" s="4"/>
      <c r="S1500" s="4"/>
      <c r="T1500" s="4"/>
      <c r="U1500" s="4"/>
      <c r="V1500" s="4"/>
      <c r="W1500" s="4"/>
      <c r="X1500" s="4"/>
      <c r="Y1500" s="4"/>
      <c r="Z1500" s="4"/>
      <c r="AA1500" s="4"/>
      <c r="AB1500" s="4"/>
      <c r="AC1500" s="4"/>
      <c r="AD1500" s="4"/>
      <c r="AE1500" s="4"/>
      <c r="AF1500" s="4"/>
      <c r="AG1500" s="4"/>
    </row>
    <row r="1501" spans="1:33" ht="29" x14ac:dyDescent="0.35">
      <c r="B1501" s="54" t="s">
        <v>0</v>
      </c>
      <c r="C1501" s="113" t="s">
        <v>950</v>
      </c>
      <c r="D1501" s="113"/>
      <c r="E1501" s="113"/>
      <c r="F1501" s="114"/>
      <c r="G1501" s="19"/>
      <c r="H1501" s="19"/>
      <c r="I1501" s="4"/>
      <c r="J1501" s="4"/>
      <c r="K1501" s="4"/>
      <c r="L1501" s="4"/>
      <c r="M1501" s="4"/>
      <c r="N1501" s="4"/>
      <c r="O1501" s="4"/>
      <c r="P1501" s="4"/>
      <c r="Q1501" s="4"/>
      <c r="R1501" s="4"/>
      <c r="S1501" s="4"/>
      <c r="T1501" s="4"/>
      <c r="U1501" s="4"/>
      <c r="V1501" s="4"/>
      <c r="W1501" s="4"/>
      <c r="X1501" s="4"/>
      <c r="Y1501" s="4"/>
      <c r="Z1501" s="4"/>
      <c r="AA1501" s="4"/>
      <c r="AB1501" s="4"/>
      <c r="AC1501" s="4"/>
      <c r="AD1501" s="4"/>
      <c r="AE1501" s="4"/>
      <c r="AF1501" s="4"/>
      <c r="AG1501" s="4"/>
    </row>
    <row r="1502" spans="1:33" x14ac:dyDescent="0.2">
      <c r="B1502" s="49" t="s">
        <v>951</v>
      </c>
      <c r="C1502" s="13"/>
      <c r="D1502" s="14"/>
      <c r="E1502" s="85"/>
      <c r="F1502" s="16"/>
      <c r="G1502" s="15"/>
      <c r="H1502" s="15"/>
      <c r="I1502" s="4"/>
      <c r="J1502" s="4"/>
      <c r="K1502" s="4"/>
      <c r="L1502" s="4"/>
      <c r="M1502" s="4"/>
      <c r="N1502" s="4"/>
      <c r="O1502" s="4"/>
      <c r="P1502" s="4"/>
      <c r="Q1502" s="4"/>
      <c r="R1502" s="4"/>
      <c r="S1502" s="4"/>
      <c r="T1502" s="4"/>
      <c r="U1502" s="4"/>
      <c r="V1502" s="4"/>
      <c r="W1502" s="4"/>
      <c r="X1502" s="4"/>
      <c r="Y1502" s="4"/>
      <c r="Z1502" s="4"/>
      <c r="AA1502" s="4"/>
      <c r="AB1502" s="4"/>
      <c r="AC1502" s="4"/>
      <c r="AD1502" s="4"/>
      <c r="AE1502" s="4"/>
      <c r="AF1502" s="4"/>
      <c r="AG1502" s="4"/>
    </row>
    <row r="1503" spans="1:33" x14ac:dyDescent="0.2">
      <c r="B1503" s="48"/>
      <c r="C1503" s="56" t="s">
        <v>952</v>
      </c>
      <c r="D1503" s="44"/>
      <c r="E1503" s="86" t="s">
        <v>1034</v>
      </c>
      <c r="F1503" s="20"/>
      <c r="G1503" s="19"/>
      <c r="H1503" s="21" t="b">
        <f>IF(D1506="x",H$2,H$1)</f>
        <v>0</v>
      </c>
      <c r="I1503" s="4"/>
      <c r="J1503" s="4"/>
      <c r="K1503" s="4"/>
      <c r="L1503" s="4"/>
      <c r="M1503" s="4"/>
      <c r="N1503" s="4"/>
      <c r="O1503" s="4"/>
      <c r="P1503" s="4"/>
      <c r="Q1503" s="4"/>
      <c r="R1503" s="4"/>
      <c r="S1503" s="4"/>
      <c r="T1503" s="4"/>
      <c r="U1503" s="4"/>
      <c r="V1503" s="4"/>
      <c r="W1503" s="4"/>
      <c r="X1503" s="4"/>
      <c r="Y1503" s="4"/>
      <c r="Z1503" s="4"/>
      <c r="AA1503" s="4"/>
      <c r="AB1503" s="4"/>
      <c r="AC1503" s="4"/>
      <c r="AD1503" s="4"/>
      <c r="AE1503" s="4"/>
      <c r="AF1503" s="4"/>
      <c r="AG1503" s="4"/>
    </row>
    <row r="1504" spans="1:33" x14ac:dyDescent="0.2">
      <c r="B1504" s="48"/>
      <c r="C1504" s="57" t="s">
        <v>953</v>
      </c>
      <c r="D1504" s="44"/>
      <c r="E1504" s="86" t="s">
        <v>1035</v>
      </c>
      <c r="F1504" s="22" t="str">
        <f>IF(H1505=1,IF(H1503=H$2,H1503,""),"")</f>
        <v/>
      </c>
      <c r="G1504" s="19"/>
      <c r="H1504" s="21" t="str">
        <f>IF(E$1622="comprobar",COUNTIF(D1503:D1507,"x"),"")</f>
        <v/>
      </c>
      <c r="I1504" s="4"/>
      <c r="J1504" s="4"/>
      <c r="K1504" s="4"/>
      <c r="L1504" s="4"/>
      <c r="M1504" s="4"/>
      <c r="N1504" s="4"/>
      <c r="O1504" s="4"/>
      <c r="P1504" s="4"/>
      <c r="Q1504" s="4"/>
      <c r="R1504" s="4"/>
      <c r="S1504" s="4"/>
      <c r="T1504" s="4"/>
      <c r="U1504" s="4"/>
      <c r="V1504" s="4"/>
      <c r="W1504" s="4"/>
      <c r="X1504" s="4"/>
      <c r="Y1504" s="4"/>
      <c r="Z1504" s="4"/>
      <c r="AA1504" s="4"/>
      <c r="AB1504" s="4"/>
      <c r="AC1504" s="4"/>
      <c r="AD1504" s="4"/>
      <c r="AE1504" s="4"/>
      <c r="AF1504" s="4"/>
      <c r="AG1504" s="4"/>
    </row>
    <row r="1505" spans="2:33" x14ac:dyDescent="0.2">
      <c r="B1505" s="48"/>
      <c r="C1505" s="57" t="s">
        <v>954</v>
      </c>
      <c r="D1505" s="44"/>
      <c r="E1505" s="86" t="s">
        <v>1036</v>
      </c>
      <c r="F1505" s="23" t="str">
        <f>IF(H1505=-0.33,IF(H1503=H$1,H1503,""),"")</f>
        <v/>
      </c>
      <c r="G1505" s="19"/>
      <c r="H1505" s="24">
        <f>IF(H1504=1,IF(H1503=H$2,1,-0.33),0)</f>
        <v>0</v>
      </c>
      <c r="I1505" s="4"/>
      <c r="J1505" s="4"/>
      <c r="K1505" s="4"/>
      <c r="L1505" s="4"/>
      <c r="M1505" s="4"/>
      <c r="N1505" s="4"/>
      <c r="O1505" s="4"/>
      <c r="P1505" s="4"/>
      <c r="Q1505" s="4"/>
      <c r="R1505" s="4"/>
      <c r="S1505" s="4"/>
      <c r="T1505" s="4"/>
      <c r="U1505" s="4"/>
      <c r="V1505" s="4"/>
      <c r="W1505" s="4"/>
      <c r="X1505" s="4"/>
      <c r="Y1505" s="4"/>
      <c r="Z1505" s="4"/>
      <c r="AA1505" s="4"/>
      <c r="AB1505" s="4"/>
      <c r="AC1505" s="4"/>
      <c r="AD1505" s="4"/>
      <c r="AE1505" s="4"/>
      <c r="AF1505" s="4"/>
      <c r="AG1505" s="4"/>
    </row>
    <row r="1506" spans="2:33" x14ac:dyDescent="0.2">
      <c r="B1506" s="48"/>
      <c r="C1506" s="57" t="s">
        <v>165</v>
      </c>
      <c r="D1506" s="44"/>
      <c r="E1506" s="86" t="s">
        <v>1037</v>
      </c>
      <c r="F1506" s="20"/>
      <c r="G1506" s="19"/>
      <c r="H1506" s="24"/>
      <c r="I1506" s="4"/>
      <c r="J1506" s="4"/>
      <c r="K1506" s="4"/>
      <c r="L1506" s="4"/>
      <c r="M1506" s="4"/>
      <c r="N1506" s="4"/>
      <c r="O1506" s="4"/>
      <c r="P1506" s="4"/>
      <c r="Q1506" s="4"/>
      <c r="R1506" s="4"/>
      <c r="S1506" s="4"/>
      <c r="T1506" s="4"/>
      <c r="U1506" s="4"/>
      <c r="V1506" s="4"/>
      <c r="W1506" s="4"/>
      <c r="X1506" s="4"/>
      <c r="Y1506" s="4"/>
      <c r="Z1506" s="4"/>
      <c r="AA1506" s="4"/>
      <c r="AB1506" s="4"/>
      <c r="AC1506" s="4"/>
      <c r="AD1506" s="4"/>
      <c r="AE1506" s="4"/>
      <c r="AF1506" s="4"/>
      <c r="AG1506" s="4"/>
    </row>
    <row r="1507" spans="2:33" x14ac:dyDescent="0.2">
      <c r="B1507" s="48"/>
      <c r="C1507" s="8"/>
      <c r="D1507" s="44"/>
      <c r="E1507" s="86" t="s">
        <v>1038</v>
      </c>
      <c r="F1507" s="20"/>
      <c r="G1507" s="19"/>
      <c r="H1507" s="24"/>
      <c r="I1507" s="4"/>
      <c r="J1507" s="4"/>
      <c r="K1507" s="4"/>
      <c r="L1507" s="4"/>
      <c r="M1507" s="4"/>
      <c r="N1507" s="4"/>
      <c r="O1507" s="4"/>
      <c r="P1507" s="4"/>
      <c r="Q1507" s="4"/>
      <c r="R1507" s="4"/>
      <c r="S1507" s="4"/>
      <c r="T1507" s="4"/>
      <c r="U1507" s="4"/>
      <c r="V1507" s="4"/>
      <c r="W1507" s="4"/>
      <c r="X1507" s="4"/>
      <c r="Y1507" s="4"/>
      <c r="Z1507" s="4"/>
      <c r="AA1507" s="4"/>
      <c r="AB1507" s="4"/>
      <c r="AC1507" s="4"/>
      <c r="AD1507" s="4"/>
      <c r="AE1507" s="4"/>
      <c r="AF1507" s="4"/>
      <c r="AG1507" s="4"/>
    </row>
    <row r="1508" spans="2:33" x14ac:dyDescent="0.2">
      <c r="B1508" s="49" t="s">
        <v>955</v>
      </c>
      <c r="C1508" s="13"/>
      <c r="D1508" s="45"/>
      <c r="E1508" s="85"/>
      <c r="F1508" s="16"/>
      <c r="G1508" s="15"/>
      <c r="H1508" s="15"/>
      <c r="I1508" s="4"/>
      <c r="J1508" s="4"/>
      <c r="K1508" s="4"/>
      <c r="L1508" s="4"/>
      <c r="M1508" s="4"/>
      <c r="N1508" s="4"/>
      <c r="O1508" s="4"/>
      <c r="P1508" s="4"/>
      <c r="Q1508" s="4"/>
      <c r="R1508" s="4"/>
      <c r="S1508" s="4"/>
      <c r="T1508" s="4"/>
      <c r="U1508" s="4"/>
      <c r="V1508" s="4"/>
      <c r="W1508" s="4"/>
      <c r="X1508" s="4"/>
      <c r="Y1508" s="4"/>
      <c r="Z1508" s="4"/>
      <c r="AA1508" s="4"/>
      <c r="AB1508" s="4"/>
      <c r="AC1508" s="4"/>
      <c r="AD1508" s="4"/>
      <c r="AE1508" s="4"/>
      <c r="AF1508" s="4"/>
      <c r="AG1508" s="4"/>
    </row>
    <row r="1509" spans="2:33" x14ac:dyDescent="0.2">
      <c r="B1509" s="48"/>
      <c r="C1509" s="56" t="s">
        <v>956</v>
      </c>
      <c r="D1509" s="44"/>
      <c r="E1509" s="86" t="s">
        <v>1034</v>
      </c>
      <c r="F1509" s="20"/>
      <c r="G1509" s="19"/>
      <c r="H1509" s="21" t="b">
        <f>IF(D1511="x",H$2,H$1)</f>
        <v>0</v>
      </c>
      <c r="I1509" s="4"/>
      <c r="J1509" s="4"/>
      <c r="K1509" s="4"/>
      <c r="L1509" s="4"/>
      <c r="M1509" s="4"/>
      <c r="N1509" s="4"/>
      <c r="O1509" s="4"/>
      <c r="P1509" s="4"/>
      <c r="Q1509" s="4"/>
      <c r="R1509" s="4"/>
      <c r="S1509" s="4"/>
      <c r="T1509" s="4"/>
      <c r="U1509" s="4"/>
      <c r="V1509" s="4"/>
      <c r="W1509" s="4"/>
      <c r="X1509" s="4"/>
      <c r="Y1509" s="4"/>
      <c r="Z1509" s="4"/>
      <c r="AA1509" s="4"/>
      <c r="AB1509" s="4"/>
      <c r="AC1509" s="4"/>
      <c r="AD1509" s="4"/>
      <c r="AE1509" s="4"/>
      <c r="AF1509" s="4"/>
      <c r="AG1509" s="4"/>
    </row>
    <row r="1510" spans="2:33" x14ac:dyDescent="0.2">
      <c r="B1510" s="52"/>
      <c r="C1510" s="57" t="s">
        <v>957</v>
      </c>
      <c r="D1510" s="44"/>
      <c r="E1510" s="86" t="s">
        <v>1035</v>
      </c>
      <c r="F1510" s="22" t="str">
        <f>IF(H1511=1,IF(H1509=H$2,H1509,""),"")</f>
        <v/>
      </c>
      <c r="G1510" s="19"/>
      <c r="H1510" s="21" t="str">
        <f t="shared" ref="H1510" si="507">IF(E$1622="comprobar",COUNTIF(D1509:D1513,"x"),"")</f>
        <v/>
      </c>
      <c r="I1510" s="4"/>
      <c r="J1510" s="4"/>
      <c r="K1510" s="4"/>
      <c r="L1510" s="4"/>
      <c r="M1510" s="4"/>
      <c r="N1510" s="4"/>
      <c r="O1510" s="4"/>
      <c r="P1510" s="4"/>
      <c r="Q1510" s="4"/>
      <c r="R1510" s="4"/>
      <c r="S1510" s="4"/>
      <c r="T1510" s="4"/>
      <c r="U1510" s="4"/>
      <c r="V1510" s="4"/>
      <c r="W1510" s="4"/>
      <c r="X1510" s="4"/>
      <c r="Y1510" s="4"/>
      <c r="Z1510" s="4"/>
      <c r="AA1510" s="4"/>
      <c r="AB1510" s="4"/>
      <c r="AC1510" s="4"/>
      <c r="AD1510" s="4"/>
      <c r="AE1510" s="4"/>
      <c r="AF1510" s="4"/>
      <c r="AG1510" s="4"/>
    </row>
    <row r="1511" spans="2:33" x14ac:dyDescent="0.2">
      <c r="B1511" s="48"/>
      <c r="C1511" s="57" t="s">
        <v>958</v>
      </c>
      <c r="D1511" s="44"/>
      <c r="E1511" s="86" t="s">
        <v>1036</v>
      </c>
      <c r="F1511" s="23" t="str">
        <f>IF(H1511=-0.33,IF(H1509=H$1,H1509,""),"")</f>
        <v/>
      </c>
      <c r="G1511" s="19"/>
      <c r="H1511" s="24">
        <f t="shared" ref="H1511" si="508">IF(H1510=1,IF(H1509=H$2,1,-0.33),0)</f>
        <v>0</v>
      </c>
      <c r="I1511" s="4"/>
      <c r="J1511" s="4"/>
      <c r="K1511" s="4"/>
      <c r="L1511" s="4"/>
      <c r="M1511" s="4"/>
      <c r="N1511" s="4"/>
      <c r="O1511" s="4"/>
      <c r="P1511" s="4"/>
      <c r="Q1511" s="4"/>
      <c r="R1511" s="4"/>
      <c r="S1511" s="4"/>
      <c r="T1511" s="4"/>
      <c r="U1511" s="4"/>
      <c r="V1511" s="4"/>
      <c r="W1511" s="4"/>
      <c r="X1511" s="4"/>
      <c r="Y1511" s="4"/>
      <c r="Z1511" s="4"/>
      <c r="AA1511" s="4"/>
      <c r="AB1511" s="4"/>
      <c r="AC1511" s="4"/>
      <c r="AD1511" s="4"/>
      <c r="AE1511" s="4"/>
      <c r="AF1511" s="4"/>
      <c r="AG1511" s="4"/>
    </row>
    <row r="1512" spans="2:33" x14ac:dyDescent="0.2">
      <c r="B1512" s="48"/>
      <c r="C1512" s="57" t="s">
        <v>959</v>
      </c>
      <c r="D1512" s="44"/>
      <c r="E1512" s="86" t="s">
        <v>1037</v>
      </c>
      <c r="F1512" s="20"/>
      <c r="G1512" s="19"/>
      <c r="H1512" s="24"/>
      <c r="I1512" s="4"/>
      <c r="J1512" s="4"/>
      <c r="K1512" s="4"/>
      <c r="L1512" s="4"/>
      <c r="M1512" s="4"/>
      <c r="N1512" s="4"/>
      <c r="O1512" s="4"/>
      <c r="P1512" s="4"/>
      <c r="Q1512" s="4"/>
      <c r="R1512" s="4"/>
      <c r="S1512" s="4"/>
      <c r="T1512" s="4"/>
      <c r="U1512" s="4"/>
      <c r="V1512" s="4"/>
      <c r="W1512" s="4"/>
      <c r="X1512" s="4"/>
      <c r="Y1512" s="4"/>
      <c r="Z1512" s="4"/>
      <c r="AA1512" s="4"/>
      <c r="AB1512" s="4"/>
      <c r="AC1512" s="4"/>
      <c r="AD1512" s="4"/>
      <c r="AE1512" s="4"/>
      <c r="AF1512" s="4"/>
      <c r="AG1512" s="4"/>
    </row>
    <row r="1513" spans="2:33" x14ac:dyDescent="0.2">
      <c r="B1513" s="48"/>
      <c r="C1513" s="8"/>
      <c r="D1513" s="44"/>
      <c r="E1513" s="86" t="s">
        <v>1038</v>
      </c>
      <c r="F1513" s="20"/>
      <c r="G1513" s="19"/>
      <c r="H1513" s="24"/>
      <c r="I1513" s="4"/>
      <c r="J1513" s="4"/>
      <c r="K1513" s="4"/>
      <c r="L1513" s="4"/>
      <c r="M1513" s="4"/>
      <c r="N1513" s="4"/>
      <c r="O1513" s="4"/>
      <c r="P1513" s="4"/>
      <c r="Q1513" s="4"/>
      <c r="R1513" s="4"/>
      <c r="S1513" s="4"/>
      <c r="T1513" s="4"/>
      <c r="U1513" s="4"/>
      <c r="V1513" s="4"/>
      <c r="W1513" s="4"/>
      <c r="X1513" s="4"/>
      <c r="Y1513" s="4"/>
      <c r="Z1513" s="4"/>
      <c r="AA1513" s="4"/>
      <c r="AB1513" s="4"/>
      <c r="AC1513" s="4"/>
      <c r="AD1513" s="4"/>
      <c r="AE1513" s="4"/>
      <c r="AF1513" s="4"/>
      <c r="AG1513" s="4"/>
    </row>
    <row r="1514" spans="2:33" x14ac:dyDescent="0.2">
      <c r="B1514" s="49" t="s">
        <v>960</v>
      </c>
      <c r="C1514" s="13"/>
      <c r="D1514" s="45"/>
      <c r="E1514" s="85"/>
      <c r="F1514" s="16"/>
      <c r="G1514" s="15"/>
      <c r="H1514" s="15"/>
      <c r="I1514" s="4"/>
      <c r="J1514" s="4"/>
      <c r="K1514" s="4"/>
      <c r="L1514" s="4"/>
      <c r="M1514" s="4"/>
      <c r="N1514" s="4"/>
      <c r="O1514" s="4"/>
      <c r="P1514" s="4"/>
      <c r="Q1514" s="4"/>
      <c r="R1514" s="4"/>
      <c r="S1514" s="4"/>
      <c r="T1514" s="4"/>
      <c r="U1514" s="4"/>
      <c r="V1514" s="4"/>
      <c r="W1514" s="4"/>
      <c r="X1514" s="4"/>
      <c r="Y1514" s="4"/>
      <c r="Z1514" s="4"/>
      <c r="AA1514" s="4"/>
      <c r="AB1514" s="4"/>
      <c r="AC1514" s="4"/>
      <c r="AD1514" s="4"/>
      <c r="AE1514" s="4"/>
      <c r="AF1514" s="4"/>
      <c r="AG1514" s="4"/>
    </row>
    <row r="1515" spans="2:33" x14ac:dyDescent="0.2">
      <c r="B1515" s="52"/>
      <c r="C1515" s="56" t="s">
        <v>961</v>
      </c>
      <c r="D1515" s="44"/>
      <c r="E1515" s="86" t="s">
        <v>1034</v>
      </c>
      <c r="F1515" s="20"/>
      <c r="G1515" s="19"/>
      <c r="H1515" s="21" t="b">
        <f>IF(D1515="x",H$2,H$1)</f>
        <v>0</v>
      </c>
      <c r="I1515" s="4"/>
      <c r="J1515" s="4"/>
      <c r="K1515" s="4"/>
      <c r="L1515" s="4"/>
      <c r="M1515" s="4"/>
      <c r="N1515" s="4"/>
      <c r="O1515" s="4"/>
      <c r="P1515" s="4"/>
      <c r="Q1515" s="4"/>
      <c r="R1515" s="4"/>
      <c r="S1515" s="4"/>
      <c r="T1515" s="4"/>
      <c r="U1515" s="4"/>
      <c r="V1515" s="4"/>
      <c r="W1515" s="4"/>
      <c r="X1515" s="4"/>
      <c r="Y1515" s="4"/>
      <c r="Z1515" s="4"/>
      <c r="AA1515" s="4"/>
      <c r="AB1515" s="4"/>
      <c r="AC1515" s="4"/>
      <c r="AD1515" s="4"/>
      <c r="AE1515" s="4"/>
      <c r="AF1515" s="4"/>
      <c r="AG1515" s="4"/>
    </row>
    <row r="1516" spans="2:33" x14ac:dyDescent="0.2">
      <c r="B1516" s="48"/>
      <c r="C1516" s="57" t="s">
        <v>962</v>
      </c>
      <c r="D1516" s="44"/>
      <c r="E1516" s="86" t="s">
        <v>1035</v>
      </c>
      <c r="F1516" s="22" t="str">
        <f>IF(H1517=1,IF(H1515=H$2,H1515,""),"")</f>
        <v/>
      </c>
      <c r="G1516" s="19"/>
      <c r="H1516" s="21" t="str">
        <f t="shared" ref="H1516" si="509">IF(E$1622="comprobar",COUNTIF(D1515:D1519,"x"),"")</f>
        <v/>
      </c>
      <c r="I1516" s="4"/>
      <c r="J1516" s="4"/>
      <c r="K1516" s="4"/>
      <c r="L1516" s="4"/>
      <c r="M1516" s="4"/>
      <c r="N1516" s="4"/>
      <c r="O1516" s="4"/>
      <c r="P1516" s="4"/>
      <c r="Q1516" s="4"/>
      <c r="R1516" s="4"/>
      <c r="S1516" s="4"/>
      <c r="T1516" s="4"/>
      <c r="U1516" s="4"/>
      <c r="V1516" s="4"/>
      <c r="W1516" s="4"/>
      <c r="X1516" s="4"/>
      <c r="Y1516" s="4"/>
      <c r="Z1516" s="4"/>
      <c r="AA1516" s="4"/>
      <c r="AB1516" s="4"/>
      <c r="AC1516" s="4"/>
      <c r="AD1516" s="4"/>
      <c r="AE1516" s="4"/>
      <c r="AF1516" s="4"/>
      <c r="AG1516" s="4"/>
    </row>
    <row r="1517" spans="2:33" x14ac:dyDescent="0.2">
      <c r="B1517" s="48"/>
      <c r="C1517" s="57" t="s">
        <v>963</v>
      </c>
      <c r="D1517" s="44"/>
      <c r="E1517" s="86" t="s">
        <v>1036</v>
      </c>
      <c r="F1517" s="23" t="str">
        <f>IF(H1517=-0.33,IF(H1515=H$1,H1515,""),"")</f>
        <v/>
      </c>
      <c r="G1517" s="19"/>
      <c r="H1517" s="24">
        <f t="shared" ref="H1517" si="510">IF(H1516=1,IF(H1515=H$2,1,-0.33),0)</f>
        <v>0</v>
      </c>
      <c r="I1517" s="4"/>
      <c r="J1517" s="4"/>
      <c r="K1517" s="4"/>
      <c r="L1517" s="4"/>
      <c r="M1517" s="4"/>
      <c r="N1517" s="4"/>
      <c r="O1517" s="4"/>
      <c r="P1517" s="4"/>
      <c r="Q1517" s="4"/>
      <c r="R1517" s="4"/>
      <c r="S1517" s="4"/>
      <c r="T1517" s="4"/>
      <c r="U1517" s="4"/>
      <c r="V1517" s="4"/>
      <c r="W1517" s="4"/>
      <c r="X1517" s="4"/>
      <c r="Y1517" s="4"/>
      <c r="Z1517" s="4"/>
      <c r="AA1517" s="4"/>
      <c r="AB1517" s="4"/>
      <c r="AC1517" s="4"/>
      <c r="AD1517" s="4"/>
      <c r="AE1517" s="4"/>
      <c r="AF1517" s="4"/>
      <c r="AG1517" s="4"/>
    </row>
    <row r="1518" spans="2:33" x14ac:dyDescent="0.2">
      <c r="B1518" s="52"/>
      <c r="C1518" s="57" t="s">
        <v>717</v>
      </c>
      <c r="D1518" s="44"/>
      <c r="E1518" s="86" t="s">
        <v>1037</v>
      </c>
      <c r="F1518" s="20"/>
      <c r="G1518" s="19"/>
      <c r="H1518" s="24"/>
      <c r="I1518" s="4"/>
      <c r="J1518" s="4"/>
      <c r="K1518" s="4"/>
      <c r="L1518" s="4"/>
      <c r="M1518" s="4"/>
      <c r="N1518" s="4"/>
      <c r="O1518" s="4"/>
      <c r="P1518" s="4"/>
      <c r="Q1518" s="4"/>
      <c r="R1518" s="4"/>
      <c r="S1518" s="4"/>
      <c r="T1518" s="4"/>
      <c r="U1518" s="4"/>
      <c r="V1518" s="4"/>
      <c r="W1518" s="4"/>
      <c r="X1518" s="4"/>
      <c r="Y1518" s="4"/>
      <c r="Z1518" s="4"/>
      <c r="AA1518" s="4"/>
      <c r="AB1518" s="4"/>
      <c r="AC1518" s="4"/>
      <c r="AD1518" s="4"/>
      <c r="AE1518" s="4"/>
      <c r="AF1518" s="4"/>
      <c r="AG1518" s="4"/>
    </row>
    <row r="1519" spans="2:33" x14ac:dyDescent="0.2">
      <c r="B1519" s="48"/>
      <c r="C1519" s="8"/>
      <c r="D1519" s="44"/>
      <c r="E1519" s="86" t="s">
        <v>1038</v>
      </c>
      <c r="F1519" s="20"/>
      <c r="G1519" s="19"/>
      <c r="H1519" s="24"/>
      <c r="I1519" s="4"/>
      <c r="J1519" s="4"/>
      <c r="K1519" s="4"/>
      <c r="L1519" s="4"/>
      <c r="M1519" s="4"/>
      <c r="N1519" s="4"/>
      <c r="O1519" s="4"/>
      <c r="P1519" s="4"/>
      <c r="Q1519" s="4"/>
      <c r="R1519" s="4"/>
      <c r="S1519" s="4"/>
      <c r="T1519" s="4"/>
      <c r="U1519" s="4"/>
      <c r="V1519" s="4"/>
      <c r="W1519" s="4"/>
      <c r="X1519" s="4"/>
      <c r="Y1519" s="4"/>
      <c r="Z1519" s="4"/>
      <c r="AA1519" s="4"/>
      <c r="AB1519" s="4"/>
      <c r="AC1519" s="4"/>
      <c r="AD1519" s="4"/>
      <c r="AE1519" s="4"/>
      <c r="AF1519" s="4"/>
      <c r="AG1519" s="4"/>
    </row>
    <row r="1520" spans="2:33" x14ac:dyDescent="0.2">
      <c r="B1520" s="49" t="s">
        <v>964</v>
      </c>
      <c r="C1520" s="13"/>
      <c r="D1520" s="45"/>
      <c r="E1520" s="85"/>
      <c r="F1520" s="16"/>
      <c r="G1520" s="15"/>
      <c r="H1520" s="15"/>
      <c r="I1520" s="4"/>
      <c r="J1520" s="4"/>
      <c r="K1520" s="4"/>
      <c r="L1520" s="4"/>
      <c r="M1520" s="4"/>
      <c r="N1520" s="4"/>
      <c r="O1520" s="4"/>
      <c r="P1520" s="4"/>
      <c r="Q1520" s="4"/>
      <c r="R1520" s="4"/>
      <c r="S1520" s="4"/>
      <c r="T1520" s="4"/>
      <c r="U1520" s="4"/>
      <c r="V1520" s="4"/>
      <c r="W1520" s="4"/>
      <c r="X1520" s="4"/>
      <c r="Y1520" s="4"/>
      <c r="Z1520" s="4"/>
      <c r="AA1520" s="4"/>
      <c r="AB1520" s="4"/>
      <c r="AC1520" s="4"/>
      <c r="AD1520" s="4"/>
      <c r="AE1520" s="4"/>
      <c r="AF1520" s="4"/>
      <c r="AG1520" s="4"/>
    </row>
    <row r="1521" spans="2:33" x14ac:dyDescent="0.2">
      <c r="B1521" s="48"/>
      <c r="C1521" s="56" t="s">
        <v>965</v>
      </c>
      <c r="D1521" s="44"/>
      <c r="E1521" s="86" t="s">
        <v>1034</v>
      </c>
      <c r="F1521" s="20"/>
      <c r="G1521" s="19"/>
      <c r="H1521" s="21" t="b">
        <f>IF(D1522="x",H$2,H$1)</f>
        <v>0</v>
      </c>
      <c r="I1521" s="4"/>
      <c r="J1521" s="4"/>
      <c r="K1521" s="4"/>
      <c r="L1521" s="4"/>
      <c r="M1521" s="4"/>
      <c r="N1521" s="4"/>
      <c r="O1521" s="4"/>
      <c r="P1521" s="4"/>
      <c r="Q1521" s="4"/>
      <c r="R1521" s="4"/>
      <c r="S1521" s="4"/>
      <c r="T1521" s="4"/>
      <c r="U1521" s="4"/>
      <c r="V1521" s="4"/>
      <c r="W1521" s="4"/>
      <c r="X1521" s="4"/>
      <c r="Y1521" s="4"/>
      <c r="Z1521" s="4"/>
      <c r="AA1521" s="4"/>
      <c r="AB1521" s="4"/>
      <c r="AC1521" s="4"/>
      <c r="AD1521" s="4"/>
      <c r="AE1521" s="4"/>
      <c r="AF1521" s="4"/>
      <c r="AG1521" s="4"/>
    </row>
    <row r="1522" spans="2:33" x14ac:dyDescent="0.2">
      <c r="B1522" s="52"/>
      <c r="C1522" s="57" t="s">
        <v>966</v>
      </c>
      <c r="D1522" s="44"/>
      <c r="E1522" s="86" t="s">
        <v>1035</v>
      </c>
      <c r="F1522" s="22" t="str">
        <f>IF(H1523=1,IF(H1521=H$2,H1521,""),"")</f>
        <v/>
      </c>
      <c r="G1522" s="19"/>
      <c r="H1522" s="21" t="str">
        <f t="shared" ref="H1522" si="511">IF(E$1622="comprobar",COUNTIF(D1521:D1525,"x"),"")</f>
        <v/>
      </c>
      <c r="I1522" s="4"/>
      <c r="J1522" s="4"/>
      <c r="K1522" s="4"/>
      <c r="L1522" s="4"/>
      <c r="M1522" s="4"/>
      <c r="N1522" s="4"/>
      <c r="O1522" s="4"/>
      <c r="P1522" s="4"/>
      <c r="Q1522" s="4"/>
      <c r="R1522" s="4"/>
      <c r="S1522" s="4"/>
      <c r="T1522" s="4"/>
      <c r="U1522" s="4"/>
      <c r="V1522" s="4"/>
      <c r="W1522" s="4"/>
      <c r="X1522" s="4"/>
      <c r="Y1522" s="4"/>
      <c r="Z1522" s="4"/>
      <c r="AA1522" s="4"/>
      <c r="AB1522" s="4"/>
      <c r="AC1522" s="4"/>
      <c r="AD1522" s="4"/>
      <c r="AE1522" s="4"/>
      <c r="AF1522" s="4"/>
      <c r="AG1522" s="4"/>
    </row>
    <row r="1523" spans="2:33" x14ac:dyDescent="0.2">
      <c r="B1523" s="48"/>
      <c r="C1523" s="57" t="s">
        <v>967</v>
      </c>
      <c r="D1523" s="44"/>
      <c r="E1523" s="86" t="s">
        <v>1036</v>
      </c>
      <c r="F1523" s="23" t="str">
        <f>IF(H1523=-0.33,IF(H1521=H$1,H1521,""),"")</f>
        <v/>
      </c>
      <c r="G1523" s="19"/>
      <c r="H1523" s="24">
        <f t="shared" ref="H1523" si="512">IF(H1522=1,IF(H1521=H$2,1,-0.33),0)</f>
        <v>0</v>
      </c>
      <c r="I1523" s="4"/>
      <c r="J1523" s="4"/>
      <c r="K1523" s="4"/>
      <c r="L1523" s="4"/>
      <c r="M1523" s="4"/>
      <c r="N1523" s="4"/>
      <c r="O1523" s="4"/>
      <c r="P1523" s="4"/>
      <c r="Q1523" s="4"/>
      <c r="R1523" s="4"/>
      <c r="S1523" s="4"/>
      <c r="T1523" s="4"/>
      <c r="U1523" s="4"/>
      <c r="V1523" s="4"/>
      <c r="W1523" s="4"/>
      <c r="X1523" s="4"/>
      <c r="Y1523" s="4"/>
      <c r="Z1523" s="4"/>
      <c r="AA1523" s="4"/>
      <c r="AB1523" s="4"/>
      <c r="AC1523" s="4"/>
      <c r="AD1523" s="4"/>
      <c r="AE1523" s="4"/>
      <c r="AF1523" s="4"/>
      <c r="AG1523" s="4"/>
    </row>
    <row r="1524" spans="2:33" x14ac:dyDescent="0.2">
      <c r="B1524" s="48"/>
      <c r="C1524" s="57" t="s">
        <v>968</v>
      </c>
      <c r="D1524" s="44"/>
      <c r="E1524" s="86" t="s">
        <v>1037</v>
      </c>
      <c r="F1524" s="20"/>
      <c r="G1524" s="19"/>
      <c r="H1524" s="24"/>
      <c r="I1524" s="4"/>
      <c r="J1524" s="4"/>
      <c r="K1524" s="4"/>
      <c r="L1524" s="4"/>
      <c r="M1524" s="4"/>
      <c r="N1524" s="4"/>
      <c r="O1524" s="4"/>
      <c r="P1524" s="4"/>
      <c r="Q1524" s="4"/>
      <c r="R1524" s="4"/>
      <c r="S1524" s="4"/>
      <c r="T1524" s="4"/>
      <c r="U1524" s="4"/>
      <c r="V1524" s="4"/>
      <c r="W1524" s="4"/>
      <c r="X1524" s="4"/>
      <c r="Y1524" s="4"/>
      <c r="Z1524" s="4"/>
      <c r="AA1524" s="4"/>
      <c r="AB1524" s="4"/>
      <c r="AC1524" s="4"/>
      <c r="AD1524" s="4"/>
      <c r="AE1524" s="4"/>
      <c r="AF1524" s="4"/>
      <c r="AG1524" s="4"/>
    </row>
    <row r="1525" spans="2:33" x14ac:dyDescent="0.2">
      <c r="B1525" s="48"/>
      <c r="C1525" s="8"/>
      <c r="D1525" s="44"/>
      <c r="E1525" s="86" t="s">
        <v>1038</v>
      </c>
      <c r="F1525" s="20"/>
      <c r="G1525" s="19"/>
      <c r="H1525" s="24"/>
      <c r="I1525" s="4"/>
      <c r="J1525" s="4"/>
      <c r="K1525" s="4"/>
      <c r="L1525" s="4"/>
      <c r="M1525" s="4"/>
      <c r="N1525" s="4"/>
      <c r="O1525" s="4"/>
      <c r="P1525" s="4"/>
      <c r="Q1525" s="4"/>
      <c r="R1525" s="4"/>
      <c r="S1525" s="4"/>
      <c r="T1525" s="4"/>
      <c r="U1525" s="4"/>
      <c r="V1525" s="4"/>
      <c r="W1525" s="4"/>
      <c r="X1525" s="4"/>
      <c r="Y1525" s="4"/>
      <c r="Z1525" s="4"/>
      <c r="AA1525" s="4"/>
      <c r="AB1525" s="4"/>
      <c r="AC1525" s="4"/>
      <c r="AD1525" s="4"/>
      <c r="AE1525" s="4"/>
      <c r="AF1525" s="4"/>
      <c r="AG1525" s="4"/>
    </row>
    <row r="1526" spans="2:33" x14ac:dyDescent="0.2">
      <c r="B1526" s="49" t="s">
        <v>969</v>
      </c>
      <c r="C1526" s="36"/>
      <c r="D1526" s="45"/>
      <c r="E1526" s="85"/>
      <c r="F1526" s="16"/>
      <c r="G1526" s="15"/>
      <c r="H1526" s="15"/>
      <c r="I1526" s="4"/>
      <c r="J1526" s="4"/>
      <c r="K1526" s="4"/>
      <c r="L1526" s="4"/>
      <c r="M1526" s="4"/>
      <c r="N1526" s="4"/>
      <c r="O1526" s="4"/>
      <c r="P1526" s="4"/>
      <c r="Q1526" s="4"/>
      <c r="R1526" s="4"/>
      <c r="S1526" s="4"/>
      <c r="T1526" s="4"/>
      <c r="U1526" s="4"/>
      <c r="V1526" s="4"/>
      <c r="W1526" s="4"/>
      <c r="X1526" s="4"/>
      <c r="Y1526" s="4"/>
      <c r="Z1526" s="4"/>
      <c r="AA1526" s="4"/>
      <c r="AB1526" s="4"/>
      <c r="AC1526" s="4"/>
      <c r="AD1526" s="4"/>
      <c r="AE1526" s="4"/>
      <c r="AF1526" s="4"/>
      <c r="AG1526" s="4"/>
    </row>
    <row r="1527" spans="2:33" x14ac:dyDescent="0.2">
      <c r="B1527" s="48"/>
      <c r="C1527" s="56" t="s">
        <v>970</v>
      </c>
      <c r="D1527" s="44"/>
      <c r="E1527" s="86" t="s">
        <v>1034</v>
      </c>
      <c r="F1527" s="20"/>
      <c r="G1527" s="19"/>
      <c r="H1527" s="21" t="b">
        <f>IF(D1528="x",H$2,H$1)</f>
        <v>0</v>
      </c>
      <c r="I1527" s="4"/>
      <c r="J1527" s="4"/>
      <c r="K1527" s="4"/>
      <c r="L1527" s="4"/>
      <c r="M1527" s="4"/>
      <c r="N1527" s="4"/>
      <c r="O1527" s="4"/>
      <c r="P1527" s="4"/>
      <c r="Q1527" s="4"/>
      <c r="R1527" s="4"/>
      <c r="S1527" s="4"/>
      <c r="T1527" s="4"/>
      <c r="U1527" s="4"/>
      <c r="V1527" s="4"/>
      <c r="W1527" s="4"/>
      <c r="X1527" s="4"/>
      <c r="Y1527" s="4"/>
      <c r="Z1527" s="4"/>
      <c r="AA1527" s="4"/>
      <c r="AB1527" s="4"/>
      <c r="AC1527" s="4"/>
      <c r="AD1527" s="4"/>
      <c r="AE1527" s="4"/>
      <c r="AF1527" s="4"/>
      <c r="AG1527" s="4"/>
    </row>
    <row r="1528" spans="2:33" x14ac:dyDescent="0.2">
      <c r="B1528" s="48"/>
      <c r="C1528" s="57" t="s">
        <v>971</v>
      </c>
      <c r="D1528" s="44"/>
      <c r="E1528" s="86" t="s">
        <v>1035</v>
      </c>
      <c r="F1528" s="22" t="str">
        <f>IF(H1529=1,IF(H1527=H$2,H1527,""),"")</f>
        <v/>
      </c>
      <c r="G1528" s="19"/>
      <c r="H1528" s="21" t="str">
        <f t="shared" ref="H1528" si="513">IF(E$1622="comprobar",COUNTIF(D1527:D1531,"x"),"")</f>
        <v/>
      </c>
      <c r="I1528" s="4"/>
      <c r="J1528" s="4"/>
      <c r="K1528" s="4"/>
      <c r="L1528" s="4"/>
      <c r="M1528" s="4"/>
      <c r="N1528" s="4"/>
      <c r="O1528" s="4"/>
      <c r="P1528" s="4"/>
      <c r="Q1528" s="4"/>
      <c r="R1528" s="4"/>
      <c r="S1528" s="4"/>
      <c r="T1528" s="4"/>
      <c r="U1528" s="4"/>
      <c r="V1528" s="4"/>
      <c r="W1528" s="4"/>
      <c r="X1528" s="4"/>
      <c r="Y1528" s="4"/>
      <c r="Z1528" s="4"/>
      <c r="AA1528" s="4"/>
      <c r="AB1528" s="4"/>
      <c r="AC1528" s="4"/>
      <c r="AD1528" s="4"/>
      <c r="AE1528" s="4"/>
      <c r="AF1528" s="4"/>
      <c r="AG1528" s="4"/>
    </row>
    <row r="1529" spans="2:33" x14ac:dyDescent="0.2">
      <c r="B1529" s="48"/>
      <c r="C1529" s="57" t="s">
        <v>972</v>
      </c>
      <c r="D1529" s="44"/>
      <c r="E1529" s="86" t="s">
        <v>1036</v>
      </c>
      <c r="F1529" s="23" t="str">
        <f>IF(H1529=-0.33,IF(H1527=H$1,H1527,""),"")</f>
        <v/>
      </c>
      <c r="G1529" s="19"/>
      <c r="H1529" s="24">
        <f t="shared" ref="H1529" si="514">IF(H1528=1,IF(H1527=H$2,1,-0.33),0)</f>
        <v>0</v>
      </c>
      <c r="I1529" s="4"/>
      <c r="J1529" s="4"/>
      <c r="K1529" s="4"/>
      <c r="L1529" s="4"/>
      <c r="M1529" s="4"/>
      <c r="N1529" s="4"/>
      <c r="O1529" s="4"/>
      <c r="P1529" s="4"/>
      <c r="Q1529" s="4"/>
      <c r="R1529" s="4"/>
      <c r="S1529" s="4"/>
      <c r="T1529" s="4"/>
      <c r="U1529" s="4"/>
      <c r="V1529" s="4"/>
      <c r="W1529" s="4"/>
      <c r="X1529" s="4"/>
      <c r="Y1529" s="4"/>
      <c r="Z1529" s="4"/>
      <c r="AA1529" s="4"/>
      <c r="AB1529" s="4"/>
      <c r="AC1529" s="4"/>
      <c r="AD1529" s="4"/>
      <c r="AE1529" s="4"/>
      <c r="AF1529" s="4"/>
      <c r="AG1529" s="4"/>
    </row>
    <row r="1530" spans="2:33" x14ac:dyDescent="0.2">
      <c r="B1530" s="48"/>
      <c r="C1530" s="57" t="s">
        <v>973</v>
      </c>
      <c r="D1530" s="44"/>
      <c r="E1530" s="86" t="s">
        <v>1037</v>
      </c>
      <c r="F1530" s="20"/>
      <c r="G1530" s="19"/>
      <c r="H1530" s="24"/>
      <c r="I1530" s="4"/>
      <c r="J1530" s="4"/>
      <c r="K1530" s="4"/>
      <c r="L1530" s="4"/>
      <c r="M1530" s="4"/>
      <c r="N1530" s="4"/>
      <c r="O1530" s="4"/>
      <c r="P1530" s="4"/>
      <c r="Q1530" s="4"/>
      <c r="R1530" s="4"/>
      <c r="S1530" s="4"/>
      <c r="T1530" s="4"/>
      <c r="U1530" s="4"/>
      <c r="V1530" s="4"/>
      <c r="W1530" s="4"/>
      <c r="X1530" s="4"/>
      <c r="Y1530" s="4"/>
      <c r="Z1530" s="4"/>
      <c r="AA1530" s="4"/>
      <c r="AB1530" s="4"/>
      <c r="AC1530" s="4"/>
      <c r="AD1530" s="4"/>
      <c r="AE1530" s="4"/>
      <c r="AF1530" s="4"/>
      <c r="AG1530" s="4"/>
    </row>
    <row r="1531" spans="2:33" x14ac:dyDescent="0.2">
      <c r="B1531" s="48"/>
      <c r="C1531" s="8"/>
      <c r="D1531" s="44"/>
      <c r="E1531" s="86" t="s">
        <v>1038</v>
      </c>
      <c r="F1531" s="20"/>
      <c r="G1531" s="19"/>
      <c r="H1531" s="24"/>
      <c r="I1531" s="4"/>
      <c r="J1531" s="4"/>
      <c r="K1531" s="4"/>
      <c r="L1531" s="4"/>
      <c r="M1531" s="4"/>
      <c r="N1531" s="4"/>
      <c r="O1531" s="4"/>
      <c r="P1531" s="4"/>
      <c r="Q1531" s="4"/>
      <c r="R1531" s="4"/>
      <c r="S1531" s="4"/>
      <c r="T1531" s="4"/>
      <c r="U1531" s="4"/>
      <c r="V1531" s="4"/>
      <c r="W1531" s="4"/>
      <c r="X1531" s="4"/>
      <c r="Y1531" s="4"/>
      <c r="Z1531" s="4"/>
      <c r="AA1531" s="4"/>
      <c r="AB1531" s="4"/>
      <c r="AC1531" s="4"/>
      <c r="AD1531" s="4"/>
      <c r="AE1531" s="4"/>
      <c r="AF1531" s="4"/>
      <c r="AG1531" s="4"/>
    </row>
    <row r="1532" spans="2:33" x14ac:dyDescent="0.2">
      <c r="B1532" s="49" t="s">
        <v>974</v>
      </c>
      <c r="C1532" s="13"/>
      <c r="D1532" s="45"/>
      <c r="E1532" s="85"/>
      <c r="F1532" s="16"/>
      <c r="G1532" s="15"/>
      <c r="H1532" s="15"/>
      <c r="I1532" s="4"/>
      <c r="J1532" s="4"/>
      <c r="K1532" s="4"/>
      <c r="L1532" s="4"/>
      <c r="M1532" s="4"/>
      <c r="N1532" s="4"/>
      <c r="O1532" s="4"/>
      <c r="P1532" s="4"/>
      <c r="Q1532" s="4"/>
      <c r="R1532" s="4"/>
      <c r="S1532" s="4"/>
      <c r="T1532" s="4"/>
      <c r="U1532" s="4"/>
      <c r="V1532" s="4"/>
      <c r="W1532" s="4"/>
      <c r="X1532" s="4"/>
      <c r="Y1532" s="4"/>
      <c r="Z1532" s="4"/>
      <c r="AA1532" s="4"/>
      <c r="AB1532" s="4"/>
      <c r="AC1532" s="4"/>
      <c r="AD1532" s="4"/>
      <c r="AE1532" s="4"/>
      <c r="AF1532" s="4"/>
      <c r="AG1532" s="4"/>
    </row>
    <row r="1533" spans="2:33" x14ac:dyDescent="0.2">
      <c r="B1533" s="52"/>
      <c r="C1533" s="56" t="s">
        <v>975</v>
      </c>
      <c r="D1533" s="44"/>
      <c r="E1533" s="86" t="s">
        <v>1034</v>
      </c>
      <c r="F1533" s="20"/>
      <c r="G1533" s="19"/>
      <c r="H1533" s="21" t="b">
        <f>IF(D1536="x",H$2,H$1)</f>
        <v>0</v>
      </c>
      <c r="I1533" s="4"/>
      <c r="J1533" s="4"/>
      <c r="K1533" s="4"/>
      <c r="L1533" s="4"/>
      <c r="M1533" s="4"/>
      <c r="N1533" s="4"/>
      <c r="O1533" s="4"/>
      <c r="P1533" s="4"/>
      <c r="Q1533" s="4"/>
      <c r="R1533" s="4"/>
      <c r="S1533" s="4"/>
      <c r="T1533" s="4"/>
      <c r="U1533" s="4"/>
      <c r="V1533" s="4"/>
      <c r="W1533" s="4"/>
      <c r="X1533" s="4"/>
      <c r="Y1533" s="4"/>
      <c r="Z1533" s="4"/>
      <c r="AA1533" s="4"/>
      <c r="AB1533" s="4"/>
      <c r="AC1533" s="4"/>
      <c r="AD1533" s="4"/>
      <c r="AE1533" s="4"/>
      <c r="AF1533" s="4"/>
      <c r="AG1533" s="4"/>
    </row>
    <row r="1534" spans="2:33" x14ac:dyDescent="0.2">
      <c r="B1534" s="48"/>
      <c r="C1534" s="57" t="s">
        <v>976</v>
      </c>
      <c r="D1534" s="44"/>
      <c r="E1534" s="86" t="s">
        <v>1035</v>
      </c>
      <c r="F1534" s="22" t="str">
        <f>IF(H1535=1,IF(H1533=H$2,H1533,""),"")</f>
        <v/>
      </c>
      <c r="G1534" s="19"/>
      <c r="H1534" s="21" t="str">
        <f t="shared" ref="H1534" si="515">IF(E$1622="comprobar",COUNTIF(D1533:D1537,"x"),"")</f>
        <v/>
      </c>
      <c r="I1534" s="4"/>
      <c r="J1534" s="4"/>
      <c r="K1534" s="4"/>
      <c r="L1534" s="4"/>
      <c r="M1534" s="4"/>
      <c r="N1534" s="4"/>
      <c r="O1534" s="4"/>
      <c r="P1534" s="4"/>
      <c r="Q1534" s="4"/>
      <c r="R1534" s="4"/>
      <c r="S1534" s="4"/>
      <c r="T1534" s="4"/>
      <c r="U1534" s="4"/>
      <c r="V1534" s="4"/>
      <c r="W1534" s="4"/>
      <c r="X1534" s="4"/>
      <c r="Y1534" s="4"/>
      <c r="Z1534" s="4"/>
      <c r="AA1534" s="4"/>
      <c r="AB1534" s="4"/>
      <c r="AC1534" s="4"/>
      <c r="AD1534" s="4"/>
      <c r="AE1534" s="4"/>
      <c r="AF1534" s="4"/>
      <c r="AG1534" s="4"/>
    </row>
    <row r="1535" spans="2:33" x14ac:dyDescent="0.2">
      <c r="B1535" s="48"/>
      <c r="C1535" s="57" t="s">
        <v>977</v>
      </c>
      <c r="D1535" s="44"/>
      <c r="E1535" s="86" t="s">
        <v>1036</v>
      </c>
      <c r="F1535" s="23" t="str">
        <f>IF(H1535=-0.33,IF(H1533=H$1,H1533,""),"")</f>
        <v/>
      </c>
      <c r="G1535" s="19"/>
      <c r="H1535" s="24">
        <f t="shared" ref="H1535" si="516">IF(H1534=1,IF(H1533=H$2,1,-0.33),0)</f>
        <v>0</v>
      </c>
      <c r="I1535" s="4"/>
      <c r="J1535" s="4"/>
      <c r="K1535" s="4"/>
      <c r="L1535" s="4"/>
      <c r="M1535" s="4"/>
      <c r="N1535" s="4"/>
      <c r="O1535" s="4"/>
      <c r="P1535" s="4"/>
      <c r="Q1535" s="4"/>
      <c r="R1535" s="4"/>
      <c r="S1535" s="4"/>
      <c r="T1535" s="4"/>
      <c r="U1535" s="4"/>
      <c r="V1535" s="4"/>
      <c r="W1535" s="4"/>
      <c r="X1535" s="4"/>
      <c r="Y1535" s="4"/>
      <c r="Z1535" s="4"/>
      <c r="AA1535" s="4"/>
      <c r="AB1535" s="4"/>
      <c r="AC1535" s="4"/>
      <c r="AD1535" s="4"/>
      <c r="AE1535" s="4"/>
      <c r="AF1535" s="4"/>
      <c r="AG1535" s="4"/>
    </row>
    <row r="1536" spans="2:33" x14ac:dyDescent="0.2">
      <c r="B1536" s="52"/>
      <c r="C1536" s="57" t="s">
        <v>978</v>
      </c>
      <c r="D1536" s="44"/>
      <c r="E1536" s="86" t="s">
        <v>1037</v>
      </c>
      <c r="F1536" s="20"/>
      <c r="G1536" s="19"/>
      <c r="H1536" s="24"/>
      <c r="I1536" s="4"/>
      <c r="J1536" s="4"/>
      <c r="K1536" s="4"/>
      <c r="L1536" s="4"/>
      <c r="M1536" s="4"/>
      <c r="N1536" s="4"/>
      <c r="O1536" s="4"/>
      <c r="P1536" s="4"/>
      <c r="Q1536" s="4"/>
      <c r="R1536" s="4"/>
      <c r="S1536" s="4"/>
      <c r="T1536" s="4"/>
      <c r="U1536" s="4"/>
      <c r="V1536" s="4"/>
      <c r="W1536" s="4"/>
      <c r="X1536" s="4"/>
      <c r="Y1536" s="4"/>
      <c r="Z1536" s="4"/>
      <c r="AA1536" s="4"/>
      <c r="AB1536" s="4"/>
      <c r="AC1536" s="4"/>
      <c r="AD1536" s="4"/>
      <c r="AE1536" s="4"/>
      <c r="AF1536" s="4"/>
      <c r="AG1536" s="4"/>
    </row>
    <row r="1537" spans="2:33" x14ac:dyDescent="0.2">
      <c r="B1537" s="48"/>
      <c r="C1537" s="8"/>
      <c r="D1537" s="44"/>
      <c r="E1537" s="86" t="s">
        <v>1038</v>
      </c>
      <c r="F1537" s="20"/>
      <c r="G1537" s="19"/>
      <c r="H1537" s="24"/>
      <c r="I1537" s="4"/>
      <c r="J1537" s="4"/>
      <c r="K1537" s="4"/>
      <c r="L1537" s="4"/>
      <c r="M1537" s="4"/>
      <c r="N1537" s="4"/>
      <c r="O1537" s="4"/>
      <c r="P1537" s="4"/>
      <c r="Q1537" s="4"/>
      <c r="R1537" s="4"/>
      <c r="S1537" s="4"/>
      <c r="T1537" s="4"/>
      <c r="U1537" s="4"/>
      <c r="V1537" s="4"/>
      <c r="W1537" s="4"/>
      <c r="X1537" s="4"/>
      <c r="Y1537" s="4"/>
      <c r="Z1537" s="4"/>
      <c r="AA1537" s="4"/>
      <c r="AB1537" s="4"/>
      <c r="AC1537" s="4"/>
      <c r="AD1537" s="4"/>
      <c r="AE1537" s="4"/>
      <c r="AF1537" s="4"/>
      <c r="AG1537" s="4"/>
    </row>
    <row r="1538" spans="2:33" x14ac:dyDescent="0.2">
      <c r="B1538" s="49" t="s">
        <v>979</v>
      </c>
      <c r="C1538" s="13"/>
      <c r="D1538" s="45"/>
      <c r="E1538" s="85"/>
      <c r="F1538" s="16"/>
      <c r="G1538" s="15"/>
      <c r="H1538" s="15"/>
      <c r="I1538" s="4"/>
      <c r="J1538" s="4"/>
      <c r="K1538" s="4"/>
      <c r="L1538" s="4"/>
      <c r="M1538" s="4"/>
      <c r="N1538" s="4"/>
      <c r="O1538" s="4"/>
      <c r="P1538" s="4"/>
      <c r="Q1538" s="4"/>
      <c r="R1538" s="4"/>
      <c r="S1538" s="4"/>
      <c r="T1538" s="4"/>
      <c r="U1538" s="4"/>
      <c r="V1538" s="4"/>
      <c r="W1538" s="4"/>
      <c r="X1538" s="4"/>
      <c r="Y1538" s="4"/>
      <c r="Z1538" s="4"/>
      <c r="AA1538" s="4"/>
      <c r="AB1538" s="4"/>
      <c r="AC1538" s="4"/>
      <c r="AD1538" s="4"/>
      <c r="AE1538" s="4"/>
      <c r="AF1538" s="4"/>
      <c r="AG1538" s="4"/>
    </row>
    <row r="1539" spans="2:33" x14ac:dyDescent="0.2">
      <c r="B1539" s="48"/>
      <c r="C1539" s="56" t="s">
        <v>980</v>
      </c>
      <c r="D1539" s="44"/>
      <c r="E1539" s="86" t="s">
        <v>1034</v>
      </c>
      <c r="F1539" s="20"/>
      <c r="G1539" s="19"/>
      <c r="H1539" s="21" t="b">
        <f>IF(D1542="x",H$2,H$1)</f>
        <v>0</v>
      </c>
      <c r="I1539" s="4"/>
      <c r="J1539" s="4"/>
      <c r="K1539" s="4"/>
      <c r="L1539" s="4"/>
      <c r="M1539" s="4"/>
      <c r="N1539" s="4"/>
      <c r="O1539" s="4"/>
      <c r="P1539" s="4"/>
      <c r="Q1539" s="4"/>
      <c r="R1539" s="4"/>
      <c r="S1539" s="4"/>
      <c r="T1539" s="4"/>
      <c r="U1539" s="4"/>
      <c r="V1539" s="4"/>
      <c r="W1539" s="4"/>
      <c r="X1539" s="4"/>
      <c r="Y1539" s="4"/>
      <c r="Z1539" s="4"/>
      <c r="AA1539" s="4"/>
      <c r="AB1539" s="4"/>
      <c r="AC1539" s="4"/>
      <c r="AD1539" s="4"/>
      <c r="AE1539" s="4"/>
      <c r="AF1539" s="4"/>
      <c r="AG1539" s="4"/>
    </row>
    <row r="1540" spans="2:33" x14ac:dyDescent="0.2">
      <c r="B1540" s="52"/>
      <c r="C1540" s="57" t="s">
        <v>981</v>
      </c>
      <c r="D1540" s="44"/>
      <c r="E1540" s="86" t="s">
        <v>1035</v>
      </c>
      <c r="F1540" s="22" t="str">
        <f>IF(H1541=1,IF(H1539=H$2,H1539,""),"")</f>
        <v/>
      </c>
      <c r="G1540" s="19"/>
      <c r="H1540" s="21" t="str">
        <f t="shared" ref="H1540" si="517">IF(E$1622="comprobar",COUNTIF(D1539:D1543,"x"),"")</f>
        <v/>
      </c>
      <c r="I1540" s="4"/>
      <c r="J1540" s="4"/>
      <c r="K1540" s="4"/>
      <c r="L1540" s="4"/>
      <c r="M1540" s="4"/>
      <c r="N1540" s="4"/>
      <c r="O1540" s="4"/>
      <c r="P1540" s="4"/>
      <c r="Q1540" s="4"/>
      <c r="R1540" s="4"/>
      <c r="S1540" s="4"/>
      <c r="T1540" s="4"/>
      <c r="U1540" s="4"/>
      <c r="V1540" s="4"/>
      <c r="W1540" s="4"/>
      <c r="X1540" s="4"/>
      <c r="Y1540" s="4"/>
      <c r="Z1540" s="4"/>
      <c r="AA1540" s="4"/>
      <c r="AB1540" s="4"/>
      <c r="AC1540" s="4"/>
      <c r="AD1540" s="4"/>
      <c r="AE1540" s="4"/>
      <c r="AF1540" s="4"/>
      <c r="AG1540" s="4"/>
    </row>
    <row r="1541" spans="2:33" x14ac:dyDescent="0.2">
      <c r="B1541" s="52"/>
      <c r="C1541" s="57" t="s">
        <v>982</v>
      </c>
      <c r="D1541" s="44"/>
      <c r="E1541" s="86" t="s">
        <v>1036</v>
      </c>
      <c r="F1541" s="23" t="str">
        <f>IF(H1541=-0.33,IF(H1539=H$1,H1539,""),"")</f>
        <v/>
      </c>
      <c r="G1541" s="19"/>
      <c r="H1541" s="24">
        <f t="shared" ref="H1541" si="518">IF(H1540=1,IF(H1539=H$2,1,-0.33),0)</f>
        <v>0</v>
      </c>
      <c r="I1541" s="4"/>
      <c r="J1541" s="4"/>
      <c r="K1541" s="4"/>
      <c r="L1541" s="4"/>
      <c r="M1541" s="4"/>
      <c r="N1541" s="4"/>
      <c r="O1541" s="4"/>
      <c r="P1541" s="4"/>
      <c r="Q1541" s="4"/>
      <c r="R1541" s="4"/>
      <c r="S1541" s="4"/>
      <c r="T1541" s="4"/>
      <c r="U1541" s="4"/>
      <c r="V1541" s="4"/>
      <c r="W1541" s="4"/>
      <c r="X1541" s="4"/>
      <c r="Y1541" s="4"/>
      <c r="Z1541" s="4"/>
      <c r="AA1541" s="4"/>
      <c r="AB1541" s="4"/>
      <c r="AC1541" s="4"/>
      <c r="AD1541" s="4"/>
      <c r="AE1541" s="4"/>
      <c r="AF1541" s="4"/>
      <c r="AG1541" s="4"/>
    </row>
    <row r="1542" spans="2:33" x14ac:dyDescent="0.2">
      <c r="B1542" s="48"/>
      <c r="C1542" s="57" t="s">
        <v>983</v>
      </c>
      <c r="D1542" s="44"/>
      <c r="E1542" s="86" t="s">
        <v>1037</v>
      </c>
      <c r="F1542" s="20"/>
      <c r="G1542" s="19"/>
      <c r="H1542" s="24"/>
      <c r="I1542" s="4"/>
      <c r="J1542" s="4"/>
      <c r="K1542" s="4"/>
      <c r="L1542" s="4"/>
      <c r="M1542" s="4"/>
      <c r="N1542" s="4"/>
      <c r="O1542" s="4"/>
      <c r="P1542" s="4"/>
      <c r="Q1542" s="4"/>
      <c r="R1542" s="4"/>
      <c r="S1542" s="4"/>
      <c r="T1542" s="4"/>
      <c r="U1542" s="4"/>
      <c r="V1542" s="4"/>
      <c r="W1542" s="4"/>
      <c r="X1542" s="4"/>
      <c r="Y1542" s="4"/>
      <c r="Z1542" s="4"/>
      <c r="AA1542" s="4"/>
      <c r="AB1542" s="4"/>
      <c r="AC1542" s="4"/>
      <c r="AD1542" s="4"/>
      <c r="AE1542" s="4"/>
      <c r="AF1542" s="4"/>
      <c r="AG1542" s="4"/>
    </row>
    <row r="1543" spans="2:33" x14ac:dyDescent="0.2">
      <c r="B1543" s="48"/>
      <c r="C1543" s="8"/>
      <c r="D1543" s="44"/>
      <c r="E1543" s="86" t="s">
        <v>1038</v>
      </c>
      <c r="F1543" s="20"/>
      <c r="G1543" s="19"/>
      <c r="H1543" s="24"/>
      <c r="I1543" s="4"/>
      <c r="J1543" s="4"/>
      <c r="K1543" s="4"/>
      <c r="L1543" s="4"/>
      <c r="M1543" s="4"/>
      <c r="N1543" s="4"/>
      <c r="O1543" s="4"/>
      <c r="P1543" s="4"/>
      <c r="Q1543" s="4"/>
      <c r="R1543" s="4"/>
      <c r="S1543" s="4"/>
      <c r="T1543" s="4"/>
      <c r="U1543" s="4"/>
      <c r="V1543" s="4"/>
      <c r="W1543" s="4"/>
      <c r="X1543" s="4"/>
      <c r="Y1543" s="4"/>
      <c r="Z1543" s="4"/>
      <c r="AA1543" s="4"/>
      <c r="AB1543" s="4"/>
      <c r="AC1543" s="4"/>
      <c r="AD1543" s="4"/>
      <c r="AE1543" s="4"/>
      <c r="AF1543" s="4"/>
      <c r="AG1543" s="4"/>
    </row>
    <row r="1544" spans="2:33" x14ac:dyDescent="0.2">
      <c r="B1544" s="49" t="s">
        <v>984</v>
      </c>
      <c r="C1544" s="13"/>
      <c r="D1544" s="45"/>
      <c r="E1544" s="85"/>
      <c r="F1544" s="16"/>
      <c r="G1544" s="15"/>
      <c r="H1544" s="15"/>
      <c r="I1544" s="4"/>
      <c r="J1544" s="4"/>
      <c r="K1544" s="4"/>
      <c r="L1544" s="4"/>
      <c r="M1544" s="4"/>
      <c r="N1544" s="4"/>
      <c r="O1544" s="4"/>
      <c r="P1544" s="4"/>
      <c r="Q1544" s="4"/>
      <c r="R1544" s="4"/>
      <c r="S1544" s="4"/>
      <c r="T1544" s="4"/>
      <c r="U1544" s="4"/>
      <c r="V1544" s="4"/>
      <c r="W1544" s="4"/>
      <c r="X1544" s="4"/>
      <c r="Y1544" s="4"/>
      <c r="Z1544" s="4"/>
      <c r="AA1544" s="4"/>
      <c r="AB1544" s="4"/>
      <c r="AC1544" s="4"/>
      <c r="AD1544" s="4"/>
      <c r="AE1544" s="4"/>
      <c r="AF1544" s="4"/>
      <c r="AG1544" s="4"/>
    </row>
    <row r="1545" spans="2:33" x14ac:dyDescent="0.2">
      <c r="B1545" s="52"/>
      <c r="C1545" s="56" t="s">
        <v>985</v>
      </c>
      <c r="D1545" s="44"/>
      <c r="E1545" s="86" t="s">
        <v>1034</v>
      </c>
      <c r="F1545" s="20"/>
      <c r="G1545" s="19"/>
      <c r="H1545" s="21" t="b">
        <f>IF(D1548="x",H$2,H$1)</f>
        <v>0</v>
      </c>
      <c r="I1545" s="4"/>
      <c r="J1545" s="4"/>
      <c r="K1545" s="4"/>
      <c r="L1545" s="4"/>
      <c r="M1545" s="4"/>
      <c r="N1545" s="4"/>
      <c r="O1545" s="4"/>
      <c r="P1545" s="4"/>
      <c r="Q1545" s="4"/>
      <c r="R1545" s="4"/>
      <c r="S1545" s="4"/>
      <c r="T1545" s="4"/>
      <c r="U1545" s="4"/>
      <c r="V1545" s="4"/>
      <c r="W1545" s="4"/>
      <c r="X1545" s="4"/>
      <c r="Y1545" s="4"/>
      <c r="Z1545" s="4"/>
      <c r="AA1545" s="4"/>
      <c r="AB1545" s="4"/>
      <c r="AC1545" s="4"/>
      <c r="AD1545" s="4"/>
      <c r="AE1545" s="4"/>
      <c r="AF1545" s="4"/>
      <c r="AG1545" s="4"/>
    </row>
    <row r="1546" spans="2:33" x14ac:dyDescent="0.2">
      <c r="B1546" s="48"/>
      <c r="C1546" s="57" t="s">
        <v>986</v>
      </c>
      <c r="D1546" s="44"/>
      <c r="E1546" s="86" t="s">
        <v>1035</v>
      </c>
      <c r="F1546" s="22" t="str">
        <f>IF(H1547=1,IF(H1545=H$2,H1545,""),"")</f>
        <v/>
      </c>
      <c r="G1546" s="19"/>
      <c r="H1546" s="21" t="str">
        <f t="shared" ref="H1546" si="519">IF(E$1622="comprobar",COUNTIF(D1545:D1549,"x"),"")</f>
        <v/>
      </c>
      <c r="I1546" s="4"/>
      <c r="J1546" s="4"/>
      <c r="K1546" s="4"/>
      <c r="L1546" s="4"/>
      <c r="M1546" s="4"/>
      <c r="N1546" s="4"/>
      <c r="O1546" s="4"/>
      <c r="P1546" s="4"/>
      <c r="Q1546" s="4"/>
      <c r="R1546" s="4"/>
      <c r="S1546" s="4"/>
      <c r="T1546" s="4"/>
      <c r="U1546" s="4"/>
      <c r="V1546" s="4"/>
      <c r="W1546" s="4"/>
      <c r="X1546" s="4"/>
      <c r="Y1546" s="4"/>
      <c r="Z1546" s="4"/>
      <c r="AA1546" s="4"/>
      <c r="AB1546" s="4"/>
      <c r="AC1546" s="4"/>
      <c r="AD1546" s="4"/>
      <c r="AE1546" s="4"/>
      <c r="AF1546" s="4"/>
      <c r="AG1546" s="4"/>
    </row>
    <row r="1547" spans="2:33" x14ac:dyDescent="0.2">
      <c r="B1547" s="52"/>
      <c r="C1547" s="57" t="s">
        <v>982</v>
      </c>
      <c r="D1547" s="44"/>
      <c r="E1547" s="86" t="s">
        <v>1036</v>
      </c>
      <c r="F1547" s="23" t="str">
        <f>IF(H1547=-0.33,IF(H1545=H$1,H1545,""),"")</f>
        <v/>
      </c>
      <c r="G1547" s="19"/>
      <c r="H1547" s="24">
        <f t="shared" ref="H1547" si="520">IF(H1546=1,IF(H1545=H$2,1,-0.33),0)</f>
        <v>0</v>
      </c>
      <c r="I1547" s="4"/>
      <c r="J1547" s="4"/>
      <c r="K1547" s="4"/>
      <c r="L1547" s="4"/>
      <c r="M1547" s="4"/>
      <c r="N1547" s="4"/>
      <c r="O1547" s="4"/>
      <c r="P1547" s="4"/>
      <c r="Q1547" s="4"/>
      <c r="R1547" s="4"/>
      <c r="S1547" s="4"/>
      <c r="T1547" s="4"/>
      <c r="U1547" s="4"/>
      <c r="V1547" s="4"/>
      <c r="W1547" s="4"/>
      <c r="X1547" s="4"/>
      <c r="Y1547" s="4"/>
      <c r="Z1547" s="4"/>
      <c r="AA1547" s="4"/>
      <c r="AB1547" s="4"/>
      <c r="AC1547" s="4"/>
      <c r="AD1547" s="4"/>
      <c r="AE1547" s="4"/>
      <c r="AF1547" s="4"/>
      <c r="AG1547" s="4"/>
    </row>
    <row r="1548" spans="2:33" x14ac:dyDescent="0.2">
      <c r="B1548" s="48"/>
      <c r="C1548" s="57" t="s">
        <v>622</v>
      </c>
      <c r="D1548" s="44"/>
      <c r="E1548" s="86" t="s">
        <v>1037</v>
      </c>
      <c r="F1548" s="20"/>
      <c r="G1548" s="19"/>
      <c r="H1548" s="24"/>
      <c r="I1548" s="4"/>
      <c r="J1548" s="4"/>
      <c r="K1548" s="4"/>
      <c r="L1548" s="4"/>
      <c r="M1548" s="4"/>
      <c r="N1548" s="4"/>
      <c r="O1548" s="4"/>
      <c r="P1548" s="4"/>
      <c r="Q1548" s="4"/>
      <c r="R1548" s="4"/>
      <c r="S1548" s="4"/>
      <c r="T1548" s="4"/>
      <c r="U1548" s="4"/>
      <c r="V1548" s="4"/>
      <c r="W1548" s="4"/>
      <c r="X1548" s="4"/>
      <c r="Y1548" s="4"/>
      <c r="Z1548" s="4"/>
      <c r="AA1548" s="4"/>
      <c r="AB1548" s="4"/>
      <c r="AC1548" s="4"/>
      <c r="AD1548" s="4"/>
      <c r="AE1548" s="4"/>
      <c r="AF1548" s="4"/>
      <c r="AG1548" s="4"/>
    </row>
    <row r="1549" spans="2:33" x14ac:dyDescent="0.2">
      <c r="B1549" s="48"/>
      <c r="C1549" s="8"/>
      <c r="D1549" s="44"/>
      <c r="E1549" s="86" t="s">
        <v>1038</v>
      </c>
      <c r="F1549" s="20"/>
      <c r="G1549" s="19"/>
      <c r="H1549" s="24"/>
      <c r="I1549" s="4"/>
      <c r="J1549" s="4"/>
      <c r="K1549" s="4"/>
      <c r="L1549" s="4"/>
      <c r="M1549" s="4"/>
      <c r="N1549" s="4"/>
      <c r="O1549" s="4"/>
      <c r="P1549" s="4"/>
      <c r="Q1549" s="4"/>
      <c r="R1549" s="4"/>
      <c r="S1549" s="4"/>
      <c r="T1549" s="4"/>
      <c r="U1549" s="4"/>
      <c r="V1549" s="4"/>
      <c r="W1549" s="4"/>
      <c r="X1549" s="4"/>
      <c r="Y1549" s="4"/>
      <c r="Z1549" s="4"/>
      <c r="AA1549" s="4"/>
      <c r="AB1549" s="4"/>
      <c r="AC1549" s="4"/>
      <c r="AD1549" s="4"/>
      <c r="AE1549" s="4"/>
      <c r="AF1549" s="4"/>
      <c r="AG1549" s="4"/>
    </row>
    <row r="1550" spans="2:33" x14ac:dyDescent="0.2">
      <c r="B1550" s="49" t="s">
        <v>987</v>
      </c>
      <c r="C1550" s="13"/>
      <c r="D1550" s="45"/>
      <c r="E1550" s="85"/>
      <c r="F1550" s="16"/>
      <c r="G1550" s="15"/>
      <c r="H1550" s="15"/>
      <c r="I1550" s="4"/>
      <c r="J1550" s="4"/>
      <c r="K1550" s="4"/>
      <c r="L1550" s="4"/>
      <c r="M1550" s="4"/>
      <c r="N1550" s="4"/>
      <c r="O1550" s="4"/>
      <c r="P1550" s="4"/>
      <c r="Q1550" s="4"/>
      <c r="R1550" s="4"/>
      <c r="S1550" s="4"/>
      <c r="T1550" s="4"/>
      <c r="U1550" s="4"/>
      <c r="V1550" s="4"/>
      <c r="W1550" s="4"/>
      <c r="X1550" s="4"/>
      <c r="Y1550" s="4"/>
      <c r="Z1550" s="4"/>
      <c r="AA1550" s="4"/>
      <c r="AB1550" s="4"/>
      <c r="AC1550" s="4"/>
      <c r="AD1550" s="4"/>
      <c r="AE1550" s="4"/>
      <c r="AF1550" s="4"/>
      <c r="AG1550" s="4"/>
    </row>
    <row r="1551" spans="2:33" x14ac:dyDescent="0.2">
      <c r="B1551" s="52"/>
      <c r="C1551" s="56" t="s">
        <v>988</v>
      </c>
      <c r="D1551" s="44"/>
      <c r="E1551" s="86" t="s">
        <v>1034</v>
      </c>
      <c r="F1551" s="20"/>
      <c r="G1551" s="19"/>
      <c r="H1551" s="21" t="b">
        <f>IF(D1552="x",H$2,H$1)</f>
        <v>0</v>
      </c>
      <c r="I1551" s="4"/>
      <c r="J1551" s="4"/>
      <c r="K1551" s="4"/>
      <c r="L1551" s="4"/>
      <c r="M1551" s="4"/>
      <c r="N1551" s="4"/>
      <c r="O1551" s="4"/>
      <c r="P1551" s="4"/>
      <c r="Q1551" s="4"/>
      <c r="R1551" s="4"/>
      <c r="S1551" s="4"/>
      <c r="T1551" s="4"/>
      <c r="U1551" s="4"/>
      <c r="V1551" s="4"/>
      <c r="W1551" s="4"/>
      <c r="X1551" s="4"/>
      <c r="Y1551" s="4"/>
      <c r="Z1551" s="4"/>
      <c r="AA1551" s="4"/>
      <c r="AB1551" s="4"/>
      <c r="AC1551" s="4"/>
      <c r="AD1551" s="4"/>
      <c r="AE1551" s="4"/>
      <c r="AF1551" s="4"/>
      <c r="AG1551" s="4"/>
    </row>
    <row r="1552" spans="2:33" x14ac:dyDescent="0.2">
      <c r="B1552" s="48"/>
      <c r="C1552" s="57" t="s">
        <v>989</v>
      </c>
      <c r="D1552" s="44"/>
      <c r="E1552" s="86" t="s">
        <v>1035</v>
      </c>
      <c r="F1552" s="22" t="str">
        <f>IF(H1553=1,IF(H1551=H$2,H1551,""),"")</f>
        <v/>
      </c>
      <c r="G1552" s="19"/>
      <c r="H1552" s="21" t="str">
        <f t="shared" ref="H1552" si="521">IF(E$1622="comprobar",COUNTIF(D1551:D1555,"x"),"")</f>
        <v/>
      </c>
      <c r="I1552" s="4"/>
      <c r="J1552" s="4"/>
      <c r="K1552" s="4"/>
      <c r="L1552" s="4"/>
      <c r="M1552" s="4"/>
      <c r="N1552" s="4"/>
      <c r="O1552" s="4"/>
      <c r="P1552" s="4"/>
      <c r="Q1552" s="4"/>
      <c r="R1552" s="4"/>
      <c r="S1552" s="4"/>
      <c r="T1552" s="4"/>
      <c r="U1552" s="4"/>
      <c r="V1552" s="4"/>
      <c r="W1552" s="4"/>
      <c r="X1552" s="4"/>
      <c r="Y1552" s="4"/>
      <c r="Z1552" s="4"/>
      <c r="AA1552" s="4"/>
      <c r="AB1552" s="4"/>
      <c r="AC1552" s="4"/>
      <c r="AD1552" s="4"/>
      <c r="AE1552" s="4"/>
      <c r="AF1552" s="4"/>
      <c r="AG1552" s="4"/>
    </row>
    <row r="1553" spans="2:33" x14ac:dyDescent="0.2">
      <c r="B1553" s="48"/>
      <c r="C1553" s="57" t="s">
        <v>990</v>
      </c>
      <c r="D1553" s="44"/>
      <c r="E1553" s="86" t="s">
        <v>1036</v>
      </c>
      <c r="F1553" s="23" t="str">
        <f>IF(H1553=-0.33,IF(H1551=H$1,H1551,""),"")</f>
        <v/>
      </c>
      <c r="G1553" s="19"/>
      <c r="H1553" s="24">
        <f t="shared" ref="H1553" si="522">IF(H1552=1,IF(H1551=H$2,1,-0.33),0)</f>
        <v>0</v>
      </c>
      <c r="I1553" s="4"/>
      <c r="J1553" s="4"/>
      <c r="K1553" s="4"/>
      <c r="L1553" s="4"/>
      <c r="M1553" s="4"/>
      <c r="N1553" s="4"/>
      <c r="O1553" s="4"/>
      <c r="P1553" s="4"/>
      <c r="Q1553" s="4"/>
      <c r="R1553" s="4"/>
      <c r="S1553" s="4"/>
      <c r="T1553" s="4"/>
      <c r="U1553" s="4"/>
      <c r="V1553" s="4"/>
      <c r="W1553" s="4"/>
      <c r="X1553" s="4"/>
      <c r="Y1553" s="4"/>
      <c r="Z1553" s="4"/>
      <c r="AA1553" s="4"/>
      <c r="AB1553" s="4"/>
      <c r="AC1553" s="4"/>
      <c r="AD1553" s="4"/>
      <c r="AE1553" s="4"/>
      <c r="AF1553" s="4"/>
      <c r="AG1553" s="4"/>
    </row>
    <row r="1554" spans="2:33" x14ac:dyDescent="0.2">
      <c r="B1554" s="48"/>
      <c r="C1554" s="57" t="s">
        <v>991</v>
      </c>
      <c r="D1554" s="44"/>
      <c r="E1554" s="86" t="s">
        <v>1037</v>
      </c>
      <c r="F1554" s="20"/>
      <c r="G1554" s="19"/>
      <c r="H1554" s="24"/>
      <c r="I1554" s="4"/>
      <c r="J1554" s="4"/>
      <c r="K1554" s="4"/>
      <c r="L1554" s="4"/>
      <c r="M1554" s="4"/>
      <c r="N1554" s="4"/>
      <c r="O1554" s="4"/>
      <c r="P1554" s="4"/>
      <c r="Q1554" s="4"/>
      <c r="R1554" s="4"/>
      <c r="S1554" s="4"/>
      <c r="T1554" s="4"/>
      <c r="U1554" s="4"/>
      <c r="V1554" s="4"/>
      <c r="W1554" s="4"/>
      <c r="X1554" s="4"/>
      <c r="Y1554" s="4"/>
      <c r="Z1554" s="4"/>
      <c r="AA1554" s="4"/>
      <c r="AB1554" s="4"/>
      <c r="AC1554" s="4"/>
      <c r="AD1554" s="4"/>
      <c r="AE1554" s="4"/>
      <c r="AF1554" s="4"/>
      <c r="AG1554" s="4"/>
    </row>
    <row r="1555" spans="2:33" x14ac:dyDescent="0.2">
      <c r="B1555" s="48"/>
      <c r="C1555" s="8"/>
      <c r="D1555" s="44"/>
      <c r="E1555" s="86" t="s">
        <v>1038</v>
      </c>
      <c r="F1555" s="12"/>
      <c r="G1555" s="19"/>
      <c r="H1555" s="24"/>
      <c r="I1555" s="4"/>
      <c r="J1555" s="4"/>
      <c r="K1555" s="4"/>
      <c r="L1555" s="4"/>
      <c r="M1555" s="4"/>
      <c r="N1555" s="4"/>
      <c r="O1555" s="4"/>
      <c r="P1555" s="4"/>
      <c r="Q1555" s="4"/>
      <c r="R1555" s="4"/>
      <c r="S1555" s="4"/>
      <c r="T1555" s="4"/>
      <c r="U1555" s="4"/>
      <c r="V1555" s="4"/>
      <c r="W1555" s="4"/>
      <c r="X1555" s="4"/>
      <c r="Y1555" s="4"/>
      <c r="Z1555" s="4"/>
      <c r="AA1555" s="4"/>
      <c r="AB1555" s="4"/>
      <c r="AC1555" s="4"/>
      <c r="AD1555" s="4"/>
      <c r="AE1555" s="4"/>
      <c r="AF1555" s="4"/>
      <c r="AG1555" s="4"/>
    </row>
    <row r="1556" spans="2:33" x14ac:dyDescent="0.2">
      <c r="B1556" s="49" t="s">
        <v>992</v>
      </c>
      <c r="C1556" s="13"/>
      <c r="D1556" s="45"/>
      <c r="E1556" s="85"/>
      <c r="F1556" s="30"/>
      <c r="G1556" s="29"/>
      <c r="H1556" s="15"/>
      <c r="I1556" s="4"/>
      <c r="J1556" s="4"/>
      <c r="K1556" s="4"/>
      <c r="L1556" s="4"/>
      <c r="M1556" s="4"/>
      <c r="N1556" s="4"/>
      <c r="O1556" s="4"/>
      <c r="P1556" s="4"/>
      <c r="Q1556" s="4"/>
      <c r="R1556" s="4"/>
      <c r="S1556" s="4"/>
      <c r="T1556" s="4"/>
      <c r="U1556" s="4"/>
      <c r="V1556" s="4"/>
      <c r="W1556" s="4"/>
      <c r="X1556" s="4"/>
      <c r="Y1556" s="4"/>
      <c r="Z1556" s="4"/>
      <c r="AA1556" s="4"/>
      <c r="AB1556" s="4"/>
      <c r="AC1556" s="4"/>
      <c r="AD1556" s="4"/>
      <c r="AE1556" s="4"/>
      <c r="AF1556" s="4"/>
      <c r="AG1556" s="4"/>
    </row>
    <row r="1557" spans="2:33" x14ac:dyDescent="0.2">
      <c r="B1557" s="48"/>
      <c r="C1557" s="56" t="s">
        <v>993</v>
      </c>
      <c r="D1557" s="44"/>
      <c r="E1557" s="86" t="s">
        <v>1034</v>
      </c>
      <c r="F1557" s="27"/>
      <c r="G1557" s="26"/>
      <c r="H1557" s="21" t="b">
        <f>IF(D1559="x",H$2,H$1)</f>
        <v>0</v>
      </c>
      <c r="I1557" s="4"/>
      <c r="J1557" s="4"/>
      <c r="K1557" s="4"/>
      <c r="L1557" s="4"/>
      <c r="M1557" s="4"/>
      <c r="N1557" s="4"/>
      <c r="O1557" s="4"/>
      <c r="P1557" s="4"/>
      <c r="Q1557" s="4"/>
      <c r="R1557" s="4"/>
      <c r="S1557" s="4"/>
      <c r="T1557" s="4"/>
      <c r="U1557" s="4"/>
      <c r="V1557" s="4"/>
      <c r="W1557" s="4"/>
      <c r="X1557" s="4"/>
      <c r="Y1557" s="4"/>
      <c r="Z1557" s="4"/>
      <c r="AA1557" s="4"/>
      <c r="AB1557" s="4"/>
      <c r="AC1557" s="4"/>
      <c r="AD1557" s="4"/>
      <c r="AE1557" s="4"/>
      <c r="AF1557" s="4"/>
      <c r="AG1557" s="4"/>
    </row>
    <row r="1558" spans="2:33" x14ac:dyDescent="0.2">
      <c r="B1558" s="48"/>
      <c r="C1558" s="57" t="s">
        <v>994</v>
      </c>
      <c r="D1558" s="44"/>
      <c r="E1558" s="86" t="s">
        <v>1035</v>
      </c>
      <c r="F1558" s="22" t="str">
        <f>IF(H1559=1,IF(H1557=H$2,H1557,""),"")</f>
        <v/>
      </c>
      <c r="G1558" s="26"/>
      <c r="H1558" s="21" t="str">
        <f t="shared" ref="H1558" si="523">IF(E$1622="comprobar",COUNTIF(D1557:D1561,"x"),"")</f>
        <v/>
      </c>
      <c r="I1558" s="4"/>
      <c r="J1558" s="4"/>
      <c r="K1558" s="4"/>
      <c r="L1558" s="4"/>
      <c r="M1558" s="4"/>
      <c r="N1558" s="4"/>
      <c r="O1558" s="4"/>
      <c r="P1558" s="4"/>
      <c r="Q1558" s="4"/>
      <c r="R1558" s="4"/>
      <c r="S1558" s="4"/>
      <c r="T1558" s="4"/>
      <c r="U1558" s="4"/>
      <c r="V1558" s="4"/>
      <c r="W1558" s="4"/>
      <c r="X1558" s="4"/>
      <c r="Y1558" s="4"/>
      <c r="Z1558" s="4"/>
      <c r="AA1558" s="4"/>
      <c r="AB1558" s="4"/>
      <c r="AC1558" s="4"/>
      <c r="AD1558" s="4"/>
      <c r="AE1558" s="4"/>
      <c r="AF1558" s="4"/>
      <c r="AG1558" s="4"/>
    </row>
    <row r="1559" spans="2:33" x14ac:dyDescent="0.2">
      <c r="B1559" s="52"/>
      <c r="C1559" s="57" t="s">
        <v>995</v>
      </c>
      <c r="D1559" s="44"/>
      <c r="E1559" s="86" t="s">
        <v>1036</v>
      </c>
      <c r="F1559" s="23" t="str">
        <f>IF(H1559=-0.33,IF(H1557=H$1,H1557,""),"")</f>
        <v/>
      </c>
      <c r="G1559" s="26"/>
      <c r="H1559" s="24">
        <f t="shared" ref="H1559" si="524">IF(H1558=1,IF(H1557=H$2,1,-0.33),0)</f>
        <v>0</v>
      </c>
      <c r="I1559" s="4"/>
      <c r="J1559" s="4"/>
      <c r="K1559" s="4"/>
      <c r="L1559" s="4"/>
      <c r="M1559" s="4"/>
      <c r="N1559" s="4"/>
      <c r="O1559" s="4"/>
      <c r="P1559" s="4"/>
      <c r="Q1559" s="4"/>
      <c r="R1559" s="4"/>
      <c r="S1559" s="4"/>
      <c r="T1559" s="4"/>
      <c r="U1559" s="4"/>
      <c r="V1559" s="4"/>
      <c r="W1559" s="4"/>
      <c r="X1559" s="4"/>
      <c r="Y1559" s="4"/>
      <c r="Z1559" s="4"/>
      <c r="AA1559" s="4"/>
      <c r="AB1559" s="4"/>
      <c r="AC1559" s="4"/>
      <c r="AD1559" s="4"/>
      <c r="AE1559" s="4"/>
      <c r="AF1559" s="4"/>
      <c r="AG1559" s="4"/>
    </row>
    <row r="1560" spans="2:33" x14ac:dyDescent="0.2">
      <c r="B1560" s="48"/>
      <c r="C1560" s="57" t="s">
        <v>996</v>
      </c>
      <c r="D1560" s="44"/>
      <c r="E1560" s="86" t="s">
        <v>1037</v>
      </c>
      <c r="F1560" s="28"/>
      <c r="G1560" s="26"/>
      <c r="H1560" s="24"/>
      <c r="I1560" s="4"/>
      <c r="J1560" s="4"/>
      <c r="K1560" s="4"/>
      <c r="L1560" s="4"/>
      <c r="M1560" s="4"/>
      <c r="N1560" s="4"/>
      <c r="O1560" s="4"/>
      <c r="P1560" s="4"/>
      <c r="Q1560" s="4"/>
      <c r="R1560" s="4"/>
      <c r="S1560" s="4"/>
      <c r="T1560" s="4"/>
      <c r="U1560" s="4"/>
      <c r="V1560" s="4"/>
      <c r="W1560" s="4"/>
      <c r="X1560" s="4"/>
      <c r="Y1560" s="4"/>
      <c r="Z1560" s="4"/>
      <c r="AA1560" s="4"/>
      <c r="AB1560" s="4"/>
      <c r="AC1560" s="4"/>
      <c r="AD1560" s="4"/>
      <c r="AE1560" s="4"/>
      <c r="AF1560" s="4"/>
      <c r="AG1560" s="4"/>
    </row>
    <row r="1561" spans="2:33" x14ac:dyDescent="0.2">
      <c r="B1561" s="48"/>
      <c r="C1561" s="8"/>
      <c r="D1561" s="44"/>
      <c r="E1561" s="86" t="s">
        <v>1038</v>
      </c>
      <c r="F1561" s="28"/>
      <c r="G1561" s="26"/>
      <c r="H1561" s="24"/>
      <c r="I1561" s="4"/>
      <c r="J1561" s="4"/>
      <c r="K1561" s="4"/>
      <c r="L1561" s="4"/>
      <c r="M1561" s="4"/>
      <c r="N1561" s="4"/>
      <c r="O1561" s="4"/>
      <c r="P1561" s="4"/>
      <c r="Q1561" s="4"/>
      <c r="R1561" s="4"/>
      <c r="S1561" s="4"/>
      <c r="T1561" s="4"/>
      <c r="U1561" s="4"/>
      <c r="V1561" s="4"/>
      <c r="W1561" s="4"/>
      <c r="X1561" s="4"/>
      <c r="Y1561" s="4"/>
      <c r="Z1561" s="4"/>
      <c r="AA1561" s="4"/>
      <c r="AB1561" s="4"/>
      <c r="AC1561" s="4"/>
      <c r="AD1561" s="4"/>
      <c r="AE1561" s="4"/>
      <c r="AF1561" s="4"/>
      <c r="AG1561" s="4"/>
    </row>
    <row r="1562" spans="2:33" x14ac:dyDescent="0.2">
      <c r="B1562" s="49" t="s">
        <v>997</v>
      </c>
      <c r="C1562" s="13"/>
      <c r="D1562" s="45"/>
      <c r="E1562" s="85"/>
      <c r="F1562" s="30"/>
      <c r="G1562" s="29"/>
      <c r="H1562" s="15"/>
      <c r="I1562" s="4"/>
      <c r="J1562" s="4"/>
      <c r="K1562" s="4"/>
      <c r="L1562" s="4"/>
      <c r="M1562" s="4"/>
      <c r="N1562" s="4"/>
      <c r="O1562" s="4"/>
      <c r="P1562" s="4"/>
      <c r="Q1562" s="4"/>
      <c r="R1562" s="4"/>
      <c r="S1562" s="4"/>
      <c r="T1562" s="4"/>
      <c r="U1562" s="4"/>
      <c r="V1562" s="4"/>
      <c r="W1562" s="4"/>
      <c r="X1562" s="4"/>
      <c r="Y1562" s="4"/>
      <c r="Z1562" s="4"/>
      <c r="AA1562" s="4"/>
      <c r="AB1562" s="4"/>
      <c r="AC1562" s="4"/>
      <c r="AD1562" s="4"/>
      <c r="AE1562" s="4"/>
      <c r="AF1562" s="4"/>
      <c r="AG1562" s="4"/>
    </row>
    <row r="1563" spans="2:33" x14ac:dyDescent="0.2">
      <c r="B1563" s="48"/>
      <c r="C1563" s="56" t="s">
        <v>998</v>
      </c>
      <c r="D1563" s="44"/>
      <c r="E1563" s="86" t="s">
        <v>1034</v>
      </c>
      <c r="F1563" s="27"/>
      <c r="G1563" s="26"/>
      <c r="H1563" s="21" t="b">
        <f>IF(D1563="x",H$2,H$1)</f>
        <v>0</v>
      </c>
      <c r="I1563" s="4"/>
      <c r="J1563" s="4"/>
      <c r="K1563" s="4"/>
      <c r="L1563" s="4"/>
      <c r="M1563" s="4"/>
      <c r="N1563" s="4"/>
      <c r="O1563" s="4"/>
      <c r="P1563" s="4"/>
      <c r="Q1563" s="4"/>
      <c r="R1563" s="4"/>
      <c r="S1563" s="4"/>
      <c r="T1563" s="4"/>
      <c r="U1563" s="4"/>
      <c r="V1563" s="4"/>
      <c r="W1563" s="4"/>
      <c r="X1563" s="4"/>
      <c r="Y1563" s="4"/>
      <c r="Z1563" s="4"/>
      <c r="AA1563" s="4"/>
      <c r="AB1563" s="4"/>
      <c r="AC1563" s="4"/>
      <c r="AD1563" s="4"/>
      <c r="AE1563" s="4"/>
      <c r="AF1563" s="4"/>
      <c r="AG1563" s="4"/>
    </row>
    <row r="1564" spans="2:33" x14ac:dyDescent="0.2">
      <c r="B1564" s="48"/>
      <c r="C1564" s="57" t="s">
        <v>999</v>
      </c>
      <c r="D1564" s="44"/>
      <c r="E1564" s="86" t="s">
        <v>1035</v>
      </c>
      <c r="F1564" s="22" t="str">
        <f>IF(H1565=1,IF(H1563=H$2,H1563,""),"")</f>
        <v/>
      </c>
      <c r="G1564" s="26"/>
      <c r="H1564" s="21" t="str">
        <f t="shared" ref="H1564" si="525">IF(E$1622="comprobar",COUNTIF(D1563:D1567,"x"),"")</f>
        <v/>
      </c>
      <c r="I1564" s="4"/>
      <c r="J1564" s="4"/>
      <c r="K1564" s="4"/>
      <c r="L1564" s="4"/>
      <c r="M1564" s="4"/>
      <c r="N1564" s="4"/>
      <c r="O1564" s="4"/>
      <c r="P1564" s="4"/>
      <c r="Q1564" s="4"/>
      <c r="R1564" s="4"/>
      <c r="S1564" s="4"/>
      <c r="T1564" s="4"/>
      <c r="U1564" s="4"/>
      <c r="V1564" s="4"/>
      <c r="W1564" s="4"/>
      <c r="X1564" s="4"/>
      <c r="Y1564" s="4"/>
      <c r="Z1564" s="4"/>
      <c r="AA1564" s="4"/>
      <c r="AB1564" s="4"/>
      <c r="AC1564" s="4"/>
      <c r="AD1564" s="4"/>
      <c r="AE1564" s="4"/>
      <c r="AF1564" s="4"/>
      <c r="AG1564" s="4"/>
    </row>
    <row r="1565" spans="2:33" x14ac:dyDescent="0.2">
      <c r="B1565" s="52"/>
      <c r="C1565" s="57" t="s">
        <v>1000</v>
      </c>
      <c r="D1565" s="44"/>
      <c r="E1565" s="86" t="s">
        <v>1036</v>
      </c>
      <c r="F1565" s="23" t="str">
        <f>IF(H1565=-0.33,IF(H1563=H$1,H1563,""),"")</f>
        <v/>
      </c>
      <c r="G1565" s="26"/>
      <c r="H1565" s="24">
        <f t="shared" ref="H1565" si="526">IF(H1564=1,IF(H1563=H$2,1,-0.33),0)</f>
        <v>0</v>
      </c>
      <c r="I1565" s="4"/>
      <c r="J1565" s="4"/>
      <c r="K1565" s="4"/>
      <c r="L1565" s="4"/>
      <c r="M1565" s="4"/>
      <c r="N1565" s="4"/>
      <c r="O1565" s="4"/>
      <c r="P1565" s="4"/>
      <c r="Q1565" s="4"/>
      <c r="R1565" s="4"/>
      <c r="S1565" s="4"/>
      <c r="T1565" s="4"/>
      <c r="U1565" s="4"/>
      <c r="V1565" s="4"/>
      <c r="W1565" s="4"/>
      <c r="X1565" s="4"/>
      <c r="Y1565" s="4"/>
      <c r="Z1565" s="4"/>
      <c r="AA1565" s="4"/>
      <c r="AB1565" s="4"/>
      <c r="AC1565" s="4"/>
      <c r="AD1565" s="4"/>
      <c r="AE1565" s="4"/>
      <c r="AF1565" s="4"/>
      <c r="AG1565" s="4"/>
    </row>
    <row r="1566" spans="2:33" x14ac:dyDescent="0.2">
      <c r="B1566" s="48"/>
      <c r="C1566" s="57"/>
      <c r="D1566" s="44"/>
      <c r="E1566" s="86" t="s">
        <v>1037</v>
      </c>
      <c r="F1566" s="20"/>
      <c r="G1566" s="55"/>
      <c r="H1566" s="24"/>
      <c r="I1566" s="4"/>
      <c r="J1566" s="4"/>
      <c r="K1566" s="4"/>
      <c r="L1566" s="4"/>
      <c r="M1566" s="4"/>
      <c r="N1566" s="4"/>
      <c r="O1566" s="4"/>
      <c r="P1566" s="4"/>
      <c r="Q1566" s="4"/>
      <c r="R1566" s="4"/>
      <c r="S1566" s="4"/>
      <c r="T1566" s="4"/>
      <c r="U1566" s="4"/>
      <c r="V1566" s="4"/>
      <c r="W1566" s="4"/>
      <c r="X1566" s="4"/>
      <c r="Y1566" s="4"/>
      <c r="Z1566" s="4"/>
      <c r="AA1566" s="4"/>
      <c r="AB1566" s="4"/>
      <c r="AC1566" s="4"/>
      <c r="AD1566" s="4"/>
      <c r="AE1566" s="4"/>
      <c r="AF1566" s="4"/>
      <c r="AG1566" s="4"/>
    </row>
    <row r="1567" spans="2:33" x14ac:dyDescent="0.2">
      <c r="B1567" s="48"/>
      <c r="C1567" s="8"/>
      <c r="D1567" s="44"/>
      <c r="E1567" s="86" t="s">
        <v>1038</v>
      </c>
      <c r="F1567" s="28"/>
      <c r="G1567" s="26"/>
      <c r="H1567" s="24"/>
      <c r="I1567" s="4"/>
      <c r="J1567" s="4"/>
      <c r="K1567" s="4"/>
      <c r="L1567" s="4"/>
      <c r="M1567" s="4"/>
      <c r="N1567" s="4"/>
      <c r="O1567" s="4"/>
      <c r="P1567" s="4"/>
      <c r="Q1567" s="4"/>
      <c r="R1567" s="4"/>
      <c r="S1567" s="4"/>
      <c r="T1567" s="4"/>
      <c r="U1567" s="4"/>
      <c r="V1567" s="4"/>
      <c r="W1567" s="4"/>
      <c r="X1567" s="4"/>
      <c r="Y1567" s="4"/>
      <c r="Z1567" s="4"/>
      <c r="AA1567" s="4"/>
      <c r="AB1567" s="4"/>
      <c r="AC1567" s="4"/>
      <c r="AD1567" s="4"/>
      <c r="AE1567" s="4"/>
      <c r="AF1567" s="4"/>
      <c r="AG1567" s="4"/>
    </row>
    <row r="1568" spans="2:33" x14ac:dyDescent="0.2">
      <c r="B1568" s="49" t="s">
        <v>1001</v>
      </c>
      <c r="C1568" s="13"/>
      <c r="D1568" s="45"/>
      <c r="E1568" s="85"/>
      <c r="F1568" s="30"/>
      <c r="G1568" s="29"/>
      <c r="H1568" s="15"/>
      <c r="I1568" s="4"/>
      <c r="J1568" s="4"/>
      <c r="K1568" s="4"/>
      <c r="L1568" s="4"/>
      <c r="M1568" s="4"/>
      <c r="N1568" s="4"/>
      <c r="O1568" s="4"/>
      <c r="P1568" s="4"/>
      <c r="Q1568" s="4"/>
      <c r="R1568" s="4"/>
      <c r="S1568" s="4"/>
      <c r="T1568" s="4"/>
      <c r="U1568" s="4"/>
      <c r="V1568" s="4"/>
      <c r="W1568" s="4"/>
      <c r="X1568" s="4"/>
      <c r="Y1568" s="4"/>
      <c r="Z1568" s="4"/>
      <c r="AA1568" s="4"/>
      <c r="AB1568" s="4"/>
      <c r="AC1568" s="4"/>
      <c r="AD1568" s="4"/>
      <c r="AE1568" s="4"/>
      <c r="AF1568" s="4"/>
      <c r="AG1568" s="4"/>
    </row>
    <row r="1569" spans="2:33" x14ac:dyDescent="0.2">
      <c r="B1569" s="48"/>
      <c r="C1569" s="56" t="s">
        <v>1002</v>
      </c>
      <c r="D1569" s="44"/>
      <c r="E1569" s="86" t="s">
        <v>1034</v>
      </c>
      <c r="F1569" s="27"/>
      <c r="G1569" s="26"/>
      <c r="H1569" s="21" t="b">
        <f>IF(D1569="x",H$2,H$1)</f>
        <v>0</v>
      </c>
      <c r="I1569" s="4"/>
      <c r="J1569" s="4"/>
      <c r="K1569" s="4"/>
      <c r="L1569" s="4"/>
      <c r="M1569" s="4"/>
      <c r="N1569" s="4"/>
      <c r="O1569" s="4"/>
      <c r="P1569" s="4"/>
      <c r="Q1569" s="4"/>
      <c r="R1569" s="4"/>
      <c r="S1569" s="4"/>
      <c r="T1569" s="4"/>
      <c r="U1569" s="4"/>
      <c r="V1569" s="4"/>
      <c r="W1569" s="4"/>
      <c r="X1569" s="4"/>
      <c r="Y1569" s="4"/>
      <c r="Z1569" s="4"/>
      <c r="AA1569" s="4"/>
      <c r="AB1569" s="4"/>
      <c r="AC1569" s="4"/>
      <c r="AD1569" s="4"/>
      <c r="AE1569" s="4"/>
      <c r="AF1569" s="4"/>
      <c r="AG1569" s="4"/>
    </row>
    <row r="1570" spans="2:33" x14ac:dyDescent="0.2">
      <c r="B1570" s="48"/>
      <c r="C1570" s="57" t="s">
        <v>1003</v>
      </c>
      <c r="D1570" s="44"/>
      <c r="E1570" s="86" t="s">
        <v>1035</v>
      </c>
      <c r="F1570" s="22" t="str">
        <f>IF(H1571=1,IF(H1569=H$2,H1569,""),"")</f>
        <v/>
      </c>
      <c r="G1570" s="26"/>
      <c r="H1570" s="21" t="str">
        <f t="shared" ref="H1570" si="527">IF(E$1622="comprobar",COUNTIF(D1569:D1573,"x"),"")</f>
        <v/>
      </c>
      <c r="I1570" s="4"/>
      <c r="J1570" s="4"/>
      <c r="K1570" s="4"/>
      <c r="L1570" s="4"/>
      <c r="M1570" s="4"/>
      <c r="N1570" s="4"/>
      <c r="O1570" s="4"/>
      <c r="P1570" s="4"/>
      <c r="Q1570" s="4"/>
      <c r="R1570" s="4"/>
      <c r="S1570" s="4"/>
      <c r="T1570" s="4"/>
      <c r="U1570" s="4"/>
      <c r="V1570" s="4"/>
      <c r="W1570" s="4"/>
      <c r="X1570" s="4"/>
      <c r="Y1570" s="4"/>
      <c r="Z1570" s="4"/>
      <c r="AA1570" s="4"/>
      <c r="AB1570" s="4"/>
      <c r="AC1570" s="4"/>
      <c r="AD1570" s="4"/>
      <c r="AE1570" s="4"/>
      <c r="AF1570" s="4"/>
      <c r="AG1570" s="4"/>
    </row>
    <row r="1571" spans="2:33" x14ac:dyDescent="0.2">
      <c r="B1571" s="48"/>
      <c r="C1571" s="57" t="s">
        <v>1004</v>
      </c>
      <c r="D1571" s="44"/>
      <c r="E1571" s="86" t="s">
        <v>1036</v>
      </c>
      <c r="F1571" s="23" t="str">
        <f>IF(H1571=-0.33,IF(H1569=H$1,H1569,""),"")</f>
        <v/>
      </c>
      <c r="G1571" s="26"/>
      <c r="H1571" s="24">
        <f t="shared" ref="H1571" si="528">IF(H1570=1,IF(H1569=H$2,1,-0.33),0)</f>
        <v>0</v>
      </c>
      <c r="I1571" s="4"/>
      <c r="J1571" s="4"/>
      <c r="K1571" s="4"/>
      <c r="L1571" s="4"/>
      <c r="M1571" s="4"/>
      <c r="N1571" s="4"/>
      <c r="O1571" s="4"/>
      <c r="P1571" s="4"/>
      <c r="Q1571" s="4"/>
      <c r="R1571" s="4"/>
      <c r="S1571" s="4"/>
      <c r="T1571" s="4"/>
      <c r="U1571" s="4"/>
      <c r="V1571" s="4"/>
      <c r="W1571" s="4"/>
      <c r="X1571" s="4"/>
      <c r="Y1571" s="4"/>
      <c r="Z1571" s="4"/>
      <c r="AA1571" s="4"/>
      <c r="AB1571" s="4"/>
      <c r="AC1571" s="4"/>
      <c r="AD1571" s="4"/>
      <c r="AE1571" s="4"/>
      <c r="AF1571" s="4"/>
      <c r="AG1571" s="4"/>
    </row>
    <row r="1572" spans="2:33" x14ac:dyDescent="0.2">
      <c r="B1572" s="48"/>
      <c r="C1572" s="57" t="s">
        <v>1005</v>
      </c>
      <c r="D1572" s="44"/>
      <c r="E1572" s="86" t="s">
        <v>1037</v>
      </c>
      <c r="F1572" s="28"/>
      <c r="G1572" s="26"/>
      <c r="H1572" s="24"/>
      <c r="I1572" s="4"/>
      <c r="J1572" s="4"/>
      <c r="K1572" s="4"/>
      <c r="L1572" s="4"/>
      <c r="M1572" s="4"/>
      <c r="N1572" s="4"/>
      <c r="O1572" s="4"/>
      <c r="P1572" s="4"/>
      <c r="Q1572" s="4"/>
      <c r="R1572" s="4"/>
      <c r="S1572" s="4"/>
      <c r="T1572" s="4"/>
      <c r="U1572" s="4"/>
      <c r="V1572" s="4"/>
      <c r="W1572" s="4"/>
      <c r="X1572" s="4"/>
      <c r="Y1572" s="4"/>
      <c r="Z1572" s="4"/>
      <c r="AA1572" s="4"/>
      <c r="AB1572" s="4"/>
      <c r="AC1572" s="4"/>
      <c r="AD1572" s="4"/>
      <c r="AE1572" s="4"/>
      <c r="AF1572" s="4"/>
      <c r="AG1572" s="4"/>
    </row>
    <row r="1573" spans="2:33" x14ac:dyDescent="0.2">
      <c r="B1573" s="48"/>
      <c r="C1573" s="8"/>
      <c r="D1573" s="44"/>
      <c r="E1573" s="86" t="s">
        <v>1038</v>
      </c>
      <c r="F1573" s="28"/>
      <c r="G1573" s="26"/>
      <c r="H1573" s="24"/>
      <c r="I1573" s="4"/>
      <c r="J1573" s="4"/>
      <c r="K1573" s="4"/>
      <c r="L1573" s="4"/>
      <c r="M1573" s="4"/>
      <c r="N1573" s="4"/>
      <c r="O1573" s="4"/>
      <c r="P1573" s="4"/>
      <c r="Q1573" s="4"/>
      <c r="R1573" s="4"/>
      <c r="S1573" s="4"/>
      <c r="T1573" s="4"/>
      <c r="U1573" s="4"/>
      <c r="V1573" s="4"/>
      <c r="W1573" s="4"/>
      <c r="X1573" s="4"/>
      <c r="Y1573" s="4"/>
      <c r="Z1573" s="4"/>
      <c r="AA1573" s="4"/>
      <c r="AB1573" s="4"/>
      <c r="AC1573" s="4"/>
      <c r="AD1573" s="4"/>
      <c r="AE1573" s="4"/>
      <c r="AF1573" s="4"/>
      <c r="AG1573" s="4"/>
    </row>
    <row r="1574" spans="2:33" x14ac:dyDescent="0.2">
      <c r="B1574" s="49" t="s">
        <v>1006</v>
      </c>
      <c r="C1574" s="13"/>
      <c r="D1574" s="45"/>
      <c r="E1574" s="85"/>
      <c r="F1574" s="16"/>
      <c r="G1574" s="15"/>
      <c r="H1574" s="15"/>
      <c r="I1574" s="4"/>
      <c r="J1574" s="4"/>
      <c r="K1574" s="4"/>
      <c r="L1574" s="4"/>
      <c r="M1574" s="4"/>
      <c r="N1574" s="4"/>
      <c r="O1574" s="4"/>
      <c r="P1574" s="4"/>
      <c r="Q1574" s="4"/>
      <c r="R1574" s="4"/>
      <c r="S1574" s="4"/>
      <c r="T1574" s="4"/>
      <c r="U1574" s="4"/>
      <c r="V1574" s="4"/>
      <c r="W1574" s="4"/>
      <c r="X1574" s="4"/>
      <c r="Y1574" s="4"/>
      <c r="Z1574" s="4"/>
      <c r="AA1574" s="4"/>
      <c r="AB1574" s="4"/>
      <c r="AC1574" s="4"/>
      <c r="AD1574" s="4"/>
      <c r="AE1574" s="4"/>
      <c r="AF1574" s="4"/>
      <c r="AG1574" s="4"/>
    </row>
    <row r="1575" spans="2:33" x14ac:dyDescent="0.2">
      <c r="B1575" s="48"/>
      <c r="C1575" s="56" t="s">
        <v>1007</v>
      </c>
      <c r="D1575" s="44"/>
      <c r="E1575" s="86" t="s">
        <v>1034</v>
      </c>
      <c r="F1575" s="20"/>
      <c r="G1575" s="19"/>
      <c r="H1575" s="21" t="b">
        <f>IF(D1576="x",H$2,H$1)</f>
        <v>0</v>
      </c>
      <c r="I1575" s="4"/>
      <c r="J1575" s="4"/>
      <c r="K1575" s="4"/>
      <c r="L1575" s="4"/>
      <c r="M1575" s="4"/>
      <c r="N1575" s="4"/>
      <c r="O1575" s="4"/>
      <c r="P1575" s="4"/>
      <c r="Q1575" s="4"/>
      <c r="R1575" s="4"/>
      <c r="S1575" s="4"/>
      <c r="T1575" s="4"/>
      <c r="U1575" s="4"/>
      <c r="V1575" s="4"/>
      <c r="W1575" s="4"/>
      <c r="X1575" s="4"/>
      <c r="Y1575" s="4"/>
      <c r="Z1575" s="4"/>
      <c r="AA1575" s="4"/>
      <c r="AB1575" s="4"/>
      <c r="AC1575" s="4"/>
      <c r="AD1575" s="4"/>
      <c r="AE1575" s="4"/>
      <c r="AF1575" s="4"/>
      <c r="AG1575" s="4"/>
    </row>
    <row r="1576" spans="2:33" x14ac:dyDescent="0.2">
      <c r="B1576" s="52"/>
      <c r="C1576" s="57" t="s">
        <v>1008</v>
      </c>
      <c r="D1576" s="44"/>
      <c r="E1576" s="86" t="s">
        <v>1035</v>
      </c>
      <c r="F1576" s="22" t="str">
        <f>IF(H1577=1,IF(H1575=H$2,H1575,""),"")</f>
        <v/>
      </c>
      <c r="G1576" s="19"/>
      <c r="H1576" s="21" t="str">
        <f t="shared" ref="H1576" si="529">IF(E$1622="comprobar",COUNTIF(D1575:D1579,"x"),"")</f>
        <v/>
      </c>
      <c r="I1576" s="4"/>
      <c r="J1576" s="4"/>
      <c r="K1576" s="4"/>
      <c r="L1576" s="4"/>
      <c r="M1576" s="4"/>
      <c r="N1576" s="4"/>
      <c r="O1576" s="4"/>
      <c r="P1576" s="4"/>
      <c r="Q1576" s="4"/>
      <c r="R1576" s="4"/>
      <c r="S1576" s="4"/>
      <c r="T1576" s="4"/>
      <c r="U1576" s="4"/>
      <c r="V1576" s="4"/>
      <c r="W1576" s="4"/>
      <c r="X1576" s="4"/>
      <c r="Y1576" s="4"/>
      <c r="Z1576" s="4"/>
      <c r="AA1576" s="4"/>
      <c r="AB1576" s="4"/>
      <c r="AC1576" s="4"/>
      <c r="AD1576" s="4"/>
      <c r="AE1576" s="4"/>
      <c r="AF1576" s="4"/>
      <c r="AG1576" s="4"/>
    </row>
    <row r="1577" spans="2:33" x14ac:dyDescent="0.2">
      <c r="B1577" s="52"/>
      <c r="C1577" s="57" t="s">
        <v>1009</v>
      </c>
      <c r="D1577" s="44"/>
      <c r="E1577" s="86" t="s">
        <v>1036</v>
      </c>
      <c r="F1577" s="23" t="str">
        <f>IF(H1577=-0.33,IF(H1575=H$1,H1575,""),"")</f>
        <v/>
      </c>
      <c r="G1577" s="19"/>
      <c r="H1577" s="24">
        <f t="shared" ref="H1577" si="530">IF(H1576=1,IF(H1575=H$2,1,-0.33),0)</f>
        <v>0</v>
      </c>
      <c r="I1577" s="4"/>
      <c r="J1577" s="4"/>
      <c r="K1577" s="4"/>
      <c r="L1577" s="4"/>
      <c r="M1577" s="4"/>
      <c r="N1577" s="4"/>
      <c r="O1577" s="4"/>
      <c r="P1577" s="4"/>
      <c r="Q1577" s="4"/>
      <c r="R1577" s="4"/>
      <c r="S1577" s="4"/>
      <c r="T1577" s="4"/>
      <c r="U1577" s="4"/>
      <c r="V1577" s="4"/>
      <c r="W1577" s="4"/>
      <c r="X1577" s="4"/>
      <c r="Y1577" s="4"/>
      <c r="Z1577" s="4"/>
      <c r="AA1577" s="4"/>
      <c r="AB1577" s="4"/>
      <c r="AC1577" s="4"/>
      <c r="AD1577" s="4"/>
      <c r="AE1577" s="4"/>
      <c r="AF1577" s="4"/>
      <c r="AG1577" s="4"/>
    </row>
    <row r="1578" spans="2:33" x14ac:dyDescent="0.2">
      <c r="B1578" s="48"/>
      <c r="C1578" s="57"/>
      <c r="D1578" s="44"/>
      <c r="E1578" s="86" t="s">
        <v>1037</v>
      </c>
      <c r="F1578" s="20"/>
      <c r="G1578" s="19"/>
      <c r="H1578" s="24"/>
      <c r="I1578" s="4"/>
      <c r="J1578" s="4"/>
      <c r="K1578" s="4"/>
      <c r="L1578" s="4"/>
      <c r="M1578" s="4"/>
      <c r="N1578" s="4"/>
      <c r="O1578" s="4"/>
      <c r="P1578" s="4"/>
      <c r="Q1578" s="4"/>
      <c r="R1578" s="4"/>
      <c r="S1578" s="4"/>
      <c r="T1578" s="4"/>
      <c r="U1578" s="4"/>
      <c r="V1578" s="4"/>
      <c r="W1578" s="4"/>
      <c r="X1578" s="4"/>
      <c r="Y1578" s="4"/>
      <c r="Z1578" s="4"/>
      <c r="AA1578" s="4"/>
      <c r="AB1578" s="4"/>
      <c r="AC1578" s="4"/>
      <c r="AD1578" s="4"/>
      <c r="AE1578" s="4"/>
      <c r="AF1578" s="4"/>
      <c r="AG1578" s="4"/>
    </row>
    <row r="1579" spans="2:33" x14ac:dyDescent="0.2">
      <c r="B1579" s="48"/>
      <c r="C1579" s="8"/>
      <c r="D1579" s="44"/>
      <c r="E1579" s="86" t="s">
        <v>1038</v>
      </c>
      <c r="F1579" s="20"/>
      <c r="G1579" s="19"/>
      <c r="H1579" s="24"/>
      <c r="I1579" s="4"/>
      <c r="J1579" s="4"/>
      <c r="K1579" s="4"/>
      <c r="L1579" s="4"/>
      <c r="M1579" s="4"/>
      <c r="N1579" s="4"/>
      <c r="O1579" s="4"/>
      <c r="P1579" s="4"/>
      <c r="Q1579" s="4"/>
      <c r="R1579" s="4"/>
      <c r="S1579" s="4"/>
      <c r="T1579" s="4"/>
      <c r="U1579" s="4"/>
      <c r="V1579" s="4"/>
      <c r="W1579" s="4"/>
      <c r="X1579" s="4"/>
      <c r="Y1579" s="4"/>
      <c r="Z1579" s="4"/>
      <c r="AA1579" s="4"/>
      <c r="AB1579" s="4"/>
      <c r="AC1579" s="4"/>
      <c r="AD1579" s="4"/>
      <c r="AE1579" s="4"/>
      <c r="AF1579" s="4"/>
      <c r="AG1579" s="4"/>
    </row>
    <row r="1580" spans="2:33" x14ac:dyDescent="0.2">
      <c r="B1580" s="49" t="s">
        <v>1010</v>
      </c>
      <c r="C1580" s="13"/>
      <c r="D1580" s="45"/>
      <c r="E1580" s="85"/>
      <c r="F1580" s="30"/>
      <c r="G1580" s="29"/>
      <c r="H1580" s="15"/>
      <c r="I1580" s="4"/>
      <c r="J1580" s="4"/>
      <c r="K1580" s="4"/>
      <c r="L1580" s="4"/>
      <c r="M1580" s="4"/>
      <c r="N1580" s="4"/>
      <c r="O1580" s="4"/>
      <c r="P1580" s="4"/>
      <c r="Q1580" s="4"/>
      <c r="R1580" s="4"/>
      <c r="S1580" s="4"/>
      <c r="T1580" s="4"/>
      <c r="U1580" s="4"/>
      <c r="V1580" s="4"/>
      <c r="W1580" s="4"/>
      <c r="X1580" s="4"/>
      <c r="Y1580" s="4"/>
      <c r="Z1580" s="4"/>
      <c r="AA1580" s="4"/>
      <c r="AB1580" s="4"/>
      <c r="AC1580" s="4"/>
      <c r="AD1580" s="4"/>
      <c r="AE1580" s="4"/>
      <c r="AF1580" s="4"/>
      <c r="AG1580" s="4"/>
    </row>
    <row r="1581" spans="2:33" x14ac:dyDescent="0.2">
      <c r="B1581" s="48"/>
      <c r="C1581" s="56" t="s">
        <v>1011</v>
      </c>
      <c r="D1581" s="44"/>
      <c r="E1581" s="86" t="s">
        <v>1034</v>
      </c>
      <c r="F1581" s="27"/>
      <c r="G1581" s="26"/>
      <c r="H1581" s="21" t="b">
        <f>IF(D1582="x",H$2,H$1)</f>
        <v>0</v>
      </c>
      <c r="I1581" s="4"/>
      <c r="J1581" s="4"/>
      <c r="K1581" s="4"/>
      <c r="L1581" s="4"/>
      <c r="M1581" s="4"/>
      <c r="N1581" s="4"/>
      <c r="O1581" s="4"/>
      <c r="P1581" s="4"/>
      <c r="Q1581" s="4"/>
      <c r="R1581" s="4"/>
      <c r="S1581" s="4"/>
      <c r="T1581" s="4"/>
      <c r="U1581" s="4"/>
      <c r="V1581" s="4"/>
      <c r="W1581" s="4"/>
      <c r="X1581" s="4"/>
      <c r="Y1581" s="4"/>
      <c r="Z1581" s="4"/>
      <c r="AA1581" s="4"/>
      <c r="AB1581" s="4"/>
      <c r="AC1581" s="4"/>
      <c r="AD1581" s="4"/>
      <c r="AE1581" s="4"/>
      <c r="AF1581" s="4"/>
      <c r="AG1581" s="4"/>
    </row>
    <row r="1582" spans="2:33" x14ac:dyDescent="0.2">
      <c r="B1582" s="48"/>
      <c r="C1582" s="57" t="s">
        <v>1012</v>
      </c>
      <c r="D1582" s="44"/>
      <c r="E1582" s="86" t="s">
        <v>1035</v>
      </c>
      <c r="F1582" s="22" t="str">
        <f>IF(H1583=1,IF(H1581=H$2,H1581,""),"")</f>
        <v/>
      </c>
      <c r="G1582" s="26"/>
      <c r="H1582" s="21" t="str">
        <f t="shared" ref="H1582" si="531">IF(E$1622="comprobar",COUNTIF(D1581:D1585,"x"),"")</f>
        <v/>
      </c>
      <c r="I1582" s="4"/>
      <c r="J1582" s="4"/>
      <c r="K1582" s="4"/>
      <c r="L1582" s="4"/>
      <c r="M1582" s="4"/>
      <c r="N1582" s="4"/>
      <c r="O1582" s="4"/>
      <c r="P1582" s="4"/>
      <c r="Q1582" s="4"/>
      <c r="R1582" s="4"/>
      <c r="S1582" s="4"/>
      <c r="T1582" s="4"/>
      <c r="U1582" s="4"/>
      <c r="V1582" s="4"/>
      <c r="W1582" s="4"/>
      <c r="X1582" s="4"/>
      <c r="Y1582" s="4"/>
      <c r="Z1582" s="4"/>
      <c r="AA1582" s="4"/>
      <c r="AB1582" s="4"/>
      <c r="AC1582" s="4"/>
      <c r="AD1582" s="4"/>
      <c r="AE1582" s="4"/>
      <c r="AF1582" s="4"/>
      <c r="AG1582" s="4"/>
    </row>
    <row r="1583" spans="2:33" x14ac:dyDescent="0.2">
      <c r="B1583" s="48"/>
      <c r="C1583" s="57" t="s">
        <v>1013</v>
      </c>
      <c r="D1583" s="44"/>
      <c r="E1583" s="86" t="s">
        <v>1036</v>
      </c>
      <c r="F1583" s="23" t="str">
        <f>IF(H1583=-0.33,IF(H1581=H$1,H1581,""),"")</f>
        <v/>
      </c>
      <c r="G1583" s="26"/>
      <c r="H1583" s="24">
        <f t="shared" ref="H1583" si="532">IF(H1582=1,IF(H1581=H$2,1,-0.33),0)</f>
        <v>0</v>
      </c>
      <c r="I1583" s="4"/>
      <c r="J1583" s="4"/>
      <c r="K1583" s="4"/>
      <c r="L1583" s="4"/>
      <c r="M1583" s="4"/>
      <c r="N1583" s="4"/>
      <c r="O1583" s="4"/>
      <c r="P1583" s="4"/>
      <c r="Q1583" s="4"/>
      <c r="R1583" s="4"/>
      <c r="S1583" s="4"/>
      <c r="T1583" s="4"/>
      <c r="U1583" s="4"/>
      <c r="V1583" s="4"/>
      <c r="W1583" s="4"/>
      <c r="X1583" s="4"/>
      <c r="Y1583" s="4"/>
      <c r="Z1583" s="4"/>
      <c r="AA1583" s="4"/>
      <c r="AB1583" s="4"/>
      <c r="AC1583" s="4"/>
      <c r="AD1583" s="4"/>
      <c r="AE1583" s="4"/>
      <c r="AF1583" s="4"/>
      <c r="AG1583" s="4"/>
    </row>
    <row r="1584" spans="2:33" x14ac:dyDescent="0.2">
      <c r="B1584" s="48"/>
      <c r="C1584" s="57" t="s">
        <v>622</v>
      </c>
      <c r="D1584" s="44"/>
      <c r="E1584" s="86" t="s">
        <v>1037</v>
      </c>
      <c r="F1584" s="28"/>
      <c r="G1584" s="26"/>
      <c r="H1584" s="24"/>
      <c r="I1584" s="4"/>
      <c r="J1584" s="4"/>
      <c r="K1584" s="4"/>
      <c r="L1584" s="4"/>
      <c r="M1584" s="4"/>
      <c r="N1584" s="4"/>
      <c r="O1584" s="4"/>
      <c r="P1584" s="4"/>
      <c r="Q1584" s="4"/>
      <c r="R1584" s="4"/>
      <c r="S1584" s="4"/>
      <c r="T1584" s="4"/>
      <c r="U1584" s="4"/>
      <c r="V1584" s="4"/>
      <c r="W1584" s="4"/>
      <c r="X1584" s="4"/>
      <c r="Y1584" s="4"/>
      <c r="Z1584" s="4"/>
      <c r="AA1584" s="4"/>
      <c r="AB1584" s="4"/>
      <c r="AC1584" s="4"/>
      <c r="AD1584" s="4"/>
      <c r="AE1584" s="4"/>
      <c r="AF1584" s="4"/>
      <c r="AG1584" s="4"/>
    </row>
    <row r="1585" spans="2:33" x14ac:dyDescent="0.2">
      <c r="B1585" s="48"/>
      <c r="C1585" s="8"/>
      <c r="D1585" s="44"/>
      <c r="E1585" s="86" t="s">
        <v>1038</v>
      </c>
      <c r="F1585" s="28"/>
      <c r="G1585" s="26"/>
      <c r="H1585" s="24"/>
      <c r="I1585" s="4"/>
      <c r="J1585" s="4"/>
      <c r="K1585" s="4"/>
      <c r="L1585" s="4"/>
      <c r="M1585" s="4"/>
      <c r="N1585" s="4"/>
      <c r="O1585" s="4"/>
      <c r="P1585" s="4"/>
      <c r="Q1585" s="4"/>
      <c r="R1585" s="4"/>
      <c r="S1585" s="4"/>
      <c r="T1585" s="4"/>
      <c r="U1585" s="4"/>
      <c r="V1585" s="4"/>
      <c r="W1585" s="4"/>
      <c r="X1585" s="4"/>
      <c r="Y1585" s="4"/>
      <c r="Z1585" s="4"/>
      <c r="AA1585" s="4"/>
      <c r="AB1585" s="4"/>
      <c r="AC1585" s="4"/>
      <c r="AD1585" s="4"/>
      <c r="AE1585" s="4"/>
      <c r="AF1585" s="4"/>
      <c r="AG1585" s="4"/>
    </row>
    <row r="1586" spans="2:33" x14ac:dyDescent="0.2">
      <c r="B1586" s="49" t="s">
        <v>1014</v>
      </c>
      <c r="C1586" s="13"/>
      <c r="D1586" s="45"/>
      <c r="E1586" s="85"/>
      <c r="F1586" s="30"/>
      <c r="G1586" s="29"/>
      <c r="H1586" s="15"/>
      <c r="I1586" s="4"/>
      <c r="J1586" s="4"/>
      <c r="K1586" s="4"/>
      <c r="L1586" s="4"/>
      <c r="M1586" s="4"/>
      <c r="N1586" s="4"/>
      <c r="O1586" s="4"/>
      <c r="P1586" s="4"/>
      <c r="Q1586" s="4"/>
      <c r="R1586" s="4"/>
      <c r="S1586" s="4"/>
      <c r="T1586" s="4"/>
      <c r="U1586" s="4"/>
      <c r="V1586" s="4"/>
      <c r="W1586" s="4"/>
      <c r="X1586" s="4"/>
      <c r="Y1586" s="4"/>
      <c r="Z1586" s="4"/>
      <c r="AA1586" s="4"/>
      <c r="AB1586" s="4"/>
      <c r="AC1586" s="4"/>
      <c r="AD1586" s="4"/>
      <c r="AE1586" s="4"/>
      <c r="AF1586" s="4"/>
      <c r="AG1586" s="4"/>
    </row>
    <row r="1587" spans="2:33" x14ac:dyDescent="0.2">
      <c r="B1587" s="48"/>
      <c r="C1587" s="56" t="s">
        <v>1015</v>
      </c>
      <c r="D1587" s="44"/>
      <c r="E1587" s="86" t="s">
        <v>1034</v>
      </c>
      <c r="F1587" s="28"/>
      <c r="G1587" s="55"/>
      <c r="H1587" s="21" t="b">
        <f>IF(D1590="x",H$2,H$1)</f>
        <v>0</v>
      </c>
      <c r="I1587" s="4"/>
      <c r="J1587" s="4"/>
      <c r="K1587" s="4"/>
      <c r="L1587" s="4"/>
      <c r="M1587" s="4"/>
      <c r="N1587" s="4"/>
      <c r="O1587" s="4"/>
      <c r="P1587" s="4"/>
      <c r="Q1587" s="4"/>
      <c r="R1587" s="4"/>
      <c r="S1587" s="4"/>
      <c r="T1587" s="4"/>
      <c r="U1587" s="4"/>
      <c r="V1587" s="4"/>
      <c r="W1587" s="4"/>
      <c r="X1587" s="4"/>
      <c r="Y1587" s="4"/>
      <c r="Z1587" s="4"/>
      <c r="AA1587" s="4"/>
      <c r="AB1587" s="4"/>
      <c r="AC1587" s="4"/>
      <c r="AD1587" s="4"/>
      <c r="AE1587" s="4"/>
      <c r="AF1587" s="4"/>
      <c r="AG1587" s="4"/>
    </row>
    <row r="1588" spans="2:33" x14ac:dyDescent="0.2">
      <c r="B1588" s="52"/>
      <c r="C1588" s="57" t="s">
        <v>1016</v>
      </c>
      <c r="D1588" s="44"/>
      <c r="E1588" s="86" t="s">
        <v>1035</v>
      </c>
      <c r="F1588" s="22" t="str">
        <f>IF(H1589=1,IF(H1587=H$2,H1587,""),"")</f>
        <v/>
      </c>
      <c r="G1588" s="26"/>
      <c r="H1588" s="21" t="str">
        <f t="shared" ref="H1588" si="533">IF(E$1622="comprobar",COUNTIF(D1587:D1591,"x"),"")</f>
        <v/>
      </c>
      <c r="I1588" s="4"/>
      <c r="J1588" s="4"/>
      <c r="K1588" s="4"/>
      <c r="L1588" s="4"/>
      <c r="M1588" s="4"/>
      <c r="N1588" s="4"/>
      <c r="O1588" s="4"/>
      <c r="P1588" s="4"/>
      <c r="Q1588" s="4"/>
      <c r="R1588" s="4"/>
      <c r="S1588" s="4"/>
      <c r="T1588" s="4"/>
      <c r="U1588" s="4"/>
      <c r="V1588" s="4"/>
      <c r="W1588" s="4"/>
      <c r="X1588" s="4"/>
      <c r="Y1588" s="4"/>
      <c r="Z1588" s="4"/>
      <c r="AA1588" s="4"/>
      <c r="AB1588" s="4"/>
      <c r="AC1588" s="4"/>
      <c r="AD1588" s="4"/>
      <c r="AE1588" s="4"/>
      <c r="AF1588" s="4"/>
      <c r="AG1588" s="4"/>
    </row>
    <row r="1589" spans="2:33" x14ac:dyDescent="0.2">
      <c r="B1589" s="48"/>
      <c r="C1589" s="57" t="s">
        <v>1017</v>
      </c>
      <c r="D1589" s="44"/>
      <c r="E1589" s="86" t="s">
        <v>1036</v>
      </c>
      <c r="F1589" s="23" t="str">
        <f>IF(H1589=-0.33,IF(H1587=H$1,H1587,""),"")</f>
        <v/>
      </c>
      <c r="G1589" s="26"/>
      <c r="H1589" s="24">
        <f t="shared" ref="H1589" si="534">IF(H1588=1,IF(H1587=H$2,1,-0.33),0)</f>
        <v>0</v>
      </c>
      <c r="I1589" s="4"/>
      <c r="J1589" s="4"/>
      <c r="K1589" s="4"/>
      <c r="L1589" s="4"/>
      <c r="M1589" s="4"/>
      <c r="N1589" s="4"/>
      <c r="O1589" s="4"/>
      <c r="P1589" s="4"/>
      <c r="Q1589" s="4"/>
      <c r="R1589" s="4"/>
      <c r="S1589" s="4"/>
      <c r="T1589" s="4"/>
      <c r="U1589" s="4"/>
      <c r="V1589" s="4"/>
      <c r="W1589" s="4"/>
      <c r="X1589" s="4"/>
      <c r="Y1589" s="4"/>
      <c r="Z1589" s="4"/>
      <c r="AA1589" s="4"/>
      <c r="AB1589" s="4"/>
      <c r="AC1589" s="4"/>
      <c r="AD1589" s="4"/>
      <c r="AE1589" s="4"/>
      <c r="AF1589" s="4"/>
      <c r="AG1589" s="4"/>
    </row>
    <row r="1590" spans="2:33" x14ac:dyDescent="0.2">
      <c r="B1590" s="48"/>
      <c r="C1590" s="57" t="s">
        <v>165</v>
      </c>
      <c r="D1590" s="44"/>
      <c r="E1590" s="86" t="s">
        <v>1037</v>
      </c>
      <c r="F1590" s="28"/>
      <c r="G1590" s="26"/>
      <c r="H1590" s="24"/>
      <c r="I1590" s="4"/>
      <c r="J1590" s="4"/>
      <c r="K1590" s="4"/>
      <c r="L1590" s="4"/>
      <c r="M1590" s="4"/>
      <c r="N1590" s="4"/>
      <c r="O1590" s="4"/>
      <c r="P1590" s="4"/>
      <c r="Q1590" s="4"/>
      <c r="R1590" s="4"/>
      <c r="S1590" s="4"/>
      <c r="T1590" s="4"/>
      <c r="U1590" s="4"/>
      <c r="V1590" s="4"/>
      <c r="W1590" s="4"/>
      <c r="X1590" s="4"/>
      <c r="Y1590" s="4"/>
      <c r="Z1590" s="4"/>
      <c r="AA1590" s="4"/>
      <c r="AB1590" s="4"/>
      <c r="AC1590" s="4"/>
      <c r="AD1590" s="4"/>
      <c r="AE1590" s="4"/>
      <c r="AF1590" s="4"/>
      <c r="AG1590" s="4"/>
    </row>
    <row r="1591" spans="2:33" x14ac:dyDescent="0.2">
      <c r="B1591" s="48"/>
      <c r="C1591" s="8"/>
      <c r="D1591" s="44"/>
      <c r="E1591" s="86" t="s">
        <v>1038</v>
      </c>
      <c r="F1591" s="28"/>
      <c r="G1591" s="26"/>
      <c r="H1591" s="24"/>
      <c r="I1591" s="4"/>
      <c r="J1591" s="4"/>
      <c r="K1591" s="4"/>
      <c r="L1591" s="4"/>
      <c r="M1591" s="4"/>
      <c r="N1591" s="4"/>
      <c r="O1591" s="4"/>
      <c r="P1591" s="4"/>
      <c r="Q1591" s="4"/>
      <c r="R1591" s="4"/>
      <c r="S1591" s="4"/>
      <c r="T1591" s="4"/>
      <c r="U1591" s="4"/>
      <c r="V1591" s="4"/>
      <c r="W1591" s="4"/>
      <c r="X1591" s="4"/>
      <c r="Y1591" s="4"/>
      <c r="Z1591" s="4"/>
      <c r="AA1591" s="4"/>
      <c r="AB1591" s="4"/>
      <c r="AC1591" s="4"/>
      <c r="AD1591" s="4"/>
      <c r="AE1591" s="4"/>
      <c r="AF1591" s="4"/>
      <c r="AG1591" s="4"/>
    </row>
    <row r="1592" spans="2:33" x14ac:dyDescent="0.2">
      <c r="B1592" s="49" t="s">
        <v>1018</v>
      </c>
      <c r="C1592" s="13"/>
      <c r="D1592" s="45"/>
      <c r="E1592" s="85"/>
      <c r="F1592" s="30"/>
      <c r="G1592" s="29"/>
      <c r="H1592" s="15"/>
      <c r="I1592" s="4"/>
      <c r="J1592" s="4"/>
      <c r="K1592" s="4"/>
      <c r="L1592" s="4"/>
      <c r="M1592" s="4"/>
      <c r="N1592" s="4"/>
      <c r="O1592" s="4"/>
      <c r="P1592" s="4"/>
      <c r="Q1592" s="4"/>
      <c r="R1592" s="4"/>
      <c r="S1592" s="4"/>
      <c r="T1592" s="4"/>
      <c r="U1592" s="4"/>
      <c r="V1592" s="4"/>
      <c r="W1592" s="4"/>
      <c r="X1592" s="4"/>
      <c r="Y1592" s="4"/>
      <c r="Z1592" s="4"/>
      <c r="AA1592" s="4"/>
      <c r="AB1592" s="4"/>
      <c r="AC1592" s="4"/>
      <c r="AD1592" s="4"/>
      <c r="AE1592" s="4"/>
      <c r="AF1592" s="4"/>
      <c r="AG1592" s="4"/>
    </row>
    <row r="1593" spans="2:33" x14ac:dyDescent="0.2">
      <c r="B1593" s="52"/>
      <c r="C1593" s="56" t="s">
        <v>1019</v>
      </c>
      <c r="D1593" s="44"/>
      <c r="E1593" s="86" t="s">
        <v>1034</v>
      </c>
      <c r="F1593" s="27"/>
      <c r="G1593" s="26"/>
      <c r="H1593" s="21" t="b">
        <f>IF(D1594="x",H$2,H$1)</f>
        <v>0</v>
      </c>
      <c r="I1593" s="4"/>
      <c r="J1593" s="4"/>
      <c r="K1593" s="4"/>
      <c r="L1593" s="4"/>
      <c r="M1593" s="4"/>
      <c r="N1593" s="4"/>
      <c r="O1593" s="4"/>
      <c r="P1593" s="4"/>
      <c r="Q1593" s="4"/>
      <c r="R1593" s="4"/>
      <c r="S1593" s="4"/>
      <c r="T1593" s="4"/>
      <c r="U1593" s="4"/>
      <c r="V1593" s="4"/>
      <c r="W1593" s="4"/>
      <c r="X1593" s="4"/>
      <c r="Y1593" s="4"/>
      <c r="Z1593" s="4"/>
      <c r="AA1593" s="4"/>
      <c r="AB1593" s="4"/>
      <c r="AC1593" s="4"/>
      <c r="AD1593" s="4"/>
      <c r="AE1593" s="4"/>
      <c r="AF1593" s="4"/>
      <c r="AG1593" s="4"/>
    </row>
    <row r="1594" spans="2:33" x14ac:dyDescent="0.2">
      <c r="B1594" s="48"/>
      <c r="C1594" s="57" t="s">
        <v>1020</v>
      </c>
      <c r="D1594" s="44"/>
      <c r="E1594" s="86" t="s">
        <v>1035</v>
      </c>
      <c r="F1594" s="22" t="str">
        <f>IF(H1595=1,IF(H1593=H$2,H1593,""),"")</f>
        <v/>
      </c>
      <c r="G1594" s="26"/>
      <c r="H1594" s="21" t="str">
        <f t="shared" ref="H1594" si="535">IF(E$1622="comprobar",COUNTIF(D1593:D1597,"x"),"")</f>
        <v/>
      </c>
      <c r="I1594" s="4"/>
      <c r="J1594" s="4"/>
      <c r="K1594" s="4"/>
      <c r="L1594" s="4"/>
      <c r="M1594" s="4"/>
      <c r="N1594" s="4"/>
      <c r="O1594" s="4"/>
      <c r="P1594" s="4"/>
      <c r="Q1594" s="4"/>
      <c r="R1594" s="4"/>
      <c r="S1594" s="4"/>
      <c r="T1594" s="4"/>
      <c r="U1594" s="4"/>
      <c r="V1594" s="4"/>
      <c r="W1594" s="4"/>
      <c r="X1594" s="4"/>
      <c r="Y1594" s="4"/>
      <c r="Z1594" s="4"/>
      <c r="AA1594" s="4"/>
      <c r="AB1594" s="4"/>
      <c r="AC1594" s="4"/>
      <c r="AD1594" s="4"/>
      <c r="AE1594" s="4"/>
      <c r="AF1594" s="4"/>
      <c r="AG1594" s="4"/>
    </row>
    <row r="1595" spans="2:33" x14ac:dyDescent="0.2">
      <c r="B1595" s="48"/>
      <c r="C1595" s="57" t="s">
        <v>1008</v>
      </c>
      <c r="D1595" s="44"/>
      <c r="E1595" s="86" t="s">
        <v>1036</v>
      </c>
      <c r="F1595" s="23" t="str">
        <f>IF(H1595=-0.33,IF(H1593=H$1,H1593,""),"")</f>
        <v/>
      </c>
      <c r="G1595" s="26"/>
      <c r="H1595" s="24">
        <f t="shared" ref="H1595" si="536">IF(H1594=1,IF(H1593=H$2,1,-0.33),0)</f>
        <v>0</v>
      </c>
      <c r="I1595" s="4"/>
      <c r="J1595" s="4"/>
      <c r="K1595" s="4"/>
      <c r="L1595" s="4"/>
      <c r="M1595" s="4"/>
      <c r="N1595" s="4"/>
      <c r="O1595" s="4"/>
      <c r="P1595" s="4"/>
      <c r="Q1595" s="4"/>
      <c r="R1595" s="4"/>
      <c r="S1595" s="4"/>
      <c r="T1595" s="4"/>
      <c r="U1595" s="4"/>
      <c r="V1595" s="4"/>
      <c r="W1595" s="4"/>
      <c r="X1595" s="4"/>
      <c r="Y1595" s="4"/>
      <c r="Z1595" s="4"/>
      <c r="AA1595" s="4"/>
      <c r="AB1595" s="4"/>
      <c r="AC1595" s="4"/>
      <c r="AD1595" s="4"/>
      <c r="AE1595" s="4"/>
      <c r="AF1595" s="4"/>
      <c r="AG1595" s="4"/>
    </row>
    <row r="1596" spans="2:33" x14ac:dyDescent="0.2">
      <c r="B1596" s="52"/>
      <c r="C1596" s="57"/>
      <c r="D1596" s="44"/>
      <c r="E1596" s="86" t="s">
        <v>1037</v>
      </c>
      <c r="F1596" s="28"/>
      <c r="G1596" s="26"/>
      <c r="H1596" s="24"/>
      <c r="I1596" s="4"/>
      <c r="J1596" s="4"/>
      <c r="K1596" s="4"/>
      <c r="L1596" s="4"/>
      <c r="M1596" s="4"/>
      <c r="N1596" s="4"/>
      <c r="O1596" s="4"/>
      <c r="P1596" s="4"/>
      <c r="Q1596" s="4"/>
      <c r="R1596" s="4"/>
      <c r="S1596" s="4"/>
      <c r="T1596" s="4"/>
      <c r="U1596" s="4"/>
      <c r="V1596" s="4"/>
      <c r="W1596" s="4"/>
      <c r="X1596" s="4"/>
      <c r="Y1596" s="4"/>
      <c r="Z1596" s="4"/>
      <c r="AA1596" s="4"/>
      <c r="AB1596" s="4"/>
      <c r="AC1596" s="4"/>
      <c r="AD1596" s="4"/>
      <c r="AE1596" s="4"/>
      <c r="AF1596" s="4"/>
      <c r="AG1596" s="4"/>
    </row>
    <row r="1597" spans="2:33" x14ac:dyDescent="0.2">
      <c r="B1597" s="48"/>
      <c r="C1597" s="8"/>
      <c r="D1597" s="44"/>
      <c r="E1597" s="86" t="s">
        <v>1038</v>
      </c>
      <c r="F1597" s="28"/>
      <c r="G1597" s="26"/>
      <c r="H1597" s="24"/>
      <c r="I1597" s="4"/>
      <c r="J1597" s="4"/>
      <c r="K1597" s="4"/>
      <c r="L1597" s="4"/>
      <c r="M1597" s="4"/>
      <c r="N1597" s="4"/>
      <c r="O1597" s="4"/>
      <c r="P1597" s="4"/>
      <c r="Q1597" s="4"/>
      <c r="R1597" s="4"/>
      <c r="S1597" s="4"/>
      <c r="T1597" s="4"/>
      <c r="U1597" s="4"/>
      <c r="V1597" s="4"/>
      <c r="W1597" s="4"/>
      <c r="X1597" s="4"/>
      <c r="Y1597" s="4"/>
      <c r="Z1597" s="4"/>
      <c r="AA1597" s="4"/>
      <c r="AB1597" s="4"/>
      <c r="AC1597" s="4"/>
      <c r="AD1597" s="4"/>
      <c r="AE1597" s="4"/>
      <c r="AF1597" s="4"/>
      <c r="AG1597" s="4"/>
    </row>
    <row r="1598" spans="2:33" x14ac:dyDescent="0.2">
      <c r="B1598" s="49" t="s">
        <v>1021</v>
      </c>
      <c r="C1598" s="13"/>
      <c r="D1598" s="45"/>
      <c r="E1598" s="85"/>
      <c r="F1598" s="30"/>
      <c r="G1598" s="29"/>
      <c r="H1598" s="15"/>
      <c r="I1598" s="4"/>
      <c r="J1598" s="4"/>
      <c r="K1598" s="4"/>
      <c r="L1598" s="4"/>
      <c r="M1598" s="4"/>
      <c r="N1598" s="4"/>
      <c r="O1598" s="4"/>
      <c r="P1598" s="4"/>
      <c r="Q1598" s="4"/>
      <c r="R1598" s="4"/>
      <c r="S1598" s="4"/>
      <c r="T1598" s="4"/>
      <c r="U1598" s="4"/>
      <c r="V1598" s="4"/>
      <c r="W1598" s="4"/>
      <c r="X1598" s="4"/>
      <c r="Y1598" s="4"/>
      <c r="Z1598" s="4"/>
      <c r="AA1598" s="4"/>
      <c r="AB1598" s="4"/>
      <c r="AC1598" s="4"/>
      <c r="AD1598" s="4"/>
      <c r="AE1598" s="4"/>
      <c r="AF1598" s="4"/>
      <c r="AG1598" s="4"/>
    </row>
    <row r="1599" spans="2:33" x14ac:dyDescent="0.2">
      <c r="B1599" s="52"/>
      <c r="C1599" s="56" t="s">
        <v>1022</v>
      </c>
      <c r="D1599" s="44"/>
      <c r="E1599" s="86" t="s">
        <v>1034</v>
      </c>
      <c r="F1599" s="28"/>
      <c r="G1599" s="55"/>
      <c r="H1599" s="21" t="b">
        <f>IF(D1600="x",H$2,H$1)</f>
        <v>0</v>
      </c>
      <c r="I1599" s="4"/>
      <c r="J1599" s="4"/>
      <c r="K1599" s="4"/>
      <c r="L1599" s="4"/>
      <c r="M1599" s="4"/>
      <c r="N1599" s="4"/>
      <c r="O1599" s="4"/>
      <c r="P1599" s="4"/>
      <c r="Q1599" s="4"/>
      <c r="R1599" s="4"/>
      <c r="S1599" s="4"/>
      <c r="T1599" s="4"/>
      <c r="U1599" s="4"/>
      <c r="V1599" s="4"/>
      <c r="W1599" s="4"/>
      <c r="X1599" s="4"/>
      <c r="Y1599" s="4"/>
      <c r="Z1599" s="4"/>
      <c r="AA1599" s="4"/>
      <c r="AB1599" s="4"/>
      <c r="AC1599" s="4"/>
      <c r="AD1599" s="4"/>
      <c r="AE1599" s="4"/>
      <c r="AF1599" s="4"/>
      <c r="AG1599" s="4"/>
    </row>
    <row r="1600" spans="2:33" x14ac:dyDescent="0.2">
      <c r="B1600" s="48"/>
      <c r="C1600" s="57" t="s">
        <v>1023</v>
      </c>
      <c r="D1600" s="44"/>
      <c r="E1600" s="86" t="s">
        <v>1035</v>
      </c>
      <c r="F1600" s="22" t="str">
        <f>IF(H1601=1,IF(H1599=H$2,H1599,""),"")</f>
        <v/>
      </c>
      <c r="G1600" s="26"/>
      <c r="H1600" s="21" t="str">
        <f t="shared" ref="H1600" si="537">IF(E$1622="comprobar",COUNTIF(D1599:D1603,"x"),"")</f>
        <v/>
      </c>
      <c r="I1600" s="4"/>
      <c r="J1600" s="4"/>
      <c r="K1600" s="4"/>
      <c r="L1600" s="4"/>
      <c r="M1600" s="4"/>
      <c r="N1600" s="4"/>
      <c r="O1600" s="4"/>
      <c r="P1600" s="4"/>
      <c r="Q1600" s="4"/>
      <c r="R1600" s="4"/>
      <c r="S1600" s="4"/>
      <c r="T1600" s="4"/>
      <c r="U1600" s="4"/>
      <c r="V1600" s="4"/>
      <c r="W1600" s="4"/>
      <c r="X1600" s="4"/>
      <c r="Y1600" s="4"/>
      <c r="Z1600" s="4"/>
      <c r="AA1600" s="4"/>
      <c r="AB1600" s="4"/>
      <c r="AC1600" s="4"/>
      <c r="AD1600" s="4"/>
      <c r="AE1600" s="4"/>
      <c r="AF1600" s="4"/>
      <c r="AG1600" s="4"/>
    </row>
    <row r="1601" spans="2:33" x14ac:dyDescent="0.2">
      <c r="B1601" s="48"/>
      <c r="C1601" s="57" t="s">
        <v>1024</v>
      </c>
      <c r="D1601" s="44"/>
      <c r="E1601" s="86" t="s">
        <v>1036</v>
      </c>
      <c r="F1601" s="23" t="str">
        <f>IF(H1601=-0.33,IF(H1599=H$1,H1599,""),"")</f>
        <v/>
      </c>
      <c r="G1601" s="26"/>
      <c r="H1601" s="24">
        <f t="shared" ref="H1601" si="538">IF(H1600=1,IF(H1599=H$2,1,-0.33),0)</f>
        <v>0</v>
      </c>
      <c r="I1601" s="4"/>
      <c r="J1601" s="4"/>
      <c r="K1601" s="4"/>
      <c r="L1601" s="4"/>
      <c r="M1601" s="4"/>
      <c r="N1601" s="4"/>
      <c r="O1601" s="4"/>
      <c r="P1601" s="4"/>
      <c r="Q1601" s="4"/>
      <c r="R1601" s="4"/>
      <c r="S1601" s="4"/>
      <c r="T1601" s="4"/>
      <c r="U1601" s="4"/>
      <c r="V1601" s="4"/>
      <c r="W1601" s="4"/>
      <c r="X1601" s="4"/>
      <c r="Y1601" s="4"/>
      <c r="Z1601" s="4"/>
      <c r="AA1601" s="4"/>
      <c r="AB1601" s="4"/>
      <c r="AC1601" s="4"/>
      <c r="AD1601" s="4"/>
      <c r="AE1601" s="4"/>
      <c r="AF1601" s="4"/>
      <c r="AG1601" s="4"/>
    </row>
    <row r="1602" spans="2:33" x14ac:dyDescent="0.2">
      <c r="B1602" s="48"/>
      <c r="C1602" s="57"/>
      <c r="D1602" s="44"/>
      <c r="E1602" s="86" t="s">
        <v>1037</v>
      </c>
      <c r="F1602" s="28"/>
      <c r="G1602" s="26"/>
      <c r="H1602" s="24"/>
      <c r="I1602" s="4"/>
      <c r="J1602" s="4"/>
      <c r="K1602" s="4"/>
      <c r="L1602" s="4"/>
      <c r="M1602" s="4"/>
      <c r="N1602" s="4"/>
      <c r="O1602" s="4"/>
      <c r="P1602" s="4"/>
      <c r="Q1602" s="4"/>
      <c r="R1602" s="4"/>
      <c r="S1602" s="4"/>
      <c r="T1602" s="4"/>
      <c r="U1602" s="4"/>
      <c r="V1602" s="4"/>
      <c r="W1602" s="4"/>
      <c r="X1602" s="4"/>
      <c r="Y1602" s="4"/>
      <c r="Z1602" s="4"/>
      <c r="AA1602" s="4"/>
      <c r="AB1602" s="4"/>
      <c r="AC1602" s="4"/>
      <c r="AD1602" s="4"/>
      <c r="AE1602" s="4"/>
      <c r="AF1602" s="4"/>
      <c r="AG1602" s="4"/>
    </row>
    <row r="1603" spans="2:33" x14ac:dyDescent="0.2">
      <c r="B1603" s="48"/>
      <c r="C1603" s="8"/>
      <c r="D1603" s="44"/>
      <c r="E1603" s="86" t="s">
        <v>1038</v>
      </c>
      <c r="F1603" s="28"/>
      <c r="G1603" s="26"/>
      <c r="H1603" s="24"/>
      <c r="I1603" s="4"/>
      <c r="J1603" s="4"/>
      <c r="K1603" s="4"/>
      <c r="L1603" s="4"/>
      <c r="M1603" s="4"/>
      <c r="N1603" s="4"/>
      <c r="O1603" s="4"/>
      <c r="P1603" s="4"/>
      <c r="Q1603" s="4"/>
      <c r="R1603" s="4"/>
      <c r="S1603" s="4"/>
      <c r="T1603" s="4"/>
      <c r="U1603" s="4"/>
      <c r="V1603" s="4"/>
      <c r="W1603" s="4"/>
      <c r="X1603" s="4"/>
      <c r="Y1603" s="4"/>
      <c r="Z1603" s="4"/>
      <c r="AA1603" s="4"/>
      <c r="AB1603" s="4"/>
      <c r="AC1603" s="4"/>
      <c r="AD1603" s="4"/>
      <c r="AE1603" s="4"/>
      <c r="AF1603" s="4"/>
      <c r="AG1603" s="4"/>
    </row>
    <row r="1604" spans="2:33" x14ac:dyDescent="0.2">
      <c r="B1604" s="49" t="s">
        <v>1025</v>
      </c>
      <c r="C1604" s="13"/>
      <c r="D1604" s="45"/>
      <c r="E1604" s="85"/>
      <c r="F1604" s="30"/>
      <c r="G1604" s="29"/>
      <c r="H1604" s="15"/>
      <c r="I1604" s="4"/>
      <c r="J1604" s="4"/>
      <c r="K1604" s="4"/>
      <c r="L1604" s="4"/>
      <c r="M1604" s="4"/>
      <c r="N1604" s="4"/>
      <c r="O1604" s="4"/>
      <c r="P1604" s="4"/>
      <c r="Q1604" s="4"/>
      <c r="R1604" s="4"/>
      <c r="S1604" s="4"/>
      <c r="T1604" s="4"/>
      <c r="U1604" s="4"/>
      <c r="V1604" s="4"/>
      <c r="W1604" s="4"/>
      <c r="X1604" s="4"/>
      <c r="Y1604" s="4"/>
      <c r="Z1604" s="4"/>
      <c r="AA1604" s="4"/>
      <c r="AB1604" s="4"/>
      <c r="AC1604" s="4"/>
      <c r="AD1604" s="4"/>
      <c r="AE1604" s="4"/>
      <c r="AF1604" s="4"/>
      <c r="AG1604" s="4"/>
    </row>
    <row r="1605" spans="2:33" x14ac:dyDescent="0.2">
      <c r="B1605" s="48"/>
      <c r="C1605" s="118">
        <v>2</v>
      </c>
      <c r="D1605" s="44"/>
      <c r="E1605" s="86" t="s">
        <v>1034</v>
      </c>
      <c r="F1605" s="27"/>
      <c r="G1605" s="26"/>
      <c r="H1605" s="21" t="b">
        <f>IF(D1607="x",H$2,H$1)</f>
        <v>0</v>
      </c>
      <c r="I1605" s="4"/>
      <c r="J1605" s="4"/>
      <c r="K1605" s="4"/>
      <c r="L1605" s="4"/>
      <c r="M1605" s="4"/>
      <c r="N1605" s="4"/>
      <c r="O1605" s="4"/>
      <c r="P1605" s="4"/>
      <c r="Q1605" s="4"/>
      <c r="R1605" s="4"/>
      <c r="S1605" s="4"/>
      <c r="T1605" s="4"/>
      <c r="U1605" s="4"/>
      <c r="V1605" s="4"/>
      <c r="W1605" s="4"/>
      <c r="X1605" s="4"/>
      <c r="Y1605" s="4"/>
      <c r="Z1605" s="4"/>
      <c r="AA1605" s="4"/>
      <c r="AB1605" s="4"/>
      <c r="AC1605" s="4"/>
      <c r="AD1605" s="4"/>
      <c r="AE1605" s="4"/>
      <c r="AF1605" s="4"/>
      <c r="AG1605" s="4"/>
    </row>
    <row r="1606" spans="2:33" x14ac:dyDescent="0.2">
      <c r="B1606" s="52"/>
      <c r="C1606" s="119">
        <v>3</v>
      </c>
      <c r="D1606" s="44"/>
      <c r="E1606" s="86" t="s">
        <v>1035</v>
      </c>
      <c r="F1606" s="22" t="str">
        <f>IF(H1607=1,IF(H1605=H$2,H1605,""),"")</f>
        <v/>
      </c>
      <c r="G1606" s="26"/>
      <c r="H1606" s="21" t="str">
        <f t="shared" ref="H1606" si="539">IF(E$1622="comprobar",COUNTIF(D1605:D1609,"x"),"")</f>
        <v/>
      </c>
      <c r="I1606" s="4"/>
      <c r="J1606" s="4"/>
      <c r="K1606" s="4"/>
      <c r="L1606" s="4"/>
      <c r="M1606" s="4"/>
      <c r="N1606" s="4"/>
      <c r="O1606" s="4"/>
      <c r="P1606" s="4"/>
      <c r="Q1606" s="4"/>
      <c r="R1606" s="4"/>
      <c r="S1606" s="4"/>
      <c r="T1606" s="4"/>
      <c r="U1606" s="4"/>
      <c r="V1606" s="4"/>
      <c r="W1606" s="4"/>
      <c r="X1606" s="4"/>
      <c r="Y1606" s="4"/>
      <c r="Z1606" s="4"/>
      <c r="AA1606" s="4"/>
      <c r="AB1606" s="4"/>
      <c r="AC1606" s="4"/>
      <c r="AD1606" s="4"/>
      <c r="AE1606" s="4"/>
      <c r="AF1606" s="4"/>
      <c r="AG1606" s="4"/>
    </row>
    <row r="1607" spans="2:33" x14ac:dyDescent="0.2">
      <c r="B1607" s="48"/>
      <c r="C1607" s="119">
        <v>4</v>
      </c>
      <c r="D1607" s="44"/>
      <c r="E1607" s="86" t="s">
        <v>1036</v>
      </c>
      <c r="F1607" s="23" t="str">
        <f>IF(H1607=-0.33,IF(H1605=H$1,H1605,""),"")</f>
        <v/>
      </c>
      <c r="G1607" s="26"/>
      <c r="H1607" s="24">
        <f t="shared" ref="H1607" si="540">IF(H1606=1,IF(H1605=H$2,1,-0.33),0)</f>
        <v>0</v>
      </c>
      <c r="I1607" s="4"/>
      <c r="J1607" s="4"/>
      <c r="K1607" s="4"/>
      <c r="L1607" s="4"/>
      <c r="M1607" s="4"/>
      <c r="N1607" s="4"/>
      <c r="O1607" s="4"/>
      <c r="P1607" s="4"/>
      <c r="Q1607" s="4"/>
      <c r="R1607" s="4"/>
      <c r="S1607" s="4"/>
      <c r="T1607" s="4"/>
      <c r="U1607" s="4"/>
      <c r="V1607" s="4"/>
      <c r="W1607" s="4"/>
      <c r="X1607" s="4"/>
      <c r="Y1607" s="4"/>
      <c r="Z1607" s="4"/>
      <c r="AA1607" s="4"/>
      <c r="AB1607" s="4"/>
      <c r="AC1607" s="4"/>
      <c r="AD1607" s="4"/>
      <c r="AE1607" s="4"/>
      <c r="AF1607" s="4"/>
      <c r="AG1607" s="4"/>
    </row>
    <row r="1608" spans="2:33" x14ac:dyDescent="0.2">
      <c r="B1608" s="48"/>
      <c r="C1608" s="119">
        <v>5</v>
      </c>
      <c r="D1608" s="44"/>
      <c r="E1608" s="86" t="s">
        <v>1037</v>
      </c>
      <c r="F1608" s="28"/>
      <c r="G1608" s="55"/>
      <c r="H1608" s="24"/>
      <c r="I1608" s="4"/>
      <c r="J1608" s="4"/>
      <c r="K1608" s="4"/>
      <c r="L1608" s="4"/>
      <c r="M1608" s="4"/>
      <c r="N1608" s="4"/>
      <c r="O1608" s="4"/>
      <c r="P1608" s="4"/>
      <c r="Q1608" s="4"/>
      <c r="R1608" s="4"/>
      <c r="S1608" s="4"/>
      <c r="T1608" s="4"/>
      <c r="U1608" s="4"/>
      <c r="V1608" s="4"/>
      <c r="W1608" s="4"/>
      <c r="X1608" s="4"/>
      <c r="Y1608" s="4"/>
      <c r="Z1608" s="4"/>
      <c r="AA1608" s="4"/>
      <c r="AB1608" s="4"/>
      <c r="AC1608" s="4"/>
      <c r="AD1608" s="4"/>
      <c r="AE1608" s="4"/>
      <c r="AF1608" s="4"/>
      <c r="AG1608" s="4"/>
    </row>
    <row r="1609" spans="2:33" x14ac:dyDescent="0.2">
      <c r="B1609" s="48"/>
      <c r="C1609" s="8"/>
      <c r="D1609" s="44"/>
      <c r="E1609" s="86" t="s">
        <v>1038</v>
      </c>
      <c r="F1609" s="28"/>
      <c r="G1609" s="26"/>
      <c r="H1609" s="24"/>
      <c r="I1609" s="4"/>
      <c r="J1609" s="4"/>
      <c r="K1609" s="4"/>
      <c r="L1609" s="4"/>
      <c r="M1609" s="4"/>
      <c r="N1609" s="4"/>
      <c r="O1609" s="4"/>
      <c r="P1609" s="4"/>
      <c r="Q1609" s="4"/>
      <c r="R1609" s="4"/>
      <c r="S1609" s="4"/>
      <c r="T1609" s="4"/>
      <c r="U1609" s="4"/>
      <c r="V1609" s="4"/>
      <c r="W1609" s="4"/>
      <c r="X1609" s="4"/>
      <c r="Y1609" s="4"/>
      <c r="Z1609" s="4"/>
      <c r="AA1609" s="4"/>
      <c r="AB1609" s="4"/>
      <c r="AC1609" s="4"/>
      <c r="AD1609" s="4"/>
      <c r="AE1609" s="4"/>
      <c r="AF1609" s="4"/>
      <c r="AG1609" s="4"/>
    </row>
    <row r="1610" spans="2:33" x14ac:dyDescent="0.2">
      <c r="B1610" s="49" t="s">
        <v>1026</v>
      </c>
      <c r="C1610" s="36"/>
      <c r="D1610" s="45"/>
      <c r="E1610" s="85"/>
      <c r="F1610" s="30"/>
      <c r="G1610" s="29"/>
      <c r="H1610" s="15"/>
      <c r="I1610" s="4"/>
      <c r="J1610" s="4"/>
      <c r="K1610" s="4"/>
      <c r="L1610" s="4"/>
      <c r="M1610" s="4"/>
      <c r="N1610" s="4"/>
      <c r="O1610" s="4"/>
      <c r="P1610" s="4"/>
      <c r="Q1610" s="4"/>
      <c r="R1610" s="4"/>
      <c r="S1610" s="4"/>
      <c r="T1610" s="4"/>
      <c r="U1610" s="4"/>
      <c r="V1610" s="4"/>
      <c r="W1610" s="4"/>
      <c r="X1610" s="4"/>
      <c r="Y1610" s="4"/>
      <c r="Z1610" s="4"/>
      <c r="AA1610" s="4"/>
      <c r="AB1610" s="4"/>
      <c r="AC1610" s="4"/>
      <c r="AD1610" s="4"/>
      <c r="AE1610" s="4"/>
      <c r="AF1610" s="4"/>
      <c r="AG1610" s="4"/>
    </row>
    <row r="1611" spans="2:33" x14ac:dyDescent="0.2">
      <c r="B1611" s="48"/>
      <c r="C1611" s="56" t="s">
        <v>1027</v>
      </c>
      <c r="D1611" s="44"/>
      <c r="E1611" s="86" t="s">
        <v>1034</v>
      </c>
      <c r="F1611" s="27"/>
      <c r="G1611" s="26"/>
      <c r="H1611" s="21" t="b">
        <f>IF(D1614="x",H$2,H$1)</f>
        <v>0</v>
      </c>
      <c r="I1611" s="4"/>
      <c r="J1611" s="4"/>
      <c r="K1611" s="4"/>
      <c r="L1611" s="4"/>
      <c r="M1611" s="4"/>
      <c r="N1611" s="4"/>
      <c r="O1611" s="4"/>
      <c r="P1611" s="4"/>
      <c r="Q1611" s="4"/>
      <c r="R1611" s="4"/>
      <c r="S1611" s="4"/>
      <c r="T1611" s="4"/>
      <c r="U1611" s="4"/>
      <c r="V1611" s="4"/>
      <c r="W1611" s="4"/>
      <c r="X1611" s="4"/>
      <c r="Y1611" s="4"/>
      <c r="Z1611" s="4"/>
      <c r="AA1611" s="4"/>
      <c r="AB1611" s="4"/>
      <c r="AC1611" s="4"/>
      <c r="AD1611" s="4"/>
      <c r="AE1611" s="4"/>
      <c r="AF1611" s="4"/>
      <c r="AG1611" s="4"/>
    </row>
    <row r="1612" spans="2:33" x14ac:dyDescent="0.2">
      <c r="B1612" s="48"/>
      <c r="C1612" s="57" t="s">
        <v>1028</v>
      </c>
      <c r="D1612" s="44"/>
      <c r="E1612" s="86" t="s">
        <v>1035</v>
      </c>
      <c r="F1612" s="22" t="str">
        <f>IF(H1613=1,IF(H1611=H$2,H1611,""),"")</f>
        <v/>
      </c>
      <c r="G1612" s="26"/>
      <c r="H1612" s="21" t="str">
        <f t="shared" ref="H1612" si="541">IF(E$1622="comprobar",COUNTIF(D1611:D1615,"x"),"")</f>
        <v/>
      </c>
      <c r="I1612" s="4"/>
      <c r="J1612" s="4"/>
      <c r="K1612" s="4"/>
      <c r="L1612" s="4"/>
      <c r="M1612" s="4"/>
      <c r="N1612" s="4"/>
      <c r="O1612" s="4"/>
      <c r="P1612" s="4"/>
      <c r="Q1612" s="4"/>
      <c r="R1612" s="4"/>
      <c r="S1612" s="4"/>
      <c r="T1612" s="4"/>
      <c r="U1612" s="4"/>
      <c r="V1612" s="4"/>
      <c r="W1612" s="4"/>
      <c r="X1612" s="4"/>
      <c r="Y1612" s="4"/>
      <c r="Z1612" s="4"/>
      <c r="AA1612" s="4"/>
      <c r="AB1612" s="4"/>
      <c r="AC1612" s="4"/>
      <c r="AD1612" s="4"/>
      <c r="AE1612" s="4"/>
      <c r="AF1612" s="4"/>
      <c r="AG1612" s="4"/>
    </row>
    <row r="1613" spans="2:33" x14ac:dyDescent="0.2">
      <c r="B1613" s="52"/>
      <c r="C1613" s="57" t="s">
        <v>1029</v>
      </c>
      <c r="D1613" s="44"/>
      <c r="E1613" s="86" t="s">
        <v>1036</v>
      </c>
      <c r="F1613" s="23" t="str">
        <f>IF(H1613=-0.33,IF(H1611=H$1,H1611,""),"")</f>
        <v/>
      </c>
      <c r="G1613" s="26"/>
      <c r="H1613" s="24">
        <f t="shared" ref="H1613" si="542">IF(H1612=1,IF(H1611=H$2,1,-0.33),0)</f>
        <v>0</v>
      </c>
      <c r="I1613" s="4"/>
      <c r="J1613" s="4"/>
      <c r="K1613" s="4"/>
      <c r="L1613" s="4"/>
      <c r="M1613" s="4"/>
      <c r="N1613" s="4"/>
      <c r="O1613" s="4"/>
      <c r="P1613" s="4"/>
      <c r="Q1613" s="4"/>
      <c r="R1613" s="4"/>
      <c r="S1613" s="4"/>
      <c r="T1613" s="4"/>
      <c r="U1613" s="4"/>
      <c r="V1613" s="4"/>
      <c r="W1613" s="4"/>
      <c r="X1613" s="4"/>
      <c r="Y1613" s="4"/>
      <c r="Z1613" s="4"/>
      <c r="AA1613" s="4"/>
      <c r="AB1613" s="4"/>
      <c r="AC1613" s="4"/>
      <c r="AD1613" s="4"/>
      <c r="AE1613" s="4"/>
      <c r="AF1613" s="4"/>
      <c r="AG1613" s="4"/>
    </row>
    <row r="1614" spans="2:33" x14ac:dyDescent="0.2">
      <c r="B1614" s="48"/>
      <c r="C1614" s="57" t="s">
        <v>1030</v>
      </c>
      <c r="D1614" s="44"/>
      <c r="E1614" s="86" t="s">
        <v>1037</v>
      </c>
      <c r="F1614" s="28"/>
      <c r="G1614" s="26"/>
      <c r="H1614" s="24"/>
      <c r="I1614" s="4"/>
      <c r="J1614" s="4"/>
      <c r="K1614" s="4"/>
      <c r="L1614" s="4"/>
      <c r="M1614" s="4"/>
      <c r="N1614" s="4"/>
      <c r="O1614" s="4"/>
      <c r="P1614" s="4"/>
      <c r="Q1614" s="4"/>
      <c r="R1614" s="4"/>
      <c r="S1614" s="4"/>
      <c r="T1614" s="4"/>
      <c r="U1614" s="4"/>
      <c r="V1614" s="4"/>
      <c r="W1614" s="4"/>
      <c r="X1614" s="4"/>
      <c r="Y1614" s="4"/>
      <c r="Z1614" s="4"/>
      <c r="AA1614" s="4"/>
      <c r="AB1614" s="4"/>
      <c r="AC1614" s="4"/>
      <c r="AD1614" s="4"/>
      <c r="AE1614" s="4"/>
      <c r="AF1614" s="4"/>
      <c r="AG1614" s="4"/>
    </row>
    <row r="1615" spans="2:33" x14ac:dyDescent="0.2">
      <c r="B1615" s="48"/>
      <c r="C1615" s="8"/>
      <c r="D1615" s="44"/>
      <c r="E1615" s="86" t="s">
        <v>1038</v>
      </c>
      <c r="F1615" s="28"/>
      <c r="G1615" s="26"/>
      <c r="H1615" s="24"/>
      <c r="I1615" s="4"/>
      <c r="J1615" s="4"/>
      <c r="K1615" s="4"/>
      <c r="L1615" s="4"/>
      <c r="M1615" s="4"/>
      <c r="N1615" s="4"/>
      <c r="O1615" s="4"/>
      <c r="P1615" s="4"/>
      <c r="Q1615" s="4"/>
      <c r="R1615" s="4"/>
      <c r="S1615" s="4"/>
      <c r="T1615" s="4"/>
      <c r="U1615" s="4"/>
      <c r="V1615" s="4"/>
      <c r="W1615" s="4"/>
      <c r="X1615" s="4"/>
      <c r="Y1615" s="4"/>
      <c r="Z1615" s="4"/>
      <c r="AA1615" s="4"/>
      <c r="AB1615" s="4"/>
      <c r="AC1615" s="4"/>
      <c r="AD1615" s="4"/>
      <c r="AE1615" s="4"/>
      <c r="AF1615" s="4"/>
      <c r="AG1615" s="4"/>
    </row>
    <row r="1616" spans="2:33" x14ac:dyDescent="0.2">
      <c r="B1616" s="49" t="s">
        <v>1031</v>
      </c>
      <c r="C1616" s="13"/>
      <c r="D1616" s="45"/>
      <c r="E1616" s="85"/>
      <c r="F1616" s="30"/>
      <c r="G1616" s="29"/>
      <c r="H1616" s="15"/>
      <c r="I1616" s="4"/>
      <c r="J1616" s="4"/>
      <c r="K1616" s="4"/>
      <c r="L1616" s="4"/>
      <c r="M1616" s="4"/>
      <c r="N1616" s="4"/>
      <c r="O1616" s="4"/>
      <c r="P1616" s="4"/>
      <c r="Q1616" s="4"/>
      <c r="R1616" s="4"/>
      <c r="S1616" s="4"/>
      <c r="T1616" s="4"/>
      <c r="U1616" s="4"/>
      <c r="V1616" s="4"/>
      <c r="W1616" s="4"/>
      <c r="X1616" s="4"/>
      <c r="Y1616" s="4"/>
      <c r="Z1616" s="4"/>
      <c r="AA1616" s="4"/>
      <c r="AB1616" s="4"/>
      <c r="AC1616" s="4"/>
      <c r="AD1616" s="4"/>
      <c r="AE1616" s="4"/>
      <c r="AF1616" s="4"/>
      <c r="AG1616" s="4"/>
    </row>
    <row r="1617" spans="2:33" x14ac:dyDescent="0.2">
      <c r="B1617" s="52"/>
      <c r="C1617" s="56" t="s">
        <v>1015</v>
      </c>
      <c r="D1617" s="44"/>
      <c r="E1617" s="86" t="s">
        <v>1034</v>
      </c>
      <c r="F1617" s="28"/>
      <c r="G1617" s="55"/>
      <c r="H1617" s="21" t="b">
        <f>IF(D1620="x",H$2,H$1)</f>
        <v>0</v>
      </c>
      <c r="I1617" s="4"/>
      <c r="J1617" s="4"/>
      <c r="K1617" s="4"/>
      <c r="L1617" s="4"/>
      <c r="M1617" s="4"/>
      <c r="N1617" s="4"/>
      <c r="O1617" s="4"/>
      <c r="P1617" s="4"/>
      <c r="Q1617" s="4"/>
      <c r="R1617" s="4"/>
      <c r="S1617" s="4"/>
      <c r="T1617" s="4"/>
      <c r="U1617" s="4"/>
      <c r="V1617" s="4"/>
      <c r="W1617" s="4"/>
      <c r="X1617" s="4"/>
      <c r="Y1617" s="4"/>
      <c r="Z1617" s="4"/>
      <c r="AA1617" s="4"/>
      <c r="AB1617" s="4"/>
      <c r="AC1617" s="4"/>
      <c r="AD1617" s="4"/>
      <c r="AE1617" s="4"/>
      <c r="AF1617" s="4"/>
      <c r="AG1617" s="4"/>
    </row>
    <row r="1618" spans="2:33" x14ac:dyDescent="0.2">
      <c r="B1618" s="48"/>
      <c r="C1618" s="57" t="s">
        <v>1032</v>
      </c>
      <c r="D1618" s="44"/>
      <c r="E1618" s="86" t="s">
        <v>1035</v>
      </c>
      <c r="F1618" s="22" t="str">
        <f>IF(H1619=1,IF(H1617=H$2,H1617,""),"")</f>
        <v/>
      </c>
      <c r="G1618" s="26"/>
      <c r="H1618" s="21" t="str">
        <f t="shared" ref="H1618" si="543">IF(E$1622="comprobar",COUNTIF(D1617:D1621,"x"),"")</f>
        <v/>
      </c>
      <c r="I1618" s="4"/>
      <c r="J1618" s="4"/>
      <c r="K1618" s="4"/>
      <c r="L1618" s="4"/>
      <c r="M1618" s="4"/>
      <c r="N1618" s="4"/>
      <c r="O1618" s="4"/>
      <c r="P1618" s="4"/>
      <c r="Q1618" s="4"/>
      <c r="R1618" s="4"/>
      <c r="S1618" s="4"/>
      <c r="T1618" s="4"/>
      <c r="U1618" s="4"/>
      <c r="V1618" s="4"/>
      <c r="W1618" s="4"/>
      <c r="X1618" s="4"/>
      <c r="Y1618" s="4"/>
      <c r="Z1618" s="4"/>
      <c r="AA1618" s="4"/>
      <c r="AB1618" s="4"/>
      <c r="AC1618" s="4"/>
      <c r="AD1618" s="4"/>
      <c r="AE1618" s="4"/>
      <c r="AF1618" s="4"/>
      <c r="AG1618" s="4"/>
    </row>
    <row r="1619" spans="2:33" x14ac:dyDescent="0.2">
      <c r="B1619" s="48"/>
      <c r="C1619" s="57" t="s">
        <v>1033</v>
      </c>
      <c r="D1619" s="44"/>
      <c r="E1619" s="86" t="s">
        <v>1036</v>
      </c>
      <c r="F1619" s="23" t="str">
        <f>IF(H1619=-0.33,IF(H1617=H$1,H1617,""),"")</f>
        <v/>
      </c>
      <c r="G1619" s="26"/>
      <c r="H1619" s="24">
        <f t="shared" ref="H1619" si="544">IF(H1618=1,IF(H1617=H$2,1,-0.33),0)</f>
        <v>0</v>
      </c>
      <c r="I1619" s="4"/>
      <c r="J1619" s="4"/>
      <c r="K1619" s="4"/>
      <c r="L1619" s="4"/>
      <c r="M1619" s="4"/>
      <c r="N1619" s="4"/>
      <c r="O1619" s="4"/>
      <c r="P1619" s="4"/>
      <c r="Q1619" s="4"/>
      <c r="R1619" s="4"/>
      <c r="S1619" s="4"/>
      <c r="T1619" s="4"/>
      <c r="U1619" s="4"/>
      <c r="V1619" s="4"/>
      <c r="W1619" s="4"/>
      <c r="X1619" s="4"/>
      <c r="Y1619" s="4"/>
      <c r="Z1619" s="4"/>
      <c r="AA1619" s="4"/>
      <c r="AB1619" s="4"/>
      <c r="AC1619" s="4"/>
      <c r="AD1619" s="4"/>
      <c r="AE1619" s="4"/>
      <c r="AF1619" s="4"/>
      <c r="AG1619" s="4"/>
    </row>
    <row r="1620" spans="2:33" x14ac:dyDescent="0.2">
      <c r="B1620" s="48"/>
      <c r="C1620" s="57" t="s">
        <v>622</v>
      </c>
      <c r="D1620" s="44"/>
      <c r="E1620" s="86" t="s">
        <v>1037</v>
      </c>
      <c r="F1620" s="28"/>
      <c r="G1620" s="26"/>
      <c r="H1620" s="24"/>
      <c r="I1620" s="4"/>
      <c r="J1620" s="4"/>
      <c r="K1620" s="4"/>
      <c r="L1620" s="4"/>
      <c r="M1620" s="4"/>
      <c r="N1620" s="4"/>
      <c r="O1620" s="4"/>
      <c r="P1620" s="4"/>
      <c r="Q1620" s="4"/>
      <c r="R1620" s="4"/>
      <c r="S1620" s="4"/>
      <c r="T1620" s="4"/>
      <c r="U1620" s="4"/>
      <c r="V1620" s="4"/>
      <c r="W1620" s="4"/>
      <c r="X1620" s="4"/>
      <c r="Y1620" s="4"/>
      <c r="Z1620" s="4"/>
      <c r="AA1620" s="4"/>
      <c r="AB1620" s="4"/>
      <c r="AC1620" s="4"/>
      <c r="AD1620" s="4"/>
      <c r="AE1620" s="4"/>
      <c r="AF1620" s="4"/>
      <c r="AG1620" s="4"/>
    </row>
    <row r="1621" spans="2:33" x14ac:dyDescent="0.2">
      <c r="B1621" s="48"/>
      <c r="C1621" s="8"/>
      <c r="D1621" s="44"/>
      <c r="E1621" s="86" t="s">
        <v>1038</v>
      </c>
      <c r="F1621" s="20"/>
      <c r="G1621" s="19"/>
      <c r="H1621" s="24"/>
      <c r="I1621" s="4"/>
      <c r="J1621" s="4"/>
      <c r="K1621" s="4"/>
      <c r="L1621" s="4"/>
      <c r="M1621" s="4"/>
      <c r="N1621" s="4"/>
      <c r="O1621" s="4"/>
      <c r="P1621" s="4"/>
      <c r="Q1621" s="4"/>
      <c r="R1621" s="4"/>
      <c r="S1621" s="4"/>
      <c r="T1621" s="4"/>
      <c r="U1621" s="4"/>
      <c r="V1621" s="4"/>
      <c r="W1621" s="4"/>
      <c r="X1621" s="4"/>
      <c r="Y1621" s="4"/>
      <c r="Z1621" s="4"/>
      <c r="AA1621" s="4"/>
      <c r="AB1621" s="4"/>
      <c r="AC1621" s="4"/>
      <c r="AD1621" s="4"/>
      <c r="AE1621" s="4"/>
      <c r="AF1621" s="4"/>
      <c r="AG1621" s="4"/>
    </row>
    <row r="1622" spans="2:33" x14ac:dyDescent="0.2">
      <c r="B1622" s="52"/>
      <c r="C1622" s="47"/>
      <c r="D1622" s="73"/>
      <c r="E1622" s="87"/>
      <c r="F1622" s="20"/>
      <c r="G1622" s="19"/>
      <c r="H1622" s="19"/>
      <c r="I1622" s="4"/>
      <c r="J1622" s="4"/>
      <c r="K1622" s="4"/>
      <c r="L1622" s="4"/>
      <c r="M1622" s="4"/>
      <c r="N1622" s="4"/>
      <c r="O1622" s="4"/>
      <c r="P1622" s="4"/>
      <c r="Q1622" s="4"/>
      <c r="R1622" s="4"/>
      <c r="S1622" s="4"/>
      <c r="T1622" s="4"/>
      <c r="U1622" s="4"/>
      <c r="V1622" s="4"/>
      <c r="W1622" s="4"/>
      <c r="X1622" s="4"/>
      <c r="Y1622" s="4"/>
      <c r="Z1622" s="4"/>
      <c r="AA1622" s="4"/>
      <c r="AB1622" s="4"/>
      <c r="AC1622" s="4"/>
      <c r="AD1622" s="4"/>
      <c r="AE1622" s="4"/>
      <c r="AF1622" s="4"/>
      <c r="AG1622" s="4"/>
    </row>
    <row r="1623" spans="2:33" x14ac:dyDescent="0.2">
      <c r="B1623" s="52"/>
      <c r="C1623" s="18"/>
      <c r="D1623" s="73"/>
      <c r="E1623" s="93"/>
      <c r="F1623" s="31" t="s">
        <v>93</v>
      </c>
      <c r="G1623" s="19" t="s">
        <v>91</v>
      </c>
      <c r="H1623" s="19" t="s">
        <v>92</v>
      </c>
      <c r="I1623" s="4"/>
      <c r="J1623" s="4"/>
      <c r="K1623" s="4"/>
      <c r="L1623" s="4"/>
      <c r="M1623" s="4"/>
      <c r="N1623" s="4"/>
      <c r="O1623" s="4"/>
      <c r="P1623" s="4"/>
      <c r="Q1623" s="4"/>
      <c r="R1623" s="4"/>
      <c r="S1623" s="4"/>
      <c r="T1623" s="4"/>
      <c r="U1623" s="4"/>
      <c r="V1623" s="4"/>
      <c r="W1623" s="4"/>
      <c r="X1623" s="4"/>
      <c r="Y1623" s="4"/>
      <c r="Z1623" s="4"/>
      <c r="AA1623" s="4"/>
      <c r="AB1623" s="4"/>
      <c r="AC1623" s="4"/>
      <c r="AD1623" s="4"/>
      <c r="AE1623" s="4"/>
      <c r="AF1623" s="4"/>
      <c r="AG1623" s="4"/>
    </row>
    <row r="1624" spans="2:33" ht="20" x14ac:dyDescent="0.2">
      <c r="B1624" s="52"/>
      <c r="C1624" s="18"/>
      <c r="D1624" s="69"/>
      <c r="E1624" s="84"/>
      <c r="F1624" s="32" t="str">
        <f>IF(E1622="comprobar",H1559+H1553+H1547+H1541+H1535+H1529+H1523+H1517+H1511+H1505+H1565+H1571+H1577+H1583+H1589+H1595+H1601+H1607+H1613+H1619,"")</f>
        <v/>
      </c>
      <c r="G1624" s="19">
        <f>20/2</f>
        <v>10</v>
      </c>
      <c r="H1624" s="19"/>
      <c r="I1624" s="4"/>
      <c r="J1624" s="4"/>
      <c r="K1624" s="4"/>
      <c r="L1624" s="4"/>
      <c r="M1624" s="4"/>
      <c r="N1624" s="4"/>
      <c r="O1624" s="4"/>
      <c r="P1624" s="4"/>
      <c r="Q1624" s="4"/>
      <c r="R1624" s="4"/>
      <c r="S1624" s="4"/>
      <c r="T1624" s="4"/>
      <c r="U1624" s="4"/>
      <c r="V1624" s="4"/>
      <c r="W1624" s="4"/>
      <c r="X1624" s="4"/>
      <c r="Y1624" s="4"/>
      <c r="Z1624" s="4"/>
      <c r="AA1624" s="4"/>
      <c r="AB1624" s="4"/>
      <c r="AC1624" s="4"/>
      <c r="AD1624" s="4"/>
      <c r="AE1624" s="4"/>
      <c r="AF1624" s="4"/>
      <c r="AG1624" s="4"/>
    </row>
    <row r="1625" spans="2:33" ht="17" thickBot="1" x14ac:dyDescent="0.25">
      <c r="B1625" s="53"/>
      <c r="C1625" s="33"/>
      <c r="D1625" s="34"/>
      <c r="E1625" s="88"/>
      <c r="F1625" s="35" t="str">
        <f>IF(F1624&gt;G1624,G1623,H1623)</f>
        <v>APROBADO</v>
      </c>
      <c r="G1625" s="19"/>
      <c r="H1625" s="19"/>
      <c r="I1625" s="4"/>
      <c r="J1625" s="4"/>
      <c r="K1625" s="4"/>
      <c r="L1625" s="4"/>
      <c r="M1625" s="4"/>
      <c r="N1625" s="4"/>
      <c r="O1625" s="4"/>
      <c r="P1625" s="4"/>
      <c r="Q1625" s="4"/>
      <c r="R1625" s="4"/>
      <c r="S1625" s="4"/>
      <c r="T1625" s="4"/>
      <c r="U1625" s="4"/>
      <c r="V1625" s="4"/>
      <c r="W1625" s="4"/>
      <c r="X1625" s="4"/>
      <c r="Y1625" s="4"/>
      <c r="Z1625" s="4"/>
      <c r="AA1625" s="4"/>
      <c r="AB1625" s="4"/>
      <c r="AC1625" s="4"/>
      <c r="AD1625" s="4"/>
      <c r="AE1625" s="4"/>
      <c r="AF1625" s="4"/>
      <c r="AG1625" s="4"/>
    </row>
    <row r="1626" spans="2:33" ht="29" x14ac:dyDescent="0.35">
      <c r="B1626" s="54" t="s">
        <v>0</v>
      </c>
      <c r="C1626" s="113" t="s">
        <v>1039</v>
      </c>
      <c r="D1626" s="113"/>
      <c r="E1626" s="113"/>
      <c r="F1626" s="114"/>
      <c r="G1626" s="19"/>
      <c r="H1626" s="19"/>
      <c r="I1626" s="4"/>
      <c r="J1626" s="4"/>
      <c r="K1626" s="4"/>
      <c r="L1626" s="4"/>
      <c r="M1626" s="4"/>
      <c r="N1626" s="4"/>
      <c r="O1626" s="4"/>
      <c r="P1626" s="4"/>
      <c r="Q1626" s="4"/>
      <c r="R1626" s="4"/>
      <c r="S1626" s="4"/>
      <c r="T1626" s="4"/>
      <c r="U1626" s="4"/>
      <c r="V1626" s="4"/>
      <c r="W1626" s="4"/>
      <c r="X1626" s="4"/>
      <c r="Y1626" s="4"/>
      <c r="Z1626" s="4"/>
      <c r="AA1626" s="4"/>
      <c r="AB1626" s="4"/>
      <c r="AC1626" s="4"/>
      <c r="AD1626" s="4"/>
      <c r="AE1626" s="4"/>
      <c r="AF1626" s="4"/>
      <c r="AG1626" s="4"/>
    </row>
    <row r="1627" spans="2:33" x14ac:dyDescent="0.2">
      <c r="B1627" s="49" t="s">
        <v>1040</v>
      </c>
      <c r="C1627" s="13"/>
      <c r="D1627" s="14"/>
      <c r="E1627" s="85"/>
      <c r="F1627" s="16"/>
      <c r="G1627" s="15"/>
      <c r="H1627" s="15"/>
      <c r="I1627" s="4"/>
      <c r="J1627" s="4"/>
      <c r="K1627" s="4"/>
      <c r="L1627" s="4"/>
      <c r="M1627" s="4"/>
      <c r="N1627" s="4"/>
      <c r="O1627" s="4"/>
      <c r="P1627" s="4"/>
      <c r="Q1627" s="4"/>
      <c r="R1627" s="4"/>
      <c r="S1627" s="4"/>
      <c r="T1627" s="4"/>
      <c r="U1627" s="4"/>
      <c r="V1627" s="4"/>
      <c r="W1627" s="4"/>
      <c r="X1627" s="4"/>
      <c r="Y1627" s="4"/>
      <c r="Z1627" s="4"/>
      <c r="AA1627" s="4"/>
      <c r="AB1627" s="4"/>
      <c r="AC1627" s="4"/>
      <c r="AD1627" s="4"/>
      <c r="AE1627" s="4"/>
      <c r="AF1627" s="4"/>
      <c r="AG1627" s="4"/>
    </row>
    <row r="1628" spans="2:33" x14ac:dyDescent="0.2">
      <c r="B1628" s="48"/>
      <c r="C1628" s="56" t="s">
        <v>1041</v>
      </c>
      <c r="D1628" s="44"/>
      <c r="E1628" s="86" t="s">
        <v>1034</v>
      </c>
      <c r="F1628" s="20"/>
      <c r="G1628" s="19"/>
      <c r="H1628" s="21" t="b">
        <f>IF(D1629="x",H$2,H$1)</f>
        <v>0</v>
      </c>
      <c r="I1628" s="4"/>
      <c r="J1628" s="4"/>
      <c r="K1628" s="4"/>
      <c r="L1628" s="4"/>
      <c r="M1628" s="4"/>
      <c r="N1628" s="4"/>
      <c r="O1628" s="4"/>
      <c r="P1628" s="4"/>
      <c r="Q1628" s="4"/>
      <c r="R1628" s="4"/>
      <c r="S1628" s="4"/>
      <c r="T1628" s="4"/>
      <c r="U1628" s="4"/>
      <c r="V1628" s="4"/>
      <c r="W1628" s="4"/>
      <c r="X1628" s="4"/>
      <c r="Y1628" s="4"/>
      <c r="Z1628" s="4"/>
      <c r="AA1628" s="4"/>
      <c r="AB1628" s="4"/>
      <c r="AC1628" s="4"/>
      <c r="AD1628" s="4"/>
      <c r="AE1628" s="4"/>
      <c r="AF1628" s="4"/>
      <c r="AG1628" s="4"/>
    </row>
    <row r="1629" spans="2:33" x14ac:dyDescent="0.2">
      <c r="B1629" s="48"/>
      <c r="C1629" s="57" t="s">
        <v>1042</v>
      </c>
      <c r="D1629" s="44"/>
      <c r="E1629" s="86" t="s">
        <v>1035</v>
      </c>
      <c r="F1629" s="22" t="str">
        <f>IF(H1630=1,IF(H1628=H$2,H1628,""),"")</f>
        <v/>
      </c>
      <c r="G1629" s="19"/>
      <c r="H1629" s="21" t="str">
        <f>IF(E$1747="comprobar",COUNTIF(D1628:D1632,"x"),"")</f>
        <v/>
      </c>
      <c r="I1629" s="4"/>
      <c r="J1629" s="4"/>
      <c r="K1629" s="4"/>
      <c r="L1629" s="4"/>
      <c r="M1629" s="4"/>
      <c r="N1629" s="4"/>
      <c r="O1629" s="4"/>
      <c r="P1629" s="4"/>
      <c r="Q1629" s="4"/>
      <c r="R1629" s="4"/>
      <c r="S1629" s="4"/>
      <c r="T1629" s="4"/>
      <c r="U1629" s="4"/>
      <c r="V1629" s="4"/>
      <c r="W1629" s="4"/>
      <c r="X1629" s="4"/>
      <c r="Y1629" s="4"/>
      <c r="Z1629" s="4"/>
      <c r="AA1629" s="4"/>
      <c r="AB1629" s="4"/>
      <c r="AC1629" s="4"/>
      <c r="AD1629" s="4"/>
      <c r="AE1629" s="4"/>
      <c r="AF1629" s="4"/>
      <c r="AG1629" s="4"/>
    </row>
    <row r="1630" spans="2:33" x14ac:dyDescent="0.2">
      <c r="B1630" s="48"/>
      <c r="C1630" s="57" t="s">
        <v>1043</v>
      </c>
      <c r="D1630" s="44"/>
      <c r="E1630" s="86" t="s">
        <v>1036</v>
      </c>
      <c r="F1630" s="23" t="str">
        <f>IF(H1630=-0.33,IF(H1628=H$1,H1628,""),"")</f>
        <v/>
      </c>
      <c r="G1630" s="19"/>
      <c r="H1630" s="24">
        <f>IF(H1629=1,IF(H1628=H$2,1,-0.33),0)</f>
        <v>0</v>
      </c>
      <c r="I1630" s="4"/>
      <c r="J1630" s="4"/>
      <c r="K1630" s="4"/>
      <c r="L1630" s="4"/>
      <c r="M1630" s="4"/>
      <c r="N1630" s="4"/>
      <c r="O1630" s="4"/>
      <c r="P1630" s="4"/>
      <c r="Q1630" s="4"/>
      <c r="R1630" s="4"/>
      <c r="S1630" s="4"/>
      <c r="T1630" s="4"/>
      <c r="U1630" s="4"/>
      <c r="V1630" s="4"/>
      <c r="W1630" s="4"/>
      <c r="X1630" s="4"/>
      <c r="Y1630" s="4"/>
      <c r="Z1630" s="4"/>
      <c r="AA1630" s="4"/>
      <c r="AB1630" s="4"/>
      <c r="AC1630" s="4"/>
      <c r="AD1630" s="4"/>
      <c r="AE1630" s="4"/>
      <c r="AF1630" s="4"/>
      <c r="AG1630" s="4"/>
    </row>
    <row r="1631" spans="2:33" x14ac:dyDescent="0.2">
      <c r="B1631" s="48"/>
      <c r="C1631" s="57" t="s">
        <v>1044</v>
      </c>
      <c r="D1631" s="44"/>
      <c r="E1631" s="86" t="s">
        <v>1037</v>
      </c>
      <c r="F1631" s="20"/>
      <c r="G1631" s="19"/>
      <c r="H1631" s="24"/>
      <c r="I1631" s="4"/>
      <c r="J1631" s="4"/>
      <c r="K1631" s="4"/>
      <c r="L1631" s="4"/>
      <c r="M1631" s="4"/>
      <c r="N1631" s="4"/>
      <c r="O1631" s="4"/>
      <c r="P1631" s="4"/>
      <c r="Q1631" s="4"/>
      <c r="R1631" s="4"/>
      <c r="S1631" s="4"/>
      <c r="T1631" s="4"/>
      <c r="U1631" s="4"/>
      <c r="V1631" s="4"/>
      <c r="W1631" s="4"/>
      <c r="X1631" s="4"/>
      <c r="Y1631" s="4"/>
      <c r="Z1631" s="4"/>
      <c r="AA1631" s="4"/>
      <c r="AB1631" s="4"/>
      <c r="AC1631" s="4"/>
      <c r="AD1631" s="4"/>
      <c r="AE1631" s="4"/>
      <c r="AF1631" s="4"/>
      <c r="AG1631" s="4"/>
    </row>
    <row r="1632" spans="2:33" x14ac:dyDescent="0.2">
      <c r="B1632" s="48"/>
      <c r="C1632" s="8"/>
      <c r="D1632" s="44"/>
      <c r="E1632" s="86" t="s">
        <v>1038</v>
      </c>
      <c r="F1632" s="20"/>
      <c r="G1632" s="19"/>
      <c r="H1632" s="24"/>
      <c r="I1632" s="4"/>
      <c r="J1632" s="4"/>
      <c r="K1632" s="4"/>
      <c r="L1632" s="4"/>
      <c r="M1632" s="4"/>
      <c r="N1632" s="4"/>
      <c r="O1632" s="4"/>
      <c r="P1632" s="4"/>
      <c r="Q1632" s="4"/>
      <c r="R1632" s="4"/>
      <c r="S1632" s="4"/>
      <c r="T1632" s="4"/>
      <c r="U1632" s="4"/>
      <c r="V1632" s="4"/>
      <c r="W1632" s="4"/>
      <c r="X1632" s="4"/>
      <c r="Y1632" s="4"/>
      <c r="Z1632" s="4"/>
      <c r="AA1632" s="4"/>
      <c r="AB1632" s="4"/>
      <c r="AC1632" s="4"/>
      <c r="AD1632" s="4"/>
      <c r="AE1632" s="4"/>
      <c r="AF1632" s="4"/>
      <c r="AG1632" s="4"/>
    </row>
    <row r="1633" spans="2:33" x14ac:dyDescent="0.2">
      <c r="B1633" s="49" t="s">
        <v>1045</v>
      </c>
      <c r="C1633" s="13"/>
      <c r="D1633" s="45"/>
      <c r="E1633" s="85"/>
      <c r="F1633" s="16"/>
      <c r="G1633" s="15"/>
      <c r="H1633" s="15"/>
      <c r="I1633" s="4"/>
      <c r="J1633" s="4"/>
      <c r="K1633" s="4"/>
      <c r="L1633" s="4"/>
      <c r="M1633" s="4"/>
      <c r="N1633" s="4"/>
      <c r="O1633" s="4"/>
      <c r="P1633" s="4"/>
      <c r="Q1633" s="4"/>
      <c r="R1633" s="4"/>
      <c r="S1633" s="4"/>
      <c r="T1633" s="4"/>
      <c r="U1633" s="4"/>
      <c r="V1633" s="4"/>
      <c r="W1633" s="4"/>
      <c r="X1633" s="4"/>
      <c r="Y1633" s="4"/>
      <c r="Z1633" s="4"/>
      <c r="AA1633" s="4"/>
      <c r="AB1633" s="4"/>
      <c r="AC1633" s="4"/>
      <c r="AD1633" s="4"/>
      <c r="AE1633" s="4"/>
      <c r="AF1633" s="4"/>
      <c r="AG1633" s="4"/>
    </row>
    <row r="1634" spans="2:33" ht="32" x14ac:dyDescent="0.2">
      <c r="B1634" s="48"/>
      <c r="C1634" s="60" t="s">
        <v>1046</v>
      </c>
      <c r="D1634" s="44"/>
      <c r="E1634" s="86" t="s">
        <v>1034</v>
      </c>
      <c r="F1634" s="20"/>
      <c r="G1634" s="19"/>
      <c r="H1634" s="21" t="b">
        <f>IF(D1637="x",H$2,H$1)</f>
        <v>0</v>
      </c>
      <c r="I1634" s="4"/>
      <c r="J1634" s="4"/>
      <c r="K1634" s="4"/>
      <c r="L1634" s="4"/>
      <c r="M1634" s="4"/>
      <c r="N1634" s="4"/>
      <c r="O1634" s="4"/>
      <c r="P1634" s="4"/>
      <c r="Q1634" s="4"/>
      <c r="R1634" s="4"/>
      <c r="S1634" s="4"/>
      <c r="T1634" s="4"/>
      <c r="U1634" s="4"/>
      <c r="V1634" s="4"/>
      <c r="W1634" s="4"/>
      <c r="X1634" s="4"/>
      <c r="Y1634" s="4"/>
      <c r="Z1634" s="4"/>
      <c r="AA1634" s="4"/>
      <c r="AB1634" s="4"/>
      <c r="AC1634" s="4"/>
      <c r="AD1634" s="4"/>
      <c r="AE1634" s="4"/>
      <c r="AF1634" s="4"/>
      <c r="AG1634" s="4"/>
    </row>
    <row r="1635" spans="2:33" ht="32" x14ac:dyDescent="0.2">
      <c r="B1635" s="52"/>
      <c r="C1635" s="61" t="s">
        <v>1047</v>
      </c>
      <c r="D1635" s="44"/>
      <c r="E1635" s="86" t="s">
        <v>1035</v>
      </c>
      <c r="F1635" s="22" t="str">
        <f>IF(H1636=1,IF(H1634=H$2,H1634,""),"")</f>
        <v/>
      </c>
      <c r="G1635" s="19"/>
      <c r="H1635" s="21" t="str">
        <f t="shared" ref="H1635" si="545">IF(E$1747="comprobar",COUNTIF(D1634:D1638,"x"),"")</f>
        <v/>
      </c>
      <c r="I1635" s="4"/>
      <c r="J1635" s="4"/>
      <c r="K1635" s="4"/>
      <c r="L1635" s="4"/>
      <c r="M1635" s="4"/>
      <c r="N1635" s="4"/>
      <c r="O1635" s="4"/>
      <c r="P1635" s="4"/>
      <c r="Q1635" s="4"/>
      <c r="R1635" s="4"/>
      <c r="S1635" s="4"/>
      <c r="T1635" s="4"/>
      <c r="U1635" s="4"/>
      <c r="V1635" s="4"/>
      <c r="W1635" s="4"/>
      <c r="X1635" s="4"/>
      <c r="Y1635" s="4"/>
      <c r="Z1635" s="4"/>
      <c r="AA1635" s="4"/>
      <c r="AB1635" s="4"/>
      <c r="AC1635" s="4"/>
      <c r="AD1635" s="4"/>
      <c r="AE1635" s="4"/>
      <c r="AF1635" s="4"/>
      <c r="AG1635" s="4"/>
    </row>
    <row r="1636" spans="2:33" x14ac:dyDescent="0.2">
      <c r="B1636" s="48"/>
      <c r="C1636" s="57" t="s">
        <v>1048</v>
      </c>
      <c r="D1636" s="44"/>
      <c r="E1636" s="86" t="s">
        <v>1036</v>
      </c>
      <c r="F1636" s="23" t="str">
        <f>IF(H1636=-0.33,IF(H1634=H$1,H1634,""),"")</f>
        <v/>
      </c>
      <c r="G1636" s="19"/>
      <c r="H1636" s="24">
        <f t="shared" ref="H1636" si="546">IF(H1635=1,IF(H1634=H$2,1,-0.33),0)</f>
        <v>0</v>
      </c>
      <c r="I1636" s="4"/>
      <c r="J1636" s="4"/>
      <c r="K1636" s="4"/>
      <c r="L1636" s="4"/>
      <c r="M1636" s="4"/>
      <c r="N1636" s="4"/>
      <c r="O1636" s="4"/>
      <c r="P1636" s="4"/>
      <c r="Q1636" s="4"/>
      <c r="R1636" s="4"/>
      <c r="S1636" s="4"/>
      <c r="T1636" s="4"/>
      <c r="U1636" s="4"/>
      <c r="V1636" s="4"/>
      <c r="W1636" s="4"/>
      <c r="X1636" s="4"/>
      <c r="Y1636" s="4"/>
      <c r="Z1636" s="4"/>
      <c r="AA1636" s="4"/>
      <c r="AB1636" s="4"/>
      <c r="AC1636" s="4"/>
      <c r="AD1636" s="4"/>
      <c r="AE1636" s="4"/>
      <c r="AF1636" s="4"/>
      <c r="AG1636" s="4"/>
    </row>
    <row r="1637" spans="2:33" x14ac:dyDescent="0.2">
      <c r="B1637" s="48"/>
      <c r="C1637" s="57" t="s">
        <v>1049</v>
      </c>
      <c r="D1637" s="44"/>
      <c r="E1637" s="86" t="s">
        <v>1037</v>
      </c>
      <c r="F1637" s="20"/>
      <c r="G1637" s="19"/>
      <c r="H1637" s="24"/>
      <c r="I1637" s="4"/>
      <c r="J1637" s="4"/>
      <c r="K1637" s="4"/>
      <c r="L1637" s="4"/>
      <c r="M1637" s="4"/>
      <c r="N1637" s="4"/>
      <c r="O1637" s="4"/>
      <c r="P1637" s="4"/>
      <c r="Q1637" s="4"/>
      <c r="R1637" s="4"/>
      <c r="S1637" s="4"/>
      <c r="T1637" s="4"/>
      <c r="U1637" s="4"/>
      <c r="V1637" s="4"/>
      <c r="W1637" s="4"/>
      <c r="X1637" s="4"/>
      <c r="Y1637" s="4"/>
      <c r="Z1637" s="4"/>
      <c r="AA1637" s="4"/>
      <c r="AB1637" s="4"/>
      <c r="AC1637" s="4"/>
      <c r="AD1637" s="4"/>
      <c r="AE1637" s="4"/>
      <c r="AF1637" s="4"/>
      <c r="AG1637" s="4"/>
    </row>
    <row r="1638" spans="2:33" x14ac:dyDescent="0.2">
      <c r="B1638" s="48"/>
      <c r="C1638" s="8"/>
      <c r="D1638" s="44"/>
      <c r="E1638" s="86" t="s">
        <v>1038</v>
      </c>
      <c r="F1638" s="20"/>
      <c r="G1638" s="19"/>
      <c r="H1638" s="24"/>
      <c r="I1638" s="4"/>
      <c r="J1638" s="4"/>
      <c r="K1638" s="4"/>
      <c r="L1638" s="4"/>
      <c r="M1638" s="4"/>
      <c r="N1638" s="4"/>
      <c r="O1638" s="4"/>
      <c r="P1638" s="4"/>
      <c r="Q1638" s="4"/>
      <c r="R1638" s="4"/>
      <c r="S1638" s="4"/>
      <c r="T1638" s="4"/>
      <c r="U1638" s="4"/>
      <c r="V1638" s="4"/>
      <c r="W1638" s="4"/>
      <c r="X1638" s="4"/>
      <c r="Y1638" s="4"/>
      <c r="Z1638" s="4"/>
      <c r="AA1638" s="4"/>
      <c r="AB1638" s="4"/>
      <c r="AC1638" s="4"/>
      <c r="AD1638" s="4"/>
      <c r="AE1638" s="4"/>
      <c r="AF1638" s="4"/>
      <c r="AG1638" s="4"/>
    </row>
    <row r="1639" spans="2:33" x14ac:dyDescent="0.2">
      <c r="B1639" s="49" t="s">
        <v>1050</v>
      </c>
      <c r="C1639" s="13"/>
      <c r="D1639" s="45"/>
      <c r="E1639" s="85"/>
      <c r="F1639" s="16"/>
      <c r="G1639" s="15"/>
      <c r="H1639" s="15"/>
      <c r="I1639" s="4"/>
      <c r="J1639" s="4"/>
      <c r="K1639" s="4"/>
      <c r="L1639" s="4"/>
      <c r="M1639" s="4"/>
      <c r="N1639" s="4"/>
      <c r="O1639" s="4"/>
      <c r="P1639" s="4"/>
      <c r="Q1639" s="4"/>
      <c r="R1639" s="4"/>
      <c r="S1639" s="4"/>
      <c r="T1639" s="4"/>
      <c r="U1639" s="4"/>
      <c r="V1639" s="4"/>
      <c r="W1639" s="4"/>
      <c r="X1639" s="4"/>
      <c r="Y1639" s="4"/>
      <c r="Z1639" s="4"/>
      <c r="AA1639" s="4"/>
      <c r="AB1639" s="4"/>
      <c r="AC1639" s="4"/>
      <c r="AD1639" s="4"/>
      <c r="AE1639" s="4"/>
      <c r="AF1639" s="4"/>
      <c r="AG1639" s="4"/>
    </row>
    <row r="1640" spans="2:33" x14ac:dyDescent="0.2">
      <c r="B1640" s="52"/>
      <c r="C1640" s="56" t="s">
        <v>1051</v>
      </c>
      <c r="D1640" s="44"/>
      <c r="E1640" s="86" t="s">
        <v>1034</v>
      </c>
      <c r="F1640" s="20"/>
      <c r="G1640" s="19"/>
      <c r="H1640" s="21" t="b">
        <f>IF(D1643="x",H$2,H$1)</f>
        <v>0</v>
      </c>
      <c r="I1640" s="4"/>
      <c r="J1640" s="4"/>
      <c r="K1640" s="4"/>
      <c r="L1640" s="4"/>
      <c r="M1640" s="4"/>
      <c r="N1640" s="4"/>
      <c r="O1640" s="4"/>
      <c r="P1640" s="4"/>
      <c r="Q1640" s="4"/>
      <c r="R1640" s="4"/>
      <c r="S1640" s="4"/>
      <c r="T1640" s="4"/>
      <c r="U1640" s="4"/>
      <c r="V1640" s="4"/>
      <c r="W1640" s="4"/>
      <c r="X1640" s="4"/>
      <c r="Y1640" s="4"/>
      <c r="Z1640" s="4"/>
      <c r="AA1640" s="4"/>
      <c r="AB1640" s="4"/>
      <c r="AC1640" s="4"/>
      <c r="AD1640" s="4"/>
      <c r="AE1640" s="4"/>
      <c r="AF1640" s="4"/>
      <c r="AG1640" s="4"/>
    </row>
    <row r="1641" spans="2:33" x14ac:dyDescent="0.2">
      <c r="B1641" s="48"/>
      <c r="C1641" s="57" t="s">
        <v>1052</v>
      </c>
      <c r="D1641" s="44"/>
      <c r="E1641" s="86" t="s">
        <v>1035</v>
      </c>
      <c r="F1641" s="22" t="str">
        <f>IF(H1642=1,IF(H1640=H$2,H1640,""),"")</f>
        <v/>
      </c>
      <c r="G1641" s="19"/>
      <c r="H1641" s="21" t="str">
        <f t="shared" ref="H1641" si="547">IF(E$1747="comprobar",COUNTIF(D1640:D1644,"x"),"")</f>
        <v/>
      </c>
      <c r="I1641" s="4"/>
      <c r="J1641" s="4"/>
      <c r="K1641" s="4"/>
      <c r="L1641" s="4"/>
      <c r="M1641" s="4"/>
      <c r="N1641" s="4"/>
      <c r="O1641" s="4"/>
      <c r="P1641" s="4"/>
      <c r="Q1641" s="4"/>
      <c r="R1641" s="4"/>
      <c r="S1641" s="4"/>
      <c r="T1641" s="4"/>
      <c r="U1641" s="4"/>
      <c r="V1641" s="4"/>
      <c r="W1641" s="4"/>
      <c r="X1641" s="4"/>
      <c r="Y1641" s="4"/>
      <c r="Z1641" s="4"/>
      <c r="AA1641" s="4"/>
      <c r="AB1641" s="4"/>
      <c r="AC1641" s="4"/>
      <c r="AD1641" s="4"/>
      <c r="AE1641" s="4"/>
      <c r="AF1641" s="4"/>
      <c r="AG1641" s="4"/>
    </row>
    <row r="1642" spans="2:33" x14ac:dyDescent="0.2">
      <c r="B1642" s="48"/>
      <c r="C1642" s="57" t="s">
        <v>1053</v>
      </c>
      <c r="D1642" s="44"/>
      <c r="E1642" s="86" t="s">
        <v>1036</v>
      </c>
      <c r="F1642" s="23" t="str">
        <f>IF(H1642=-0.33,IF(H1640=H$1,H1640,""),"")</f>
        <v/>
      </c>
      <c r="G1642" s="19"/>
      <c r="H1642" s="24">
        <f t="shared" ref="H1642" si="548">IF(H1641=1,IF(H1640=H$2,1,-0.33),0)</f>
        <v>0</v>
      </c>
      <c r="I1642" s="4"/>
      <c r="J1642" s="4"/>
      <c r="K1642" s="4"/>
      <c r="L1642" s="4"/>
      <c r="M1642" s="4"/>
      <c r="N1642" s="4"/>
      <c r="O1642" s="4"/>
      <c r="P1642" s="4"/>
      <c r="Q1642" s="4"/>
      <c r="R1642" s="4"/>
      <c r="S1642" s="4"/>
      <c r="T1642" s="4"/>
      <c r="U1642" s="4"/>
      <c r="V1642" s="4"/>
      <c r="W1642" s="4"/>
      <c r="X1642" s="4"/>
      <c r="Y1642" s="4"/>
      <c r="Z1642" s="4"/>
      <c r="AA1642" s="4"/>
      <c r="AB1642" s="4"/>
      <c r="AC1642" s="4"/>
      <c r="AD1642" s="4"/>
      <c r="AE1642" s="4"/>
      <c r="AF1642" s="4"/>
      <c r="AG1642" s="4"/>
    </row>
    <row r="1643" spans="2:33" x14ac:dyDescent="0.2">
      <c r="B1643" s="52"/>
      <c r="C1643" s="57" t="s">
        <v>165</v>
      </c>
      <c r="D1643" s="44"/>
      <c r="E1643" s="86" t="s">
        <v>1037</v>
      </c>
      <c r="F1643" s="20"/>
      <c r="G1643" s="19"/>
      <c r="H1643" s="24"/>
      <c r="I1643" s="4"/>
      <c r="J1643" s="4"/>
      <c r="K1643" s="4"/>
      <c r="L1643" s="4"/>
      <c r="M1643" s="4"/>
      <c r="N1643" s="4"/>
      <c r="O1643" s="4"/>
      <c r="P1643" s="4"/>
      <c r="Q1643" s="4"/>
      <c r="R1643" s="4"/>
      <c r="S1643" s="4"/>
      <c r="T1643" s="4"/>
      <c r="U1643" s="4"/>
      <c r="V1643" s="4"/>
      <c r="W1643" s="4"/>
      <c r="X1643" s="4"/>
      <c r="Y1643" s="4"/>
      <c r="Z1643" s="4"/>
      <c r="AA1643" s="4"/>
      <c r="AB1643" s="4"/>
      <c r="AC1643" s="4"/>
      <c r="AD1643" s="4"/>
      <c r="AE1643" s="4"/>
      <c r="AF1643" s="4"/>
      <c r="AG1643" s="4"/>
    </row>
    <row r="1644" spans="2:33" x14ac:dyDescent="0.2">
      <c r="B1644" s="48"/>
      <c r="C1644" s="8"/>
      <c r="D1644" s="44"/>
      <c r="E1644" s="86" t="s">
        <v>1038</v>
      </c>
      <c r="F1644" s="20"/>
      <c r="G1644" s="19"/>
      <c r="H1644" s="24"/>
      <c r="I1644" s="4"/>
      <c r="J1644" s="4"/>
      <c r="K1644" s="4"/>
      <c r="L1644" s="4"/>
      <c r="M1644" s="4"/>
      <c r="N1644" s="4"/>
      <c r="O1644" s="4"/>
      <c r="P1644" s="4"/>
      <c r="Q1644" s="4"/>
      <c r="R1644" s="4"/>
      <c r="S1644" s="4"/>
      <c r="T1644" s="4"/>
      <c r="U1644" s="4"/>
      <c r="V1644" s="4"/>
      <c r="W1644" s="4"/>
      <c r="X1644" s="4"/>
      <c r="Y1644" s="4"/>
      <c r="Z1644" s="4"/>
      <c r="AA1644" s="4"/>
      <c r="AB1644" s="4"/>
      <c r="AC1644" s="4"/>
      <c r="AD1644" s="4"/>
      <c r="AE1644" s="4"/>
      <c r="AF1644" s="4"/>
      <c r="AG1644" s="4"/>
    </row>
    <row r="1645" spans="2:33" x14ac:dyDescent="0.2">
      <c r="B1645" s="49" t="s">
        <v>1054</v>
      </c>
      <c r="C1645" s="13"/>
      <c r="D1645" s="45"/>
      <c r="E1645" s="85"/>
      <c r="F1645" s="16"/>
      <c r="G1645" s="15"/>
      <c r="H1645" s="15"/>
      <c r="I1645" s="4"/>
      <c r="J1645" s="4"/>
      <c r="K1645" s="4"/>
      <c r="L1645" s="4"/>
      <c r="M1645" s="4"/>
      <c r="N1645" s="4"/>
      <c r="O1645" s="4"/>
      <c r="P1645" s="4"/>
      <c r="Q1645" s="4"/>
      <c r="R1645" s="4"/>
      <c r="S1645" s="4"/>
      <c r="T1645" s="4"/>
      <c r="U1645" s="4"/>
      <c r="V1645" s="4"/>
      <c r="W1645" s="4"/>
      <c r="X1645" s="4"/>
      <c r="Y1645" s="4"/>
      <c r="Z1645" s="4"/>
      <c r="AA1645" s="4"/>
      <c r="AB1645" s="4"/>
      <c r="AC1645" s="4"/>
      <c r="AD1645" s="4"/>
      <c r="AE1645" s="4"/>
      <c r="AF1645" s="4"/>
      <c r="AG1645" s="4"/>
    </row>
    <row r="1646" spans="2:33" x14ac:dyDescent="0.2">
      <c r="B1646" s="48"/>
      <c r="C1646" s="56" t="s">
        <v>1055</v>
      </c>
      <c r="D1646" s="44"/>
      <c r="E1646" s="86" t="s">
        <v>1034</v>
      </c>
      <c r="F1646" s="20"/>
      <c r="G1646" s="19"/>
      <c r="H1646" s="21" t="b">
        <f>IF(D1646="x",H$2,H$1)</f>
        <v>0</v>
      </c>
      <c r="I1646" s="4"/>
      <c r="J1646" s="4"/>
      <c r="K1646" s="4"/>
      <c r="L1646" s="4"/>
      <c r="M1646" s="4"/>
      <c r="N1646" s="4"/>
      <c r="O1646" s="4"/>
      <c r="P1646" s="4"/>
      <c r="Q1646" s="4"/>
      <c r="R1646" s="4"/>
      <c r="S1646" s="4"/>
      <c r="T1646" s="4"/>
      <c r="U1646" s="4"/>
      <c r="V1646" s="4"/>
      <c r="W1646" s="4"/>
      <c r="X1646" s="4"/>
      <c r="Y1646" s="4"/>
      <c r="Z1646" s="4"/>
      <c r="AA1646" s="4"/>
      <c r="AB1646" s="4"/>
      <c r="AC1646" s="4"/>
      <c r="AD1646" s="4"/>
      <c r="AE1646" s="4"/>
      <c r="AF1646" s="4"/>
      <c r="AG1646" s="4"/>
    </row>
    <row r="1647" spans="2:33" x14ac:dyDescent="0.2">
      <c r="B1647" s="52"/>
      <c r="C1647" s="57" t="s">
        <v>1056</v>
      </c>
      <c r="D1647" s="44"/>
      <c r="E1647" s="86" t="s">
        <v>1035</v>
      </c>
      <c r="F1647" s="22" t="str">
        <f>IF(H1648=1,IF(H1646=H$2,H1646,""),"")</f>
        <v/>
      </c>
      <c r="G1647" s="19"/>
      <c r="H1647" s="21" t="str">
        <f t="shared" ref="H1647" si="549">IF(E$1747="comprobar",COUNTIF(D1646:D1650,"x"),"")</f>
        <v/>
      </c>
      <c r="I1647" s="4"/>
      <c r="J1647" s="4"/>
      <c r="K1647" s="4"/>
      <c r="L1647" s="4"/>
      <c r="M1647" s="4"/>
      <c r="N1647" s="4"/>
      <c r="O1647" s="4"/>
      <c r="P1647" s="4"/>
      <c r="Q1647" s="4"/>
      <c r="R1647" s="4"/>
      <c r="S1647" s="4"/>
      <c r="T1647" s="4"/>
      <c r="U1647" s="4"/>
      <c r="V1647" s="4"/>
      <c r="W1647" s="4"/>
      <c r="X1647" s="4"/>
      <c r="Y1647" s="4"/>
      <c r="Z1647" s="4"/>
      <c r="AA1647" s="4"/>
      <c r="AB1647" s="4"/>
      <c r="AC1647" s="4"/>
      <c r="AD1647" s="4"/>
      <c r="AE1647" s="4"/>
      <c r="AF1647" s="4"/>
      <c r="AG1647" s="4"/>
    </row>
    <row r="1648" spans="2:33" x14ac:dyDescent="0.2">
      <c r="B1648" s="48"/>
      <c r="C1648" s="57" t="s">
        <v>1057</v>
      </c>
      <c r="D1648" s="44"/>
      <c r="E1648" s="86" t="s">
        <v>1036</v>
      </c>
      <c r="F1648" s="23" t="str">
        <f>IF(H1648=-0.33,IF(H1646=H$1,H1646,""),"")</f>
        <v/>
      </c>
      <c r="G1648" s="19"/>
      <c r="H1648" s="24">
        <f t="shared" ref="H1648" si="550">IF(H1647=1,IF(H1646=H$2,1,-0.33),0)</f>
        <v>0</v>
      </c>
      <c r="I1648" s="4"/>
      <c r="J1648" s="4"/>
      <c r="K1648" s="4"/>
      <c r="L1648" s="4"/>
      <c r="M1648" s="4"/>
      <c r="N1648" s="4"/>
      <c r="O1648" s="4"/>
      <c r="P1648" s="4"/>
      <c r="Q1648" s="4"/>
      <c r="R1648" s="4"/>
      <c r="S1648" s="4"/>
      <c r="T1648" s="4"/>
      <c r="U1648" s="4"/>
      <c r="V1648" s="4"/>
      <c r="W1648" s="4"/>
      <c r="X1648" s="4"/>
      <c r="Y1648" s="4"/>
      <c r="Z1648" s="4"/>
      <c r="AA1648" s="4"/>
      <c r="AB1648" s="4"/>
      <c r="AC1648" s="4"/>
      <c r="AD1648" s="4"/>
      <c r="AE1648" s="4"/>
      <c r="AF1648" s="4"/>
      <c r="AG1648" s="4"/>
    </row>
    <row r="1649" spans="2:33" x14ac:dyDescent="0.2">
      <c r="B1649" s="48"/>
      <c r="C1649" s="57" t="s">
        <v>1058</v>
      </c>
      <c r="D1649" s="44"/>
      <c r="E1649" s="86" t="s">
        <v>1037</v>
      </c>
      <c r="F1649" s="20"/>
      <c r="G1649" s="19"/>
      <c r="H1649" s="24"/>
      <c r="I1649" s="4"/>
      <c r="J1649" s="4"/>
      <c r="K1649" s="4"/>
      <c r="L1649" s="4"/>
      <c r="M1649" s="4"/>
      <c r="N1649" s="4"/>
      <c r="O1649" s="4"/>
      <c r="P1649" s="4"/>
      <c r="Q1649" s="4"/>
      <c r="R1649" s="4"/>
      <c r="S1649" s="4"/>
      <c r="T1649" s="4"/>
      <c r="U1649" s="4"/>
      <c r="V1649" s="4"/>
      <c r="W1649" s="4"/>
      <c r="X1649" s="4"/>
      <c r="Y1649" s="4"/>
      <c r="Z1649" s="4"/>
      <c r="AA1649" s="4"/>
      <c r="AB1649" s="4"/>
      <c r="AC1649" s="4"/>
      <c r="AD1649" s="4"/>
      <c r="AE1649" s="4"/>
      <c r="AF1649" s="4"/>
      <c r="AG1649" s="4"/>
    </row>
    <row r="1650" spans="2:33" x14ac:dyDescent="0.2">
      <c r="B1650" s="48"/>
      <c r="C1650" s="8"/>
      <c r="D1650" s="44"/>
      <c r="E1650" s="86" t="s">
        <v>1038</v>
      </c>
      <c r="F1650" s="20"/>
      <c r="G1650" s="19"/>
      <c r="H1650" s="24"/>
      <c r="I1650" s="4"/>
      <c r="J1650" s="4"/>
      <c r="K1650" s="4"/>
      <c r="L1650" s="4"/>
      <c r="M1650" s="4"/>
      <c r="N1650" s="4"/>
      <c r="O1650" s="4"/>
      <c r="P1650" s="4"/>
      <c r="Q1650" s="4"/>
      <c r="R1650" s="4"/>
      <c r="S1650" s="4"/>
      <c r="T1650" s="4"/>
      <c r="U1650" s="4"/>
      <c r="V1650" s="4"/>
      <c r="W1650" s="4"/>
      <c r="X1650" s="4"/>
      <c r="Y1650" s="4"/>
      <c r="Z1650" s="4"/>
      <c r="AA1650" s="4"/>
      <c r="AB1650" s="4"/>
      <c r="AC1650" s="4"/>
      <c r="AD1650" s="4"/>
      <c r="AE1650" s="4"/>
      <c r="AF1650" s="4"/>
      <c r="AG1650" s="4"/>
    </row>
    <row r="1651" spans="2:33" x14ac:dyDescent="0.2">
      <c r="B1651" s="49" t="s">
        <v>1059</v>
      </c>
      <c r="C1651" s="36"/>
      <c r="D1651" s="45"/>
      <c r="E1651" s="85"/>
      <c r="F1651" s="16"/>
      <c r="G1651" s="15"/>
      <c r="H1651" s="15"/>
      <c r="I1651" s="4"/>
      <c r="J1651" s="4"/>
      <c r="K1651" s="4"/>
      <c r="L1651" s="4"/>
      <c r="M1651" s="4"/>
      <c r="N1651" s="4"/>
      <c r="O1651" s="4"/>
      <c r="P1651" s="4"/>
      <c r="Q1651" s="4"/>
      <c r="R1651" s="4"/>
      <c r="S1651" s="4"/>
      <c r="T1651" s="4"/>
      <c r="U1651" s="4"/>
      <c r="V1651" s="4"/>
      <c r="W1651" s="4"/>
      <c r="X1651" s="4"/>
      <c r="Y1651" s="4"/>
      <c r="Z1651" s="4"/>
      <c r="AA1651" s="4"/>
      <c r="AB1651" s="4"/>
      <c r="AC1651" s="4"/>
      <c r="AD1651" s="4"/>
      <c r="AE1651" s="4"/>
      <c r="AF1651" s="4"/>
      <c r="AG1651" s="4"/>
    </row>
    <row r="1652" spans="2:33" ht="32" x14ac:dyDescent="0.2">
      <c r="B1652" s="48"/>
      <c r="C1652" s="60" t="s">
        <v>1060</v>
      </c>
      <c r="D1652" s="44"/>
      <c r="E1652" s="86" t="s">
        <v>1034</v>
      </c>
      <c r="F1652" s="20"/>
      <c r="G1652" s="19"/>
      <c r="H1652" s="21" t="b">
        <f t="shared" ref="H1652" si="551">IF(D1655="x",H$2,H$1)</f>
        <v>0</v>
      </c>
      <c r="I1652" s="4"/>
      <c r="J1652" s="4"/>
      <c r="K1652" s="4"/>
      <c r="L1652" s="4"/>
      <c r="M1652" s="4"/>
      <c r="N1652" s="4"/>
      <c r="O1652" s="4"/>
      <c r="P1652" s="4"/>
      <c r="Q1652" s="4"/>
      <c r="R1652" s="4"/>
      <c r="S1652" s="4"/>
      <c r="T1652" s="4"/>
      <c r="U1652" s="4"/>
      <c r="V1652" s="4"/>
      <c r="W1652" s="4"/>
      <c r="X1652" s="4"/>
      <c r="Y1652" s="4"/>
      <c r="Z1652" s="4"/>
      <c r="AA1652" s="4"/>
      <c r="AB1652" s="4"/>
      <c r="AC1652" s="4"/>
      <c r="AD1652" s="4"/>
      <c r="AE1652" s="4"/>
      <c r="AF1652" s="4"/>
      <c r="AG1652" s="4"/>
    </row>
    <row r="1653" spans="2:33" x14ac:dyDescent="0.2">
      <c r="B1653" s="48"/>
      <c r="C1653" s="57" t="s">
        <v>1061</v>
      </c>
      <c r="D1653" s="44"/>
      <c r="E1653" s="86" t="s">
        <v>1035</v>
      </c>
      <c r="F1653" s="22" t="str">
        <f>IF(H1654=1,IF(H1652=H$2,H1652,""),"")</f>
        <v/>
      </c>
      <c r="G1653" s="19"/>
      <c r="H1653" s="21" t="str">
        <f t="shared" ref="H1653" si="552">IF(E$1747="comprobar",COUNTIF(D1652:D1656,"x"),"")</f>
        <v/>
      </c>
      <c r="I1653" s="4"/>
      <c r="J1653" s="4"/>
      <c r="K1653" s="4"/>
      <c r="L1653" s="4"/>
      <c r="M1653" s="4"/>
      <c r="N1653" s="4"/>
      <c r="O1653" s="4"/>
      <c r="P1653" s="4"/>
      <c r="Q1653" s="4"/>
      <c r="R1653" s="4"/>
      <c r="S1653" s="4"/>
      <c r="T1653" s="4"/>
      <c r="U1653" s="4"/>
      <c r="V1653" s="4"/>
      <c r="W1653" s="4"/>
      <c r="X1653" s="4"/>
      <c r="Y1653" s="4"/>
      <c r="Z1653" s="4"/>
      <c r="AA1653" s="4"/>
      <c r="AB1653" s="4"/>
      <c r="AC1653" s="4"/>
      <c r="AD1653" s="4"/>
      <c r="AE1653" s="4"/>
      <c r="AF1653" s="4"/>
      <c r="AG1653" s="4"/>
    </row>
    <row r="1654" spans="2:33" x14ac:dyDescent="0.2">
      <c r="B1654" s="48"/>
      <c r="C1654" s="57" t="s">
        <v>1062</v>
      </c>
      <c r="D1654" s="44"/>
      <c r="E1654" s="86" t="s">
        <v>1036</v>
      </c>
      <c r="F1654" s="23" t="str">
        <f>IF(H1654=-0.33,IF(H1652=H$1,H1652,""),"")</f>
        <v/>
      </c>
      <c r="G1654" s="19"/>
      <c r="H1654" s="24">
        <f t="shared" ref="H1654" si="553">IF(H1653=1,IF(H1652=H$2,1,-0.33),0)</f>
        <v>0</v>
      </c>
      <c r="I1654" s="4"/>
      <c r="J1654" s="4"/>
      <c r="K1654" s="4"/>
      <c r="L1654" s="4"/>
      <c r="M1654" s="4"/>
      <c r="N1654" s="4"/>
      <c r="O1654" s="4"/>
      <c r="P1654" s="4"/>
      <c r="Q1654" s="4"/>
      <c r="R1654" s="4"/>
      <c r="S1654" s="4"/>
      <c r="T1654" s="4"/>
      <c r="U1654" s="4"/>
      <c r="V1654" s="4"/>
      <c r="W1654" s="4"/>
      <c r="X1654" s="4"/>
      <c r="Y1654" s="4"/>
      <c r="Z1654" s="4"/>
      <c r="AA1654" s="4"/>
      <c r="AB1654" s="4"/>
      <c r="AC1654" s="4"/>
      <c r="AD1654" s="4"/>
      <c r="AE1654" s="4"/>
      <c r="AF1654" s="4"/>
      <c r="AG1654" s="4"/>
    </row>
    <row r="1655" spans="2:33" x14ac:dyDescent="0.2">
      <c r="B1655" s="48"/>
      <c r="C1655" s="57" t="s">
        <v>1049</v>
      </c>
      <c r="D1655" s="44"/>
      <c r="E1655" s="86" t="s">
        <v>1037</v>
      </c>
      <c r="F1655" s="20"/>
      <c r="G1655" s="19"/>
      <c r="H1655" s="24"/>
      <c r="I1655" s="4"/>
      <c r="J1655" s="4"/>
      <c r="K1655" s="4"/>
      <c r="L1655" s="4"/>
      <c r="M1655" s="4"/>
      <c r="N1655" s="4"/>
      <c r="O1655" s="4"/>
      <c r="P1655" s="4"/>
      <c r="Q1655" s="4"/>
      <c r="R1655" s="4"/>
      <c r="S1655" s="4"/>
      <c r="T1655" s="4"/>
      <c r="U1655" s="4"/>
      <c r="V1655" s="4"/>
      <c r="W1655" s="4"/>
      <c r="X1655" s="4"/>
      <c r="Y1655" s="4"/>
      <c r="Z1655" s="4"/>
      <c r="AA1655" s="4"/>
      <c r="AB1655" s="4"/>
      <c r="AC1655" s="4"/>
      <c r="AD1655" s="4"/>
      <c r="AE1655" s="4"/>
      <c r="AF1655" s="4"/>
      <c r="AG1655" s="4"/>
    </row>
    <row r="1656" spans="2:33" x14ac:dyDescent="0.2">
      <c r="B1656" s="48"/>
      <c r="C1656" s="8"/>
      <c r="D1656" s="44"/>
      <c r="E1656" s="86" t="s">
        <v>1038</v>
      </c>
      <c r="F1656" s="20"/>
      <c r="G1656" s="19"/>
      <c r="H1656" s="24"/>
      <c r="I1656" s="4"/>
      <c r="J1656" s="4"/>
      <c r="K1656" s="4"/>
      <c r="L1656" s="4"/>
      <c r="M1656" s="4"/>
      <c r="N1656" s="4"/>
      <c r="O1656" s="4"/>
      <c r="P1656" s="4"/>
      <c r="Q1656" s="4"/>
      <c r="R1656" s="4"/>
      <c r="S1656" s="4"/>
      <c r="T1656" s="4"/>
      <c r="U1656" s="4"/>
      <c r="V1656" s="4"/>
      <c r="W1656" s="4"/>
      <c r="X1656" s="4"/>
      <c r="Y1656" s="4"/>
      <c r="Z1656" s="4"/>
      <c r="AA1656" s="4"/>
      <c r="AB1656" s="4"/>
      <c r="AC1656" s="4"/>
      <c r="AD1656" s="4"/>
      <c r="AE1656" s="4"/>
      <c r="AF1656" s="4"/>
      <c r="AG1656" s="4"/>
    </row>
    <row r="1657" spans="2:33" x14ac:dyDescent="0.2">
      <c r="B1657" s="49" t="s">
        <v>1063</v>
      </c>
      <c r="C1657" s="13"/>
      <c r="D1657" s="45"/>
      <c r="E1657" s="85"/>
      <c r="F1657" s="16"/>
      <c r="G1657" s="15"/>
      <c r="H1657" s="15"/>
      <c r="I1657" s="4"/>
      <c r="J1657" s="4"/>
      <c r="K1657" s="4"/>
      <c r="L1657" s="4"/>
      <c r="M1657" s="4"/>
      <c r="N1657" s="4"/>
      <c r="O1657" s="4"/>
      <c r="P1657" s="4"/>
      <c r="Q1657" s="4"/>
      <c r="R1657" s="4"/>
      <c r="S1657" s="4"/>
      <c r="T1657" s="4"/>
      <c r="U1657" s="4"/>
      <c r="V1657" s="4"/>
      <c r="W1657" s="4"/>
      <c r="X1657" s="4"/>
      <c r="Y1657" s="4"/>
      <c r="Z1657" s="4"/>
      <c r="AA1657" s="4"/>
      <c r="AB1657" s="4"/>
      <c r="AC1657" s="4"/>
      <c r="AD1657" s="4"/>
      <c r="AE1657" s="4"/>
      <c r="AF1657" s="4"/>
      <c r="AG1657" s="4"/>
    </row>
    <row r="1658" spans="2:33" x14ac:dyDescent="0.2">
      <c r="B1658" s="52"/>
      <c r="C1658" s="56" t="s">
        <v>1064</v>
      </c>
      <c r="D1658" s="44"/>
      <c r="E1658" s="86" t="s">
        <v>1034</v>
      </c>
      <c r="F1658" s="20"/>
      <c r="G1658" s="19"/>
      <c r="H1658" s="21" t="b">
        <f>IF(D1660="x",H$2,H$1)</f>
        <v>0</v>
      </c>
      <c r="I1658" s="4"/>
      <c r="J1658" s="4"/>
      <c r="K1658" s="4"/>
      <c r="L1658" s="4"/>
      <c r="M1658" s="4"/>
      <c r="N1658" s="4"/>
      <c r="O1658" s="4"/>
      <c r="P1658" s="4"/>
      <c r="Q1658" s="4"/>
      <c r="R1658" s="4"/>
      <c r="S1658" s="4"/>
      <c r="T1658" s="4"/>
      <c r="U1658" s="4"/>
      <c r="V1658" s="4"/>
      <c r="W1658" s="4"/>
      <c r="X1658" s="4"/>
      <c r="Y1658" s="4"/>
      <c r="Z1658" s="4"/>
      <c r="AA1658" s="4"/>
      <c r="AB1658" s="4"/>
      <c r="AC1658" s="4"/>
      <c r="AD1658" s="4"/>
      <c r="AE1658" s="4"/>
      <c r="AF1658" s="4"/>
      <c r="AG1658" s="4"/>
    </row>
    <row r="1659" spans="2:33" x14ac:dyDescent="0.2">
      <c r="B1659" s="48"/>
      <c r="C1659" s="57" t="s">
        <v>1065</v>
      </c>
      <c r="D1659" s="44"/>
      <c r="E1659" s="86" t="s">
        <v>1035</v>
      </c>
      <c r="F1659" s="22" t="str">
        <f>IF(H1660=1,IF(H1658=H$2,H1658,""),"")</f>
        <v/>
      </c>
      <c r="G1659" s="19"/>
      <c r="H1659" s="21" t="str">
        <f t="shared" ref="H1659" si="554">IF(E$1747="comprobar",COUNTIF(D1658:D1662,"x"),"")</f>
        <v/>
      </c>
      <c r="I1659" s="4"/>
      <c r="J1659" s="4"/>
      <c r="K1659" s="4"/>
      <c r="L1659" s="4"/>
      <c r="M1659" s="4"/>
      <c r="N1659" s="4"/>
      <c r="O1659" s="4"/>
      <c r="P1659" s="4"/>
      <c r="Q1659" s="4"/>
      <c r="R1659" s="4"/>
      <c r="S1659" s="4"/>
      <c r="T1659" s="4"/>
      <c r="U1659" s="4"/>
      <c r="V1659" s="4"/>
      <c r="W1659" s="4"/>
      <c r="X1659" s="4"/>
      <c r="Y1659" s="4"/>
      <c r="Z1659" s="4"/>
      <c r="AA1659" s="4"/>
      <c r="AB1659" s="4"/>
      <c r="AC1659" s="4"/>
      <c r="AD1659" s="4"/>
      <c r="AE1659" s="4"/>
      <c r="AF1659" s="4"/>
      <c r="AG1659" s="4"/>
    </row>
    <row r="1660" spans="2:33" x14ac:dyDescent="0.2">
      <c r="B1660" s="48"/>
      <c r="C1660" s="57" t="s">
        <v>1066</v>
      </c>
      <c r="D1660" s="44"/>
      <c r="E1660" s="86" t="s">
        <v>1036</v>
      </c>
      <c r="F1660" s="23" t="str">
        <f>IF(H1660=-0.33,IF(H1658=H$1,H1658,""),"")</f>
        <v/>
      </c>
      <c r="G1660" s="19"/>
      <c r="H1660" s="24">
        <f t="shared" ref="H1660" si="555">IF(H1659=1,IF(H1658=H$2,1,-0.33),0)</f>
        <v>0</v>
      </c>
      <c r="I1660" s="4"/>
      <c r="J1660" s="4"/>
      <c r="K1660" s="4"/>
      <c r="L1660" s="4"/>
      <c r="M1660" s="4"/>
      <c r="N1660" s="4"/>
      <c r="O1660" s="4"/>
      <c r="P1660" s="4"/>
      <c r="Q1660" s="4"/>
      <c r="R1660" s="4"/>
      <c r="S1660" s="4"/>
      <c r="T1660" s="4"/>
      <c r="U1660" s="4"/>
      <c r="V1660" s="4"/>
      <c r="W1660" s="4"/>
      <c r="X1660" s="4"/>
      <c r="Y1660" s="4"/>
      <c r="Z1660" s="4"/>
      <c r="AA1660" s="4"/>
      <c r="AB1660" s="4"/>
      <c r="AC1660" s="4"/>
      <c r="AD1660" s="4"/>
      <c r="AE1660" s="4"/>
      <c r="AF1660" s="4"/>
      <c r="AG1660" s="4"/>
    </row>
    <row r="1661" spans="2:33" x14ac:dyDescent="0.2">
      <c r="B1661" s="52"/>
      <c r="C1661" s="57" t="s">
        <v>1067</v>
      </c>
      <c r="D1661" s="44"/>
      <c r="E1661" s="86" t="s">
        <v>1037</v>
      </c>
      <c r="F1661" s="20"/>
      <c r="G1661" s="19"/>
      <c r="H1661" s="24"/>
      <c r="I1661" s="4"/>
      <c r="J1661" s="4"/>
      <c r="K1661" s="4"/>
      <c r="L1661" s="4"/>
      <c r="M1661" s="4"/>
      <c r="N1661" s="4"/>
      <c r="O1661" s="4"/>
      <c r="P1661" s="4"/>
      <c r="Q1661" s="4"/>
      <c r="R1661" s="4"/>
      <c r="S1661" s="4"/>
      <c r="T1661" s="4"/>
      <c r="U1661" s="4"/>
      <c r="V1661" s="4"/>
      <c r="W1661" s="4"/>
      <c r="X1661" s="4"/>
      <c r="Y1661" s="4"/>
      <c r="Z1661" s="4"/>
      <c r="AA1661" s="4"/>
      <c r="AB1661" s="4"/>
      <c r="AC1661" s="4"/>
      <c r="AD1661" s="4"/>
      <c r="AE1661" s="4"/>
      <c r="AF1661" s="4"/>
      <c r="AG1661" s="4"/>
    </row>
    <row r="1662" spans="2:33" x14ac:dyDescent="0.2">
      <c r="B1662" s="48"/>
      <c r="C1662" s="8"/>
      <c r="D1662" s="44"/>
      <c r="E1662" s="86" t="s">
        <v>1038</v>
      </c>
      <c r="F1662" s="20"/>
      <c r="G1662" s="19"/>
      <c r="H1662" s="24"/>
      <c r="I1662" s="4"/>
      <c r="J1662" s="4"/>
      <c r="K1662" s="4"/>
      <c r="L1662" s="4"/>
      <c r="M1662" s="4"/>
      <c r="N1662" s="4"/>
      <c r="O1662" s="4"/>
      <c r="P1662" s="4"/>
      <c r="Q1662" s="4"/>
      <c r="R1662" s="4"/>
      <c r="S1662" s="4"/>
      <c r="T1662" s="4"/>
      <c r="U1662" s="4"/>
      <c r="V1662" s="4"/>
      <c r="W1662" s="4"/>
      <c r="X1662" s="4"/>
      <c r="Y1662" s="4"/>
      <c r="Z1662" s="4"/>
      <c r="AA1662" s="4"/>
      <c r="AB1662" s="4"/>
      <c r="AC1662" s="4"/>
      <c r="AD1662" s="4"/>
      <c r="AE1662" s="4"/>
      <c r="AF1662" s="4"/>
      <c r="AG1662" s="4"/>
    </row>
    <row r="1663" spans="2:33" x14ac:dyDescent="0.2">
      <c r="B1663" s="49" t="s">
        <v>1068</v>
      </c>
      <c r="C1663" s="13"/>
      <c r="D1663" s="45"/>
      <c r="E1663" s="85"/>
      <c r="F1663" s="16"/>
      <c r="G1663" s="15"/>
      <c r="H1663" s="15"/>
      <c r="I1663" s="4"/>
      <c r="J1663" s="4"/>
      <c r="K1663" s="4"/>
      <c r="L1663" s="4"/>
      <c r="M1663" s="4"/>
      <c r="N1663" s="4"/>
      <c r="O1663" s="4"/>
      <c r="P1663" s="4"/>
      <c r="Q1663" s="4"/>
      <c r="R1663" s="4"/>
      <c r="S1663" s="4"/>
      <c r="T1663" s="4"/>
      <c r="U1663" s="4"/>
      <c r="V1663" s="4"/>
      <c r="W1663" s="4"/>
      <c r="X1663" s="4"/>
      <c r="Y1663" s="4"/>
      <c r="Z1663" s="4"/>
      <c r="AA1663" s="4"/>
      <c r="AB1663" s="4"/>
      <c r="AC1663" s="4"/>
      <c r="AD1663" s="4"/>
      <c r="AE1663" s="4"/>
      <c r="AF1663" s="4"/>
      <c r="AG1663" s="4"/>
    </row>
    <row r="1664" spans="2:33" x14ac:dyDescent="0.2">
      <c r="B1664" s="48"/>
      <c r="C1664" s="56" t="s">
        <v>1069</v>
      </c>
      <c r="D1664" s="44"/>
      <c r="E1664" s="86" t="s">
        <v>1034</v>
      </c>
      <c r="F1664" s="20"/>
      <c r="G1664" s="19"/>
      <c r="H1664" s="21" t="b">
        <f>IF(D1666="x",H$2,H$1)</f>
        <v>0</v>
      </c>
      <c r="I1664" s="4"/>
      <c r="J1664" s="4"/>
      <c r="K1664" s="4"/>
      <c r="L1664" s="4"/>
      <c r="M1664" s="4"/>
      <c r="N1664" s="4"/>
      <c r="O1664" s="4"/>
      <c r="P1664" s="4"/>
      <c r="Q1664" s="4"/>
      <c r="R1664" s="4"/>
      <c r="S1664" s="4"/>
      <c r="T1664" s="4"/>
      <c r="U1664" s="4"/>
      <c r="V1664" s="4"/>
      <c r="W1664" s="4"/>
      <c r="X1664" s="4"/>
      <c r="Y1664" s="4"/>
      <c r="Z1664" s="4"/>
      <c r="AA1664" s="4"/>
      <c r="AB1664" s="4"/>
      <c r="AC1664" s="4"/>
      <c r="AD1664" s="4"/>
      <c r="AE1664" s="4"/>
      <c r="AF1664" s="4"/>
      <c r="AG1664" s="4"/>
    </row>
    <row r="1665" spans="2:33" x14ac:dyDescent="0.2">
      <c r="B1665" s="52"/>
      <c r="C1665" s="57" t="s">
        <v>1070</v>
      </c>
      <c r="D1665" s="44"/>
      <c r="E1665" s="86" t="s">
        <v>1035</v>
      </c>
      <c r="F1665" s="22" t="str">
        <f>IF(H1666=1,IF(H1664=H$2,H1664,""),"")</f>
        <v/>
      </c>
      <c r="G1665" s="19"/>
      <c r="H1665" s="21" t="str">
        <f t="shared" ref="H1665" si="556">IF(E$1747="comprobar",COUNTIF(D1664:D1668,"x"),"")</f>
        <v/>
      </c>
      <c r="I1665" s="4"/>
      <c r="J1665" s="4"/>
      <c r="K1665" s="4"/>
      <c r="L1665" s="4"/>
      <c r="M1665" s="4"/>
      <c r="N1665" s="4"/>
      <c r="O1665" s="4"/>
      <c r="P1665" s="4"/>
      <c r="Q1665" s="4"/>
      <c r="R1665" s="4"/>
      <c r="S1665" s="4"/>
      <c r="T1665" s="4"/>
      <c r="U1665" s="4"/>
      <c r="V1665" s="4"/>
      <c r="W1665" s="4"/>
      <c r="X1665" s="4"/>
      <c r="Y1665" s="4"/>
      <c r="Z1665" s="4"/>
      <c r="AA1665" s="4"/>
      <c r="AB1665" s="4"/>
      <c r="AC1665" s="4"/>
      <c r="AD1665" s="4"/>
      <c r="AE1665" s="4"/>
      <c r="AF1665" s="4"/>
      <c r="AG1665" s="4"/>
    </row>
    <row r="1666" spans="2:33" x14ac:dyDescent="0.2">
      <c r="B1666" s="52"/>
      <c r="C1666" s="57" t="s">
        <v>1071</v>
      </c>
      <c r="D1666" s="44"/>
      <c r="E1666" s="86" t="s">
        <v>1036</v>
      </c>
      <c r="F1666" s="23" t="str">
        <f>IF(H1666=-0.33,IF(H1664=H$1,H1664,""),"")</f>
        <v/>
      </c>
      <c r="G1666" s="19"/>
      <c r="H1666" s="24">
        <f t="shared" ref="H1666" si="557">IF(H1665=1,IF(H1664=H$2,1,-0.33),0)</f>
        <v>0</v>
      </c>
      <c r="I1666" s="4"/>
      <c r="J1666" s="4"/>
      <c r="K1666" s="4"/>
      <c r="L1666" s="4"/>
      <c r="M1666" s="4"/>
      <c r="N1666" s="4"/>
      <c r="O1666" s="4"/>
      <c r="P1666" s="4"/>
      <c r="Q1666" s="4"/>
      <c r="R1666" s="4"/>
      <c r="S1666" s="4"/>
      <c r="T1666" s="4"/>
      <c r="U1666" s="4"/>
      <c r="V1666" s="4"/>
      <c r="W1666" s="4"/>
      <c r="X1666" s="4"/>
      <c r="Y1666" s="4"/>
      <c r="Z1666" s="4"/>
      <c r="AA1666" s="4"/>
      <c r="AB1666" s="4"/>
      <c r="AC1666" s="4"/>
      <c r="AD1666" s="4"/>
      <c r="AE1666" s="4"/>
      <c r="AF1666" s="4"/>
      <c r="AG1666" s="4"/>
    </row>
    <row r="1667" spans="2:33" x14ac:dyDescent="0.2">
      <c r="B1667" s="48"/>
      <c r="C1667" s="57" t="s">
        <v>152</v>
      </c>
      <c r="D1667" s="44"/>
      <c r="E1667" s="86" t="s">
        <v>1037</v>
      </c>
      <c r="F1667" s="20"/>
      <c r="G1667" s="19"/>
      <c r="H1667" s="24"/>
      <c r="I1667" s="4"/>
      <c r="J1667" s="4"/>
      <c r="K1667" s="4"/>
      <c r="L1667" s="4"/>
      <c r="M1667" s="4"/>
      <c r="N1667" s="4"/>
      <c r="O1667" s="4"/>
      <c r="P1667" s="4"/>
      <c r="Q1667" s="4"/>
      <c r="R1667" s="4"/>
      <c r="S1667" s="4"/>
      <c r="T1667" s="4"/>
      <c r="U1667" s="4"/>
      <c r="V1667" s="4"/>
      <c r="W1667" s="4"/>
      <c r="X1667" s="4"/>
      <c r="Y1667" s="4"/>
      <c r="Z1667" s="4"/>
      <c r="AA1667" s="4"/>
      <c r="AB1667" s="4"/>
      <c r="AC1667" s="4"/>
      <c r="AD1667" s="4"/>
      <c r="AE1667" s="4"/>
      <c r="AF1667" s="4"/>
      <c r="AG1667" s="4"/>
    </row>
    <row r="1668" spans="2:33" x14ac:dyDescent="0.2">
      <c r="B1668" s="48"/>
      <c r="C1668" s="8"/>
      <c r="D1668" s="44"/>
      <c r="E1668" s="86" t="s">
        <v>1038</v>
      </c>
      <c r="F1668" s="20"/>
      <c r="G1668" s="19"/>
      <c r="H1668" s="24"/>
      <c r="I1668" s="4"/>
      <c r="J1668" s="4"/>
      <c r="K1668" s="4"/>
      <c r="L1668" s="4"/>
      <c r="M1668" s="4"/>
      <c r="N1668" s="4"/>
      <c r="O1668" s="4"/>
      <c r="P1668" s="4"/>
      <c r="Q1668" s="4"/>
      <c r="R1668" s="4"/>
      <c r="S1668" s="4"/>
      <c r="T1668" s="4"/>
      <c r="U1668" s="4"/>
      <c r="V1668" s="4"/>
      <c r="W1668" s="4"/>
      <c r="X1668" s="4"/>
      <c r="Y1668" s="4"/>
      <c r="Z1668" s="4"/>
      <c r="AA1668" s="4"/>
      <c r="AB1668" s="4"/>
      <c r="AC1668" s="4"/>
      <c r="AD1668" s="4"/>
      <c r="AE1668" s="4"/>
      <c r="AF1668" s="4"/>
      <c r="AG1668" s="4"/>
    </row>
    <row r="1669" spans="2:33" x14ac:dyDescent="0.2">
      <c r="B1669" s="49" t="s">
        <v>1072</v>
      </c>
      <c r="C1669" s="13"/>
      <c r="D1669" s="45"/>
      <c r="E1669" s="85"/>
      <c r="F1669" s="16"/>
      <c r="G1669" s="15"/>
      <c r="H1669" s="15"/>
      <c r="I1669" s="4"/>
      <c r="J1669" s="4"/>
      <c r="K1669" s="4"/>
      <c r="L1669" s="4"/>
      <c r="M1669" s="4"/>
      <c r="N1669" s="4"/>
      <c r="O1669" s="4"/>
      <c r="P1669" s="4"/>
      <c r="Q1669" s="4"/>
      <c r="R1669" s="4"/>
      <c r="S1669" s="4"/>
      <c r="T1669" s="4"/>
      <c r="U1669" s="4"/>
      <c r="V1669" s="4"/>
      <c r="W1669" s="4"/>
      <c r="X1669" s="4"/>
      <c r="Y1669" s="4"/>
      <c r="Z1669" s="4"/>
      <c r="AA1669" s="4"/>
      <c r="AB1669" s="4"/>
      <c r="AC1669" s="4"/>
      <c r="AD1669" s="4"/>
      <c r="AE1669" s="4"/>
      <c r="AF1669" s="4"/>
      <c r="AG1669" s="4"/>
    </row>
    <row r="1670" spans="2:33" x14ac:dyDescent="0.2">
      <c r="B1670" s="52"/>
      <c r="C1670" s="56" t="s">
        <v>1073</v>
      </c>
      <c r="D1670" s="44"/>
      <c r="E1670" s="86" t="s">
        <v>1034</v>
      </c>
      <c r="F1670" s="20"/>
      <c r="G1670" s="19"/>
      <c r="H1670" s="21" t="b">
        <f>IF(D1671="x",H$2,H$1)</f>
        <v>0</v>
      </c>
      <c r="I1670" s="4"/>
      <c r="J1670" s="4"/>
      <c r="K1670" s="4"/>
      <c r="L1670" s="4"/>
      <c r="M1670" s="4"/>
      <c r="N1670" s="4"/>
      <c r="O1670" s="4"/>
      <c r="P1670" s="4"/>
      <c r="Q1670" s="4"/>
      <c r="R1670" s="4"/>
      <c r="S1670" s="4"/>
      <c r="T1670" s="4"/>
      <c r="U1670" s="4"/>
      <c r="V1670" s="4"/>
      <c r="W1670" s="4"/>
      <c r="X1670" s="4"/>
      <c r="Y1670" s="4"/>
      <c r="Z1670" s="4"/>
      <c r="AA1670" s="4"/>
      <c r="AB1670" s="4"/>
      <c r="AC1670" s="4"/>
      <c r="AD1670" s="4"/>
      <c r="AE1670" s="4"/>
      <c r="AF1670" s="4"/>
      <c r="AG1670" s="4"/>
    </row>
    <row r="1671" spans="2:33" x14ac:dyDescent="0.2">
      <c r="B1671" s="48"/>
      <c r="C1671" s="57" t="s">
        <v>1074</v>
      </c>
      <c r="D1671" s="44"/>
      <c r="E1671" s="86" t="s">
        <v>1035</v>
      </c>
      <c r="F1671" s="22" t="str">
        <f>IF(H1672=1,IF(H1670=H$2,H1670,""),"")</f>
        <v/>
      </c>
      <c r="G1671" s="19"/>
      <c r="H1671" s="21" t="str">
        <f t="shared" ref="H1671" si="558">IF(E$1747="comprobar",COUNTIF(D1670:D1674,"x"),"")</f>
        <v/>
      </c>
      <c r="I1671" s="4"/>
      <c r="J1671" s="4"/>
      <c r="K1671" s="4"/>
      <c r="L1671" s="4"/>
      <c r="M1671" s="4"/>
      <c r="N1671" s="4"/>
      <c r="O1671" s="4"/>
      <c r="P1671" s="4"/>
      <c r="Q1671" s="4"/>
      <c r="R1671" s="4"/>
      <c r="S1671" s="4"/>
      <c r="T1671" s="4"/>
      <c r="U1671" s="4"/>
      <c r="V1671" s="4"/>
      <c r="W1671" s="4"/>
      <c r="X1671" s="4"/>
      <c r="Y1671" s="4"/>
      <c r="Z1671" s="4"/>
      <c r="AA1671" s="4"/>
      <c r="AB1671" s="4"/>
      <c r="AC1671" s="4"/>
      <c r="AD1671" s="4"/>
      <c r="AE1671" s="4"/>
      <c r="AF1671" s="4"/>
      <c r="AG1671" s="4"/>
    </row>
    <row r="1672" spans="2:33" x14ac:dyDescent="0.2">
      <c r="B1672" s="52"/>
      <c r="C1672" s="57" t="s">
        <v>1075</v>
      </c>
      <c r="D1672" s="44"/>
      <c r="E1672" s="86" t="s">
        <v>1036</v>
      </c>
      <c r="F1672" s="23" t="str">
        <f>IF(H1672=-0.33,IF(H1670=H$1,H1670,""),"")</f>
        <v/>
      </c>
      <c r="G1672" s="19"/>
      <c r="H1672" s="24">
        <f t="shared" ref="H1672" si="559">IF(H1671=1,IF(H1670=H$2,1,-0.33),0)</f>
        <v>0</v>
      </c>
      <c r="I1672" s="4"/>
      <c r="J1672" s="4"/>
      <c r="K1672" s="4"/>
      <c r="L1672" s="4"/>
      <c r="M1672" s="4"/>
      <c r="N1672" s="4"/>
      <c r="O1672" s="4"/>
      <c r="P1672" s="4"/>
      <c r="Q1672" s="4"/>
      <c r="R1672" s="4"/>
      <c r="S1672" s="4"/>
      <c r="T1672" s="4"/>
      <c r="U1672" s="4"/>
      <c r="V1672" s="4"/>
      <c r="W1672" s="4"/>
      <c r="X1672" s="4"/>
      <c r="Y1672" s="4"/>
      <c r="Z1672" s="4"/>
      <c r="AA1672" s="4"/>
      <c r="AB1672" s="4"/>
      <c r="AC1672" s="4"/>
      <c r="AD1672" s="4"/>
      <c r="AE1672" s="4"/>
      <c r="AF1672" s="4"/>
      <c r="AG1672" s="4"/>
    </row>
    <row r="1673" spans="2:33" x14ac:dyDescent="0.2">
      <c r="B1673" s="48"/>
      <c r="C1673" s="57" t="s">
        <v>1076</v>
      </c>
      <c r="D1673" s="44"/>
      <c r="E1673" s="86" t="s">
        <v>1037</v>
      </c>
      <c r="F1673" s="20"/>
      <c r="G1673" s="19"/>
      <c r="H1673" s="24"/>
      <c r="I1673" s="4"/>
      <c r="J1673" s="4"/>
      <c r="K1673" s="4"/>
      <c r="L1673" s="4"/>
      <c r="M1673" s="4"/>
      <c r="N1673" s="4"/>
      <c r="O1673" s="4"/>
      <c r="P1673" s="4"/>
      <c r="Q1673" s="4"/>
      <c r="R1673" s="4"/>
      <c r="S1673" s="4"/>
      <c r="T1673" s="4"/>
      <c r="U1673" s="4"/>
      <c r="V1673" s="4"/>
      <c r="W1673" s="4"/>
      <c r="X1673" s="4"/>
      <c r="Y1673" s="4"/>
      <c r="Z1673" s="4"/>
      <c r="AA1673" s="4"/>
      <c r="AB1673" s="4"/>
      <c r="AC1673" s="4"/>
      <c r="AD1673" s="4"/>
      <c r="AE1673" s="4"/>
      <c r="AF1673" s="4"/>
      <c r="AG1673" s="4"/>
    </row>
    <row r="1674" spans="2:33" x14ac:dyDescent="0.2">
      <c r="B1674" s="48"/>
      <c r="C1674" s="8"/>
      <c r="D1674" s="44"/>
      <c r="E1674" s="86" t="s">
        <v>1038</v>
      </c>
      <c r="F1674" s="20"/>
      <c r="G1674" s="19"/>
      <c r="H1674" s="24"/>
      <c r="I1674" s="4"/>
      <c r="J1674" s="4"/>
      <c r="K1674" s="4"/>
      <c r="L1674" s="4"/>
      <c r="M1674" s="4"/>
      <c r="N1674" s="4"/>
      <c r="O1674" s="4"/>
      <c r="P1674" s="4"/>
      <c r="Q1674" s="4"/>
      <c r="R1674" s="4"/>
      <c r="S1674" s="4"/>
      <c r="T1674" s="4"/>
      <c r="U1674" s="4"/>
      <c r="V1674" s="4"/>
      <c r="W1674" s="4"/>
      <c r="X1674" s="4"/>
      <c r="Y1674" s="4"/>
      <c r="Z1674" s="4"/>
      <c r="AA1674" s="4"/>
      <c r="AB1674" s="4"/>
      <c r="AC1674" s="4"/>
      <c r="AD1674" s="4"/>
      <c r="AE1674" s="4"/>
      <c r="AF1674" s="4"/>
      <c r="AG1674" s="4"/>
    </row>
    <row r="1675" spans="2:33" x14ac:dyDescent="0.2">
      <c r="B1675" s="49" t="s">
        <v>1077</v>
      </c>
      <c r="C1675" s="13"/>
      <c r="D1675" s="45"/>
      <c r="E1675" s="85"/>
      <c r="F1675" s="16"/>
      <c r="G1675" s="15"/>
      <c r="H1675" s="15"/>
      <c r="I1675" s="4"/>
      <c r="J1675" s="4"/>
      <c r="K1675" s="4"/>
      <c r="L1675" s="4"/>
      <c r="M1675" s="4"/>
      <c r="N1675" s="4"/>
      <c r="O1675" s="4"/>
      <c r="P1675" s="4"/>
      <c r="Q1675" s="4"/>
      <c r="R1675" s="4"/>
      <c r="S1675" s="4"/>
      <c r="T1675" s="4"/>
      <c r="U1675" s="4"/>
      <c r="V1675" s="4"/>
      <c r="W1675" s="4"/>
      <c r="X1675" s="4"/>
      <c r="Y1675" s="4"/>
      <c r="Z1675" s="4"/>
      <c r="AA1675" s="4"/>
      <c r="AB1675" s="4"/>
      <c r="AC1675" s="4"/>
      <c r="AD1675" s="4"/>
      <c r="AE1675" s="4"/>
      <c r="AF1675" s="4"/>
      <c r="AG1675" s="4"/>
    </row>
    <row r="1676" spans="2:33" x14ac:dyDescent="0.2">
      <c r="B1676" s="52"/>
      <c r="C1676" s="56" t="s">
        <v>1078</v>
      </c>
      <c r="D1676" s="44"/>
      <c r="E1676" s="86" t="s">
        <v>1034</v>
      </c>
      <c r="F1676" s="20"/>
      <c r="G1676" s="19"/>
      <c r="H1676" s="21" t="b">
        <f>IF(D1679="x",H$2,H$1)</f>
        <v>0</v>
      </c>
      <c r="I1676" s="4"/>
      <c r="J1676" s="4"/>
      <c r="K1676" s="4"/>
      <c r="L1676" s="4"/>
      <c r="M1676" s="4"/>
      <c r="N1676" s="4"/>
      <c r="O1676" s="4"/>
      <c r="P1676" s="4"/>
      <c r="Q1676" s="4"/>
      <c r="R1676" s="4"/>
      <c r="S1676" s="4"/>
      <c r="T1676" s="4"/>
      <c r="U1676" s="4"/>
      <c r="V1676" s="4"/>
      <c r="W1676" s="4"/>
      <c r="X1676" s="4"/>
      <c r="Y1676" s="4"/>
      <c r="Z1676" s="4"/>
      <c r="AA1676" s="4"/>
      <c r="AB1676" s="4"/>
      <c r="AC1676" s="4"/>
      <c r="AD1676" s="4"/>
      <c r="AE1676" s="4"/>
      <c r="AF1676" s="4"/>
      <c r="AG1676" s="4"/>
    </row>
    <row r="1677" spans="2:33" ht="32" x14ac:dyDescent="0.2">
      <c r="B1677" s="48"/>
      <c r="C1677" s="61" t="s">
        <v>1079</v>
      </c>
      <c r="D1677" s="44"/>
      <c r="E1677" s="86" t="s">
        <v>1035</v>
      </c>
      <c r="F1677" s="22" t="str">
        <f>IF(H1678=1,IF(H1676=H$2,H1676,""),"")</f>
        <v/>
      </c>
      <c r="G1677" s="19"/>
      <c r="H1677" s="21" t="str">
        <f t="shared" ref="H1677" si="560">IF(E$1747="comprobar",COUNTIF(D1676:D1680,"x"),"")</f>
        <v/>
      </c>
      <c r="I1677" s="4"/>
      <c r="J1677" s="4"/>
      <c r="K1677" s="4"/>
      <c r="L1677" s="4"/>
      <c r="M1677" s="4"/>
      <c r="N1677" s="4"/>
      <c r="O1677" s="4"/>
      <c r="P1677" s="4"/>
      <c r="Q1677" s="4"/>
      <c r="R1677" s="4"/>
      <c r="S1677" s="4"/>
      <c r="T1677" s="4"/>
      <c r="U1677" s="4"/>
      <c r="V1677" s="4"/>
      <c r="W1677" s="4"/>
      <c r="X1677" s="4"/>
      <c r="Y1677" s="4"/>
      <c r="Z1677" s="4"/>
      <c r="AA1677" s="4"/>
      <c r="AB1677" s="4"/>
      <c r="AC1677" s="4"/>
      <c r="AD1677" s="4"/>
      <c r="AE1677" s="4"/>
      <c r="AF1677" s="4"/>
      <c r="AG1677" s="4"/>
    </row>
    <row r="1678" spans="2:33" x14ac:dyDescent="0.2">
      <c r="B1678" s="48"/>
      <c r="C1678" s="61" t="s">
        <v>1080</v>
      </c>
      <c r="D1678" s="44"/>
      <c r="E1678" s="86" t="s">
        <v>1036</v>
      </c>
      <c r="F1678" s="23" t="str">
        <f>IF(H1678=-0.33,IF(H1676=H$1,H1676,""),"")</f>
        <v/>
      </c>
      <c r="G1678" s="19"/>
      <c r="H1678" s="24">
        <f t="shared" ref="H1678" si="561">IF(H1677=1,IF(H1676=H$2,1,-0.33),0)</f>
        <v>0</v>
      </c>
      <c r="I1678" s="4"/>
      <c r="J1678" s="4"/>
      <c r="K1678" s="4"/>
      <c r="L1678" s="4"/>
      <c r="M1678" s="4"/>
      <c r="N1678" s="4"/>
      <c r="O1678" s="4"/>
      <c r="P1678" s="4"/>
      <c r="Q1678" s="4"/>
      <c r="R1678" s="4"/>
      <c r="S1678" s="4"/>
      <c r="T1678" s="4"/>
      <c r="U1678" s="4"/>
      <c r="V1678" s="4"/>
      <c r="W1678" s="4"/>
      <c r="X1678" s="4"/>
      <c r="Y1678" s="4"/>
      <c r="Z1678" s="4"/>
      <c r="AA1678" s="4"/>
      <c r="AB1678" s="4"/>
      <c r="AC1678" s="4"/>
      <c r="AD1678" s="4"/>
      <c r="AE1678" s="4"/>
      <c r="AF1678" s="4"/>
      <c r="AG1678" s="4"/>
    </row>
    <row r="1679" spans="2:33" x14ac:dyDescent="0.2">
      <c r="B1679" s="48"/>
      <c r="C1679" s="57" t="s">
        <v>622</v>
      </c>
      <c r="D1679" s="44"/>
      <c r="E1679" s="86" t="s">
        <v>1037</v>
      </c>
      <c r="F1679" s="20"/>
      <c r="G1679" s="19"/>
      <c r="H1679" s="24"/>
      <c r="I1679" s="4"/>
      <c r="J1679" s="4"/>
      <c r="K1679" s="4"/>
      <c r="L1679" s="4"/>
      <c r="M1679" s="4"/>
      <c r="N1679" s="4"/>
      <c r="O1679" s="4"/>
      <c r="P1679" s="4"/>
      <c r="Q1679" s="4"/>
      <c r="R1679" s="4"/>
      <c r="S1679" s="4"/>
      <c r="T1679" s="4"/>
      <c r="U1679" s="4"/>
      <c r="V1679" s="4"/>
      <c r="W1679" s="4"/>
      <c r="X1679" s="4"/>
      <c r="Y1679" s="4"/>
      <c r="Z1679" s="4"/>
      <c r="AA1679" s="4"/>
      <c r="AB1679" s="4"/>
      <c r="AC1679" s="4"/>
      <c r="AD1679" s="4"/>
      <c r="AE1679" s="4"/>
      <c r="AF1679" s="4"/>
      <c r="AG1679" s="4"/>
    </row>
    <row r="1680" spans="2:33" x14ac:dyDescent="0.2">
      <c r="B1680" s="48"/>
      <c r="C1680" s="8"/>
      <c r="D1680" s="44"/>
      <c r="E1680" s="86" t="s">
        <v>1038</v>
      </c>
      <c r="F1680" s="12"/>
      <c r="G1680" s="19"/>
      <c r="H1680" s="24"/>
      <c r="I1680" s="4"/>
      <c r="J1680" s="4"/>
      <c r="K1680" s="4"/>
      <c r="L1680" s="4"/>
      <c r="M1680" s="4"/>
      <c r="N1680" s="4"/>
      <c r="O1680" s="4"/>
      <c r="P1680" s="4"/>
      <c r="Q1680" s="4"/>
      <c r="R1680" s="4"/>
      <c r="S1680" s="4"/>
      <c r="T1680" s="4"/>
      <c r="U1680" s="4"/>
      <c r="V1680" s="4"/>
      <c r="W1680" s="4"/>
      <c r="X1680" s="4"/>
      <c r="Y1680" s="4"/>
      <c r="Z1680" s="4"/>
      <c r="AA1680" s="4"/>
      <c r="AB1680" s="4"/>
      <c r="AC1680" s="4"/>
      <c r="AD1680" s="4"/>
      <c r="AE1680" s="4"/>
      <c r="AF1680" s="4"/>
      <c r="AG1680" s="4"/>
    </row>
    <row r="1681" spans="2:33" x14ac:dyDescent="0.2">
      <c r="B1681" s="49" t="s">
        <v>1081</v>
      </c>
      <c r="C1681" s="13"/>
      <c r="D1681" s="45"/>
      <c r="E1681" s="85"/>
      <c r="F1681" s="30"/>
      <c r="G1681" s="29"/>
      <c r="H1681" s="15"/>
      <c r="I1681" s="4"/>
      <c r="J1681" s="4"/>
      <c r="K1681" s="4"/>
      <c r="L1681" s="4"/>
      <c r="M1681" s="4"/>
      <c r="N1681" s="4"/>
      <c r="O1681" s="4"/>
      <c r="P1681" s="4"/>
      <c r="Q1681" s="4"/>
      <c r="R1681" s="4"/>
      <c r="S1681" s="4"/>
      <c r="T1681" s="4"/>
      <c r="U1681" s="4"/>
      <c r="V1681" s="4"/>
      <c r="W1681" s="4"/>
      <c r="X1681" s="4"/>
      <c r="Y1681" s="4"/>
      <c r="Z1681" s="4"/>
      <c r="AA1681" s="4"/>
      <c r="AB1681" s="4"/>
      <c r="AC1681" s="4"/>
      <c r="AD1681" s="4"/>
      <c r="AE1681" s="4"/>
      <c r="AF1681" s="4"/>
      <c r="AG1681" s="4"/>
    </row>
    <row r="1682" spans="2:33" x14ac:dyDescent="0.2">
      <c r="B1682" s="48"/>
      <c r="C1682" s="56" t="s">
        <v>1082</v>
      </c>
      <c r="D1682" s="44"/>
      <c r="E1682" s="86" t="s">
        <v>1034</v>
      </c>
      <c r="F1682" s="27"/>
      <c r="G1682" s="26"/>
      <c r="H1682" s="21" t="b">
        <f>IF(D1682="x",H$2,H$1)</f>
        <v>0</v>
      </c>
      <c r="I1682" s="4"/>
      <c r="J1682" s="4"/>
      <c r="K1682" s="4"/>
      <c r="L1682" s="4"/>
      <c r="M1682" s="4"/>
      <c r="N1682" s="4"/>
      <c r="O1682" s="4"/>
      <c r="P1682" s="4"/>
      <c r="Q1682" s="4"/>
      <c r="R1682" s="4"/>
      <c r="S1682" s="4"/>
      <c r="T1682" s="4"/>
      <c r="U1682" s="4"/>
      <c r="V1682" s="4"/>
      <c r="W1682" s="4"/>
      <c r="X1682" s="4"/>
      <c r="Y1682" s="4"/>
      <c r="Z1682" s="4"/>
      <c r="AA1682" s="4"/>
      <c r="AB1682" s="4"/>
      <c r="AC1682" s="4"/>
      <c r="AD1682" s="4"/>
      <c r="AE1682" s="4"/>
      <c r="AF1682" s="4"/>
      <c r="AG1682" s="4"/>
    </row>
    <row r="1683" spans="2:33" x14ac:dyDescent="0.2">
      <c r="B1683" s="48"/>
      <c r="C1683" s="57" t="s">
        <v>1083</v>
      </c>
      <c r="D1683" s="44"/>
      <c r="E1683" s="86" t="s">
        <v>1035</v>
      </c>
      <c r="F1683" s="22" t="str">
        <f>IF(H1684=1,IF(H1682=H$2,H1682,""),"")</f>
        <v/>
      </c>
      <c r="G1683" s="26"/>
      <c r="H1683" s="21" t="str">
        <f t="shared" ref="H1683" si="562">IF(E$1747="comprobar",COUNTIF(D1682:D1686,"x"),"")</f>
        <v/>
      </c>
      <c r="I1683" s="4"/>
      <c r="J1683" s="4"/>
      <c r="K1683" s="4"/>
      <c r="L1683" s="4"/>
      <c r="M1683" s="4"/>
      <c r="N1683" s="4"/>
      <c r="O1683" s="4"/>
      <c r="P1683" s="4"/>
      <c r="Q1683" s="4"/>
      <c r="R1683" s="4"/>
      <c r="S1683" s="4"/>
      <c r="T1683" s="4"/>
      <c r="U1683" s="4"/>
      <c r="V1683" s="4"/>
      <c r="W1683" s="4"/>
      <c r="X1683" s="4"/>
      <c r="Y1683" s="4"/>
      <c r="Z1683" s="4"/>
      <c r="AA1683" s="4"/>
      <c r="AB1683" s="4"/>
      <c r="AC1683" s="4"/>
      <c r="AD1683" s="4"/>
      <c r="AE1683" s="4"/>
      <c r="AF1683" s="4"/>
      <c r="AG1683" s="4"/>
    </row>
    <row r="1684" spans="2:33" x14ac:dyDescent="0.2">
      <c r="B1684" s="52"/>
      <c r="C1684" s="57" t="s">
        <v>1084</v>
      </c>
      <c r="D1684" s="44"/>
      <c r="E1684" s="86" t="s">
        <v>1036</v>
      </c>
      <c r="F1684" s="23" t="str">
        <f>IF(H1684=-0.33,IF(H1682=H$1,H1682,""),"")</f>
        <v/>
      </c>
      <c r="G1684" s="26"/>
      <c r="H1684" s="24">
        <f t="shared" ref="H1684" si="563">IF(H1683=1,IF(H1682=H$2,1,-0.33),0)</f>
        <v>0</v>
      </c>
      <c r="I1684" s="4"/>
      <c r="J1684" s="4"/>
      <c r="K1684" s="4"/>
      <c r="L1684" s="4"/>
      <c r="M1684" s="4"/>
      <c r="N1684" s="4"/>
      <c r="O1684" s="4"/>
      <c r="P1684" s="4"/>
      <c r="Q1684" s="4"/>
      <c r="R1684" s="4"/>
      <c r="S1684" s="4"/>
      <c r="T1684" s="4"/>
      <c r="U1684" s="4"/>
      <c r="V1684" s="4"/>
      <c r="W1684" s="4"/>
      <c r="X1684" s="4"/>
      <c r="Y1684" s="4"/>
      <c r="Z1684" s="4"/>
      <c r="AA1684" s="4"/>
      <c r="AB1684" s="4"/>
      <c r="AC1684" s="4"/>
      <c r="AD1684" s="4"/>
      <c r="AE1684" s="4"/>
      <c r="AF1684" s="4"/>
      <c r="AG1684" s="4"/>
    </row>
    <row r="1685" spans="2:33" x14ac:dyDescent="0.2">
      <c r="B1685" s="48"/>
      <c r="C1685" s="57" t="s">
        <v>1085</v>
      </c>
      <c r="D1685" s="44"/>
      <c r="E1685" s="86" t="s">
        <v>1037</v>
      </c>
      <c r="F1685" s="28"/>
      <c r="G1685" s="26"/>
      <c r="H1685" s="24"/>
      <c r="I1685" s="4"/>
      <c r="J1685" s="4"/>
      <c r="K1685" s="4"/>
      <c r="L1685" s="4"/>
      <c r="M1685" s="4"/>
      <c r="N1685" s="4"/>
      <c r="O1685" s="4"/>
      <c r="P1685" s="4"/>
      <c r="Q1685" s="4"/>
      <c r="R1685" s="4"/>
      <c r="S1685" s="4"/>
      <c r="T1685" s="4"/>
      <c r="U1685" s="4"/>
      <c r="V1685" s="4"/>
      <c r="W1685" s="4"/>
      <c r="X1685" s="4"/>
      <c r="Y1685" s="4"/>
      <c r="Z1685" s="4"/>
      <c r="AA1685" s="4"/>
      <c r="AB1685" s="4"/>
      <c r="AC1685" s="4"/>
      <c r="AD1685" s="4"/>
      <c r="AE1685" s="4"/>
      <c r="AF1685" s="4"/>
      <c r="AG1685" s="4"/>
    </row>
    <row r="1686" spans="2:33" x14ac:dyDescent="0.2">
      <c r="B1686" s="48"/>
      <c r="C1686" s="8"/>
      <c r="D1686" s="44"/>
      <c r="E1686" s="86" t="s">
        <v>1038</v>
      </c>
      <c r="F1686" s="28"/>
      <c r="G1686" s="26"/>
      <c r="H1686" s="24"/>
      <c r="I1686" s="4"/>
      <c r="J1686" s="4"/>
      <c r="K1686" s="4"/>
      <c r="L1686" s="4"/>
      <c r="M1686" s="4"/>
      <c r="N1686" s="4"/>
      <c r="O1686" s="4"/>
      <c r="P1686" s="4"/>
      <c r="Q1686" s="4"/>
      <c r="R1686" s="4"/>
      <c r="S1686" s="4"/>
      <c r="T1686" s="4"/>
      <c r="U1686" s="4"/>
      <c r="V1686" s="4"/>
      <c r="W1686" s="4"/>
      <c r="X1686" s="4"/>
      <c r="Y1686" s="4"/>
      <c r="Z1686" s="4"/>
      <c r="AA1686" s="4"/>
      <c r="AB1686" s="4"/>
      <c r="AC1686" s="4"/>
      <c r="AD1686" s="4"/>
      <c r="AE1686" s="4"/>
      <c r="AF1686" s="4"/>
      <c r="AG1686" s="4"/>
    </row>
    <row r="1687" spans="2:33" x14ac:dyDescent="0.2">
      <c r="B1687" s="49" t="s">
        <v>1086</v>
      </c>
      <c r="C1687" s="13"/>
      <c r="D1687" s="45"/>
      <c r="E1687" s="85"/>
      <c r="F1687" s="30"/>
      <c r="G1687" s="29"/>
      <c r="H1687" s="15"/>
      <c r="I1687" s="4"/>
      <c r="J1687" s="4"/>
      <c r="K1687" s="4"/>
      <c r="L1687" s="4"/>
      <c r="M1687" s="4"/>
      <c r="N1687" s="4"/>
      <c r="O1687" s="4"/>
      <c r="P1687" s="4"/>
      <c r="Q1687" s="4"/>
      <c r="R1687" s="4"/>
      <c r="S1687" s="4"/>
      <c r="T1687" s="4"/>
      <c r="U1687" s="4"/>
      <c r="V1687" s="4"/>
      <c r="W1687" s="4"/>
      <c r="X1687" s="4"/>
      <c r="Y1687" s="4"/>
      <c r="Z1687" s="4"/>
      <c r="AA1687" s="4"/>
      <c r="AB1687" s="4"/>
      <c r="AC1687" s="4"/>
      <c r="AD1687" s="4"/>
      <c r="AE1687" s="4"/>
      <c r="AF1687" s="4"/>
      <c r="AG1687" s="4"/>
    </row>
    <row r="1688" spans="2:33" x14ac:dyDescent="0.2">
      <c r="B1688" s="48"/>
      <c r="C1688" s="56" t="s">
        <v>1087</v>
      </c>
      <c r="D1688" s="44"/>
      <c r="E1688" s="86" t="s">
        <v>1034</v>
      </c>
      <c r="F1688" s="27"/>
      <c r="G1688" s="26"/>
      <c r="H1688" s="21" t="b">
        <f>IF(D1690="x",H$2,H$1)</f>
        <v>0</v>
      </c>
      <c r="I1688" s="4"/>
      <c r="J1688" s="4"/>
      <c r="K1688" s="4"/>
      <c r="L1688" s="4"/>
      <c r="M1688" s="4"/>
      <c r="N1688" s="4"/>
      <c r="O1688" s="4"/>
      <c r="P1688" s="4"/>
      <c r="Q1688" s="4"/>
      <c r="R1688" s="4"/>
      <c r="S1688" s="4"/>
      <c r="T1688" s="4"/>
      <c r="U1688" s="4"/>
      <c r="V1688" s="4"/>
      <c r="W1688" s="4"/>
      <c r="X1688" s="4"/>
      <c r="Y1688" s="4"/>
      <c r="Z1688" s="4"/>
      <c r="AA1688" s="4"/>
      <c r="AB1688" s="4"/>
      <c r="AC1688" s="4"/>
      <c r="AD1688" s="4"/>
      <c r="AE1688" s="4"/>
      <c r="AF1688" s="4"/>
      <c r="AG1688" s="4"/>
    </row>
    <row r="1689" spans="2:33" x14ac:dyDescent="0.2">
      <c r="B1689" s="48"/>
      <c r="C1689" s="57" t="s">
        <v>1088</v>
      </c>
      <c r="D1689" s="44"/>
      <c r="E1689" s="86" t="s">
        <v>1035</v>
      </c>
      <c r="F1689" s="22" t="str">
        <f>IF(H1690=1,IF(H1688=H$2,H1688,""),"")</f>
        <v/>
      </c>
      <c r="G1689" s="26"/>
      <c r="H1689" s="21" t="str">
        <f t="shared" ref="H1689" si="564">IF(E$1747="comprobar",COUNTIF(D1688:D1692,"x"),"")</f>
        <v/>
      </c>
      <c r="I1689" s="4"/>
      <c r="J1689" s="4"/>
      <c r="K1689" s="4"/>
      <c r="L1689" s="4"/>
      <c r="M1689" s="4"/>
      <c r="N1689" s="4"/>
      <c r="O1689" s="4"/>
      <c r="P1689" s="4"/>
      <c r="Q1689" s="4"/>
      <c r="R1689" s="4"/>
      <c r="S1689" s="4"/>
      <c r="T1689" s="4"/>
      <c r="U1689" s="4"/>
      <c r="V1689" s="4"/>
      <c r="W1689" s="4"/>
      <c r="X1689" s="4"/>
      <c r="Y1689" s="4"/>
      <c r="Z1689" s="4"/>
      <c r="AA1689" s="4"/>
      <c r="AB1689" s="4"/>
      <c r="AC1689" s="4"/>
      <c r="AD1689" s="4"/>
      <c r="AE1689" s="4"/>
      <c r="AF1689" s="4"/>
      <c r="AG1689" s="4"/>
    </row>
    <row r="1690" spans="2:33" x14ac:dyDescent="0.2">
      <c r="B1690" s="52"/>
      <c r="C1690" s="57" t="s">
        <v>1089</v>
      </c>
      <c r="D1690" s="44"/>
      <c r="E1690" s="86" t="s">
        <v>1036</v>
      </c>
      <c r="F1690" s="23" t="str">
        <f>IF(H1690=-0.33,IF(H1688=H$1,H1688,""),"")</f>
        <v/>
      </c>
      <c r="G1690" s="26"/>
      <c r="H1690" s="24">
        <f t="shared" ref="H1690" si="565">IF(H1689=1,IF(H1688=H$2,1,-0.33),0)</f>
        <v>0</v>
      </c>
      <c r="I1690" s="4"/>
      <c r="J1690" s="4"/>
      <c r="K1690" s="4"/>
      <c r="L1690" s="4"/>
      <c r="M1690" s="4"/>
      <c r="N1690" s="4"/>
      <c r="O1690" s="4"/>
      <c r="P1690" s="4"/>
      <c r="Q1690" s="4"/>
      <c r="R1690" s="4"/>
      <c r="S1690" s="4"/>
      <c r="T1690" s="4"/>
      <c r="U1690" s="4"/>
      <c r="V1690" s="4"/>
      <c r="W1690" s="4"/>
      <c r="X1690" s="4"/>
      <c r="Y1690" s="4"/>
      <c r="Z1690" s="4"/>
      <c r="AA1690" s="4"/>
      <c r="AB1690" s="4"/>
      <c r="AC1690" s="4"/>
      <c r="AD1690" s="4"/>
      <c r="AE1690" s="4"/>
      <c r="AF1690" s="4"/>
      <c r="AG1690" s="4"/>
    </row>
    <row r="1691" spans="2:33" x14ac:dyDescent="0.2">
      <c r="B1691" s="48"/>
      <c r="C1691" s="57" t="s">
        <v>1090</v>
      </c>
      <c r="D1691" s="44"/>
      <c r="E1691" s="86" t="s">
        <v>1037</v>
      </c>
      <c r="F1691" s="20"/>
      <c r="G1691" s="55"/>
      <c r="H1691" s="24"/>
      <c r="I1691" s="4"/>
      <c r="J1691" s="4"/>
      <c r="K1691" s="4"/>
      <c r="L1691" s="4"/>
      <c r="M1691" s="4"/>
      <c r="N1691" s="4"/>
      <c r="O1691" s="4"/>
      <c r="P1691" s="4"/>
      <c r="Q1691" s="4"/>
      <c r="R1691" s="4"/>
      <c r="S1691" s="4"/>
      <c r="T1691" s="4"/>
      <c r="U1691" s="4"/>
      <c r="V1691" s="4"/>
      <c r="W1691" s="4"/>
      <c r="X1691" s="4"/>
      <c r="Y1691" s="4"/>
      <c r="Z1691" s="4"/>
      <c r="AA1691" s="4"/>
      <c r="AB1691" s="4"/>
      <c r="AC1691" s="4"/>
      <c r="AD1691" s="4"/>
      <c r="AE1691" s="4"/>
      <c r="AF1691" s="4"/>
      <c r="AG1691" s="4"/>
    </row>
    <row r="1692" spans="2:33" x14ac:dyDescent="0.2">
      <c r="B1692" s="48"/>
      <c r="C1692" s="8"/>
      <c r="D1692" s="44"/>
      <c r="E1692" s="86" t="s">
        <v>1038</v>
      </c>
      <c r="F1692" s="28"/>
      <c r="G1692" s="26"/>
      <c r="H1692" s="24"/>
      <c r="I1692" s="4"/>
      <c r="J1692" s="4"/>
      <c r="K1692" s="4"/>
      <c r="L1692" s="4"/>
      <c r="M1692" s="4"/>
      <c r="N1692" s="4"/>
      <c r="O1692" s="4"/>
      <c r="P1692" s="4"/>
      <c r="Q1692" s="4"/>
      <c r="R1692" s="4"/>
      <c r="S1692" s="4"/>
      <c r="T1692" s="4"/>
      <c r="U1692" s="4"/>
      <c r="V1692" s="4"/>
      <c r="W1692" s="4"/>
      <c r="X1692" s="4"/>
      <c r="Y1692" s="4"/>
      <c r="Z1692" s="4"/>
      <c r="AA1692" s="4"/>
      <c r="AB1692" s="4"/>
      <c r="AC1692" s="4"/>
      <c r="AD1692" s="4"/>
      <c r="AE1692" s="4"/>
      <c r="AF1692" s="4"/>
      <c r="AG1692" s="4"/>
    </row>
    <row r="1693" spans="2:33" x14ac:dyDescent="0.2">
      <c r="B1693" s="49" t="s">
        <v>1091</v>
      </c>
      <c r="C1693" s="13"/>
      <c r="D1693" s="45"/>
      <c r="E1693" s="85"/>
      <c r="F1693" s="30"/>
      <c r="G1693" s="29"/>
      <c r="H1693" s="15"/>
      <c r="I1693" s="4"/>
      <c r="J1693" s="4"/>
      <c r="K1693" s="4"/>
      <c r="L1693" s="4"/>
      <c r="M1693" s="4"/>
      <c r="N1693" s="4"/>
      <c r="O1693" s="4"/>
      <c r="P1693" s="4"/>
      <c r="Q1693" s="4"/>
      <c r="R1693" s="4"/>
      <c r="S1693" s="4"/>
      <c r="T1693" s="4"/>
      <c r="U1693" s="4"/>
      <c r="V1693" s="4"/>
      <c r="W1693" s="4"/>
      <c r="X1693" s="4"/>
      <c r="Y1693" s="4"/>
      <c r="Z1693" s="4"/>
      <c r="AA1693" s="4"/>
      <c r="AB1693" s="4"/>
      <c r="AC1693" s="4"/>
      <c r="AD1693" s="4"/>
      <c r="AE1693" s="4"/>
      <c r="AF1693" s="4"/>
      <c r="AG1693" s="4"/>
    </row>
    <row r="1694" spans="2:33" ht="32" x14ac:dyDescent="0.2">
      <c r="B1694" s="48"/>
      <c r="C1694" s="60" t="s">
        <v>1092</v>
      </c>
      <c r="D1694" s="44"/>
      <c r="E1694" s="86" t="s">
        <v>1034</v>
      </c>
      <c r="F1694" s="27"/>
      <c r="G1694" s="26"/>
      <c r="H1694" s="21" t="b">
        <f>IF(D1696="x",H$2,H$1)</f>
        <v>0</v>
      </c>
      <c r="I1694" s="4"/>
      <c r="J1694" s="4"/>
      <c r="K1694" s="4"/>
      <c r="L1694" s="4"/>
      <c r="M1694" s="4"/>
      <c r="N1694" s="4"/>
      <c r="O1694" s="4"/>
      <c r="P1694" s="4"/>
      <c r="Q1694" s="4"/>
      <c r="R1694" s="4"/>
      <c r="S1694" s="4"/>
      <c r="T1694" s="4"/>
      <c r="U1694" s="4"/>
      <c r="V1694" s="4"/>
      <c r="W1694" s="4"/>
      <c r="X1694" s="4"/>
      <c r="Y1694" s="4"/>
      <c r="Z1694" s="4"/>
      <c r="AA1694" s="4"/>
      <c r="AB1694" s="4"/>
      <c r="AC1694" s="4"/>
      <c r="AD1694" s="4"/>
      <c r="AE1694" s="4"/>
      <c r="AF1694" s="4"/>
      <c r="AG1694" s="4"/>
    </row>
    <row r="1695" spans="2:33" x14ac:dyDescent="0.2">
      <c r="B1695" s="48"/>
      <c r="C1695" s="57" t="s">
        <v>1093</v>
      </c>
      <c r="D1695" s="44"/>
      <c r="E1695" s="86" t="s">
        <v>1035</v>
      </c>
      <c r="F1695" s="22" t="str">
        <f>IF(H1696=1,IF(H1694=H$2,H1694,""),"")</f>
        <v/>
      </c>
      <c r="G1695" s="26"/>
      <c r="H1695" s="21" t="str">
        <f t="shared" ref="H1695" si="566">IF(E$1747="comprobar",COUNTIF(D1694:D1698,"x"),"")</f>
        <v/>
      </c>
      <c r="I1695" s="4"/>
      <c r="J1695" s="4"/>
      <c r="K1695" s="4"/>
      <c r="L1695" s="4"/>
      <c r="M1695" s="4"/>
      <c r="N1695" s="4"/>
      <c r="O1695" s="4"/>
      <c r="P1695" s="4"/>
      <c r="Q1695" s="4"/>
      <c r="R1695" s="4"/>
      <c r="S1695" s="4"/>
      <c r="T1695" s="4"/>
      <c r="U1695" s="4"/>
      <c r="V1695" s="4"/>
      <c r="W1695" s="4"/>
      <c r="X1695" s="4"/>
      <c r="Y1695" s="4"/>
      <c r="Z1695" s="4"/>
      <c r="AA1695" s="4"/>
      <c r="AB1695" s="4"/>
      <c r="AC1695" s="4"/>
      <c r="AD1695" s="4"/>
      <c r="AE1695" s="4"/>
      <c r="AF1695" s="4"/>
      <c r="AG1695" s="4"/>
    </row>
    <row r="1696" spans="2:33" ht="32" x14ac:dyDescent="0.2">
      <c r="B1696" s="48"/>
      <c r="C1696" s="61" t="s">
        <v>1094</v>
      </c>
      <c r="D1696" s="44"/>
      <c r="E1696" s="86" t="s">
        <v>1036</v>
      </c>
      <c r="F1696" s="23" t="str">
        <f>IF(H1696=-0.33,IF(H1694=H$1,H1694,""),"")</f>
        <v/>
      </c>
      <c r="G1696" s="26"/>
      <c r="H1696" s="24">
        <f t="shared" ref="H1696" si="567">IF(H1695=1,IF(H1694=H$2,1,-0.33),0)</f>
        <v>0</v>
      </c>
      <c r="I1696" s="4"/>
      <c r="J1696" s="4"/>
      <c r="K1696" s="4"/>
      <c r="L1696" s="4"/>
      <c r="M1696" s="4"/>
      <c r="N1696" s="4"/>
      <c r="O1696" s="4"/>
      <c r="P1696" s="4"/>
      <c r="Q1696" s="4"/>
      <c r="R1696" s="4"/>
      <c r="S1696" s="4"/>
      <c r="T1696" s="4"/>
      <c r="U1696" s="4"/>
      <c r="V1696" s="4"/>
      <c r="W1696" s="4"/>
      <c r="X1696" s="4"/>
      <c r="Y1696" s="4"/>
      <c r="Z1696" s="4"/>
      <c r="AA1696" s="4"/>
      <c r="AB1696" s="4"/>
      <c r="AC1696" s="4"/>
      <c r="AD1696" s="4"/>
      <c r="AE1696" s="4"/>
      <c r="AF1696" s="4"/>
      <c r="AG1696" s="4"/>
    </row>
    <row r="1697" spans="2:33" x14ac:dyDescent="0.2">
      <c r="B1697" s="48"/>
      <c r="C1697" s="57" t="s">
        <v>605</v>
      </c>
      <c r="D1697" s="44"/>
      <c r="E1697" s="86" t="s">
        <v>1037</v>
      </c>
      <c r="F1697" s="28"/>
      <c r="G1697" s="26"/>
      <c r="H1697" s="24"/>
      <c r="I1697" s="4"/>
      <c r="J1697" s="4"/>
      <c r="K1697" s="4"/>
      <c r="L1697" s="4"/>
      <c r="M1697" s="4"/>
      <c r="N1697" s="4"/>
      <c r="O1697" s="4"/>
      <c r="P1697" s="4"/>
      <c r="Q1697" s="4"/>
      <c r="R1697" s="4"/>
      <c r="S1697" s="4"/>
      <c r="T1697" s="4"/>
      <c r="U1697" s="4"/>
      <c r="V1697" s="4"/>
      <c r="W1697" s="4"/>
      <c r="X1697" s="4"/>
      <c r="Y1697" s="4"/>
      <c r="Z1697" s="4"/>
      <c r="AA1697" s="4"/>
      <c r="AB1697" s="4"/>
      <c r="AC1697" s="4"/>
      <c r="AD1697" s="4"/>
      <c r="AE1697" s="4"/>
      <c r="AF1697" s="4"/>
      <c r="AG1697" s="4"/>
    </row>
    <row r="1698" spans="2:33" x14ac:dyDescent="0.2">
      <c r="B1698" s="48"/>
      <c r="C1698" s="8"/>
      <c r="D1698" s="44"/>
      <c r="E1698" s="86" t="s">
        <v>1038</v>
      </c>
      <c r="F1698" s="28"/>
      <c r="G1698" s="26"/>
      <c r="H1698" s="24"/>
      <c r="I1698" s="4"/>
      <c r="J1698" s="4"/>
      <c r="K1698" s="4"/>
      <c r="L1698" s="4"/>
      <c r="M1698" s="4"/>
      <c r="N1698" s="4"/>
      <c r="O1698" s="4"/>
      <c r="P1698" s="4"/>
      <c r="Q1698" s="4"/>
      <c r="R1698" s="4"/>
      <c r="S1698" s="4"/>
      <c r="T1698" s="4"/>
      <c r="U1698" s="4"/>
      <c r="V1698" s="4"/>
      <c r="W1698" s="4"/>
      <c r="X1698" s="4"/>
      <c r="Y1698" s="4"/>
      <c r="Z1698" s="4"/>
      <c r="AA1698" s="4"/>
      <c r="AB1698" s="4"/>
      <c r="AC1698" s="4"/>
      <c r="AD1698" s="4"/>
      <c r="AE1698" s="4"/>
      <c r="AF1698" s="4"/>
      <c r="AG1698" s="4"/>
    </row>
    <row r="1699" spans="2:33" x14ac:dyDescent="0.2">
      <c r="B1699" s="49" t="s">
        <v>1095</v>
      </c>
      <c r="C1699" s="13"/>
      <c r="D1699" s="45"/>
      <c r="E1699" s="85"/>
      <c r="F1699" s="16"/>
      <c r="G1699" s="15"/>
      <c r="H1699" s="15"/>
      <c r="I1699" s="4"/>
      <c r="J1699" s="4"/>
      <c r="K1699" s="4"/>
      <c r="L1699" s="4"/>
      <c r="M1699" s="4"/>
      <c r="N1699" s="4"/>
      <c r="O1699" s="4"/>
      <c r="P1699" s="4"/>
      <c r="Q1699" s="4"/>
      <c r="R1699" s="4"/>
      <c r="S1699" s="4"/>
      <c r="T1699" s="4"/>
      <c r="U1699" s="4"/>
      <c r="V1699" s="4"/>
      <c r="W1699" s="4"/>
      <c r="X1699" s="4"/>
      <c r="Y1699" s="4"/>
      <c r="Z1699" s="4"/>
      <c r="AA1699" s="4"/>
      <c r="AB1699" s="4"/>
      <c r="AC1699" s="4"/>
      <c r="AD1699" s="4"/>
      <c r="AE1699" s="4"/>
      <c r="AF1699" s="4"/>
      <c r="AG1699" s="4"/>
    </row>
    <row r="1700" spans="2:33" x14ac:dyDescent="0.2">
      <c r="B1700" s="48"/>
      <c r="C1700" s="56" t="s">
        <v>1096</v>
      </c>
      <c r="D1700" s="44"/>
      <c r="E1700" s="86" t="s">
        <v>1034</v>
      </c>
      <c r="F1700" s="20"/>
      <c r="G1700" s="19"/>
      <c r="H1700" s="21" t="b">
        <f>IF(D1701="x",H$2,H$1)</f>
        <v>0</v>
      </c>
      <c r="I1700" s="4"/>
      <c r="J1700" s="4"/>
      <c r="K1700" s="4"/>
      <c r="L1700" s="4"/>
      <c r="M1700" s="4"/>
      <c r="N1700" s="4"/>
      <c r="O1700" s="4"/>
      <c r="P1700" s="4"/>
      <c r="Q1700" s="4"/>
      <c r="R1700" s="4"/>
      <c r="S1700" s="4"/>
      <c r="T1700" s="4"/>
      <c r="U1700" s="4"/>
      <c r="V1700" s="4"/>
      <c r="W1700" s="4"/>
      <c r="X1700" s="4"/>
      <c r="Y1700" s="4"/>
      <c r="Z1700" s="4"/>
      <c r="AA1700" s="4"/>
      <c r="AB1700" s="4"/>
      <c r="AC1700" s="4"/>
      <c r="AD1700" s="4"/>
      <c r="AE1700" s="4"/>
      <c r="AF1700" s="4"/>
      <c r="AG1700" s="4"/>
    </row>
    <row r="1701" spans="2:33" x14ac:dyDescent="0.2">
      <c r="B1701" s="52"/>
      <c r="C1701" s="57" t="s">
        <v>1097</v>
      </c>
      <c r="D1701" s="44"/>
      <c r="E1701" s="86" t="s">
        <v>1035</v>
      </c>
      <c r="F1701" s="22" t="str">
        <f>IF(H1702=1,IF(H1700=H$2,H1700,""),"")</f>
        <v/>
      </c>
      <c r="G1701" s="19"/>
      <c r="H1701" s="21" t="str">
        <f t="shared" ref="H1701" si="568">IF(E$1747="comprobar",COUNTIF(D1700:D1704,"x"),"")</f>
        <v/>
      </c>
      <c r="I1701" s="4"/>
      <c r="J1701" s="4"/>
      <c r="K1701" s="4"/>
      <c r="L1701" s="4"/>
      <c r="M1701" s="4"/>
      <c r="N1701" s="4"/>
      <c r="O1701" s="4"/>
      <c r="P1701" s="4"/>
      <c r="Q1701" s="4"/>
      <c r="R1701" s="4"/>
      <c r="S1701" s="4"/>
      <c r="T1701" s="4"/>
      <c r="U1701" s="4"/>
      <c r="V1701" s="4"/>
      <c r="W1701" s="4"/>
      <c r="X1701" s="4"/>
      <c r="Y1701" s="4"/>
      <c r="Z1701" s="4"/>
      <c r="AA1701" s="4"/>
      <c r="AB1701" s="4"/>
      <c r="AC1701" s="4"/>
      <c r="AD1701" s="4"/>
      <c r="AE1701" s="4"/>
      <c r="AF1701" s="4"/>
      <c r="AG1701" s="4"/>
    </row>
    <row r="1702" spans="2:33" x14ac:dyDescent="0.2">
      <c r="B1702" s="52"/>
      <c r="C1702" s="57" t="s">
        <v>1098</v>
      </c>
      <c r="D1702" s="44"/>
      <c r="E1702" s="86" t="s">
        <v>1036</v>
      </c>
      <c r="F1702" s="23" t="str">
        <f>IF(H1702=-0.33,IF(H1700=H$1,H1700,""),"")</f>
        <v/>
      </c>
      <c r="G1702" s="19"/>
      <c r="H1702" s="24">
        <f t="shared" ref="H1702" si="569">IF(H1701=1,IF(H1700=H$2,1,-0.33),0)</f>
        <v>0</v>
      </c>
      <c r="I1702" s="4"/>
      <c r="J1702" s="4"/>
      <c r="K1702" s="4"/>
      <c r="L1702" s="4"/>
      <c r="M1702" s="4"/>
      <c r="N1702" s="4"/>
      <c r="O1702" s="4"/>
      <c r="P1702" s="4"/>
      <c r="Q1702" s="4"/>
      <c r="R1702" s="4"/>
      <c r="S1702" s="4"/>
      <c r="T1702" s="4"/>
      <c r="U1702" s="4"/>
      <c r="V1702" s="4"/>
      <c r="W1702" s="4"/>
      <c r="X1702" s="4"/>
      <c r="Y1702" s="4"/>
      <c r="Z1702" s="4"/>
      <c r="AA1702" s="4"/>
      <c r="AB1702" s="4"/>
      <c r="AC1702" s="4"/>
      <c r="AD1702" s="4"/>
      <c r="AE1702" s="4"/>
      <c r="AF1702" s="4"/>
      <c r="AG1702" s="4"/>
    </row>
    <row r="1703" spans="2:33" x14ac:dyDescent="0.2">
      <c r="B1703" s="48"/>
      <c r="C1703" s="57" t="s">
        <v>165</v>
      </c>
      <c r="D1703" s="44"/>
      <c r="E1703" s="86" t="s">
        <v>1037</v>
      </c>
      <c r="F1703" s="20"/>
      <c r="G1703" s="19"/>
      <c r="H1703" s="24"/>
      <c r="I1703" s="4"/>
      <c r="J1703" s="4"/>
      <c r="K1703" s="4"/>
      <c r="L1703" s="4"/>
      <c r="M1703" s="4"/>
      <c r="N1703" s="4"/>
      <c r="O1703" s="4"/>
      <c r="P1703" s="4"/>
      <c r="Q1703" s="4"/>
      <c r="R1703" s="4"/>
      <c r="S1703" s="4"/>
      <c r="T1703" s="4"/>
      <c r="U1703" s="4"/>
      <c r="V1703" s="4"/>
      <c r="W1703" s="4"/>
      <c r="X1703" s="4"/>
      <c r="Y1703" s="4"/>
      <c r="Z1703" s="4"/>
      <c r="AA1703" s="4"/>
      <c r="AB1703" s="4"/>
      <c r="AC1703" s="4"/>
      <c r="AD1703" s="4"/>
      <c r="AE1703" s="4"/>
      <c r="AF1703" s="4"/>
      <c r="AG1703" s="4"/>
    </row>
    <row r="1704" spans="2:33" x14ac:dyDescent="0.2">
      <c r="B1704" s="48"/>
      <c r="C1704" s="8"/>
      <c r="D1704" s="44"/>
      <c r="E1704" s="86" t="s">
        <v>1038</v>
      </c>
      <c r="F1704" s="20"/>
      <c r="G1704" s="19"/>
      <c r="H1704" s="24"/>
      <c r="I1704" s="4"/>
      <c r="J1704" s="4"/>
      <c r="K1704" s="4"/>
      <c r="L1704" s="4"/>
      <c r="M1704" s="4"/>
      <c r="N1704" s="4"/>
      <c r="O1704" s="4"/>
      <c r="P1704" s="4"/>
      <c r="Q1704" s="4"/>
      <c r="R1704" s="4"/>
      <c r="S1704" s="4"/>
      <c r="T1704" s="4"/>
      <c r="U1704" s="4"/>
      <c r="V1704" s="4"/>
      <c r="W1704" s="4"/>
      <c r="X1704" s="4"/>
      <c r="Y1704" s="4"/>
      <c r="Z1704" s="4"/>
      <c r="AA1704" s="4"/>
      <c r="AB1704" s="4"/>
      <c r="AC1704" s="4"/>
      <c r="AD1704" s="4"/>
      <c r="AE1704" s="4"/>
      <c r="AF1704" s="4"/>
      <c r="AG1704" s="4"/>
    </row>
    <row r="1705" spans="2:33" x14ac:dyDescent="0.2">
      <c r="B1705" s="49" t="s">
        <v>1099</v>
      </c>
      <c r="C1705" s="13"/>
      <c r="D1705" s="45"/>
      <c r="E1705" s="85"/>
      <c r="F1705" s="30"/>
      <c r="G1705" s="29"/>
      <c r="H1705" s="15"/>
      <c r="I1705" s="4"/>
      <c r="J1705" s="4"/>
      <c r="K1705" s="4"/>
      <c r="L1705" s="4"/>
      <c r="M1705" s="4"/>
      <c r="N1705" s="4"/>
      <c r="O1705" s="4"/>
      <c r="P1705" s="4"/>
      <c r="Q1705" s="4"/>
      <c r="R1705" s="4"/>
      <c r="S1705" s="4"/>
      <c r="T1705" s="4"/>
      <c r="U1705" s="4"/>
      <c r="V1705" s="4"/>
      <c r="W1705" s="4"/>
      <c r="X1705" s="4"/>
      <c r="Y1705" s="4"/>
      <c r="Z1705" s="4"/>
      <c r="AA1705" s="4"/>
      <c r="AB1705" s="4"/>
      <c r="AC1705" s="4"/>
      <c r="AD1705" s="4"/>
      <c r="AE1705" s="4"/>
      <c r="AF1705" s="4"/>
      <c r="AG1705" s="4"/>
    </row>
    <row r="1706" spans="2:33" x14ac:dyDescent="0.2">
      <c r="B1706" s="48"/>
      <c r="C1706" s="56" t="s">
        <v>1100</v>
      </c>
      <c r="D1706" s="44"/>
      <c r="E1706" s="86" t="s">
        <v>1034</v>
      </c>
      <c r="F1706" s="27"/>
      <c r="G1706" s="26"/>
      <c r="H1706" s="21" t="b">
        <f>IF(D1706="x",H$2,H$1)</f>
        <v>0</v>
      </c>
      <c r="I1706" s="4"/>
      <c r="J1706" s="4"/>
      <c r="K1706" s="4"/>
      <c r="L1706" s="4"/>
      <c r="M1706" s="4"/>
      <c r="N1706" s="4"/>
      <c r="O1706" s="4"/>
      <c r="P1706" s="4"/>
      <c r="Q1706" s="4"/>
      <c r="R1706" s="4"/>
      <c r="S1706" s="4"/>
      <c r="T1706" s="4"/>
      <c r="U1706" s="4"/>
      <c r="V1706" s="4"/>
      <c r="W1706" s="4"/>
      <c r="X1706" s="4"/>
      <c r="Y1706" s="4"/>
      <c r="Z1706" s="4"/>
      <c r="AA1706" s="4"/>
      <c r="AB1706" s="4"/>
      <c r="AC1706" s="4"/>
      <c r="AD1706" s="4"/>
      <c r="AE1706" s="4"/>
      <c r="AF1706" s="4"/>
      <c r="AG1706" s="4"/>
    </row>
    <row r="1707" spans="2:33" x14ac:dyDescent="0.2">
      <c r="B1707" s="48"/>
      <c r="C1707" s="57" t="s">
        <v>1101</v>
      </c>
      <c r="D1707" s="44"/>
      <c r="E1707" s="86" t="s">
        <v>1035</v>
      </c>
      <c r="F1707" s="22" t="str">
        <f>IF(H1708=1,IF(H1706=H$2,H1706,""),"")</f>
        <v/>
      </c>
      <c r="G1707" s="26"/>
      <c r="H1707" s="21" t="str">
        <f t="shared" ref="H1707" si="570">IF(E$1747="comprobar",COUNTIF(D1706:D1710,"x"),"")</f>
        <v/>
      </c>
      <c r="I1707" s="4"/>
      <c r="J1707" s="4"/>
      <c r="K1707" s="4"/>
      <c r="L1707" s="4"/>
      <c r="M1707" s="4"/>
      <c r="N1707" s="4"/>
      <c r="O1707" s="4"/>
      <c r="P1707" s="4"/>
      <c r="Q1707" s="4"/>
      <c r="R1707" s="4"/>
      <c r="S1707" s="4"/>
      <c r="T1707" s="4"/>
      <c r="U1707" s="4"/>
      <c r="V1707" s="4"/>
      <c r="W1707" s="4"/>
      <c r="X1707" s="4"/>
      <c r="Y1707" s="4"/>
      <c r="Z1707" s="4"/>
      <c r="AA1707" s="4"/>
      <c r="AB1707" s="4"/>
      <c r="AC1707" s="4"/>
      <c r="AD1707" s="4"/>
      <c r="AE1707" s="4"/>
      <c r="AF1707" s="4"/>
      <c r="AG1707" s="4"/>
    </row>
    <row r="1708" spans="2:33" x14ac:dyDescent="0.2">
      <c r="B1708" s="48"/>
      <c r="C1708" s="57" t="s">
        <v>1102</v>
      </c>
      <c r="D1708" s="44"/>
      <c r="E1708" s="86" t="s">
        <v>1036</v>
      </c>
      <c r="F1708" s="23" t="str">
        <f>IF(H1708=-0.33,IF(H1706=H$1,H1706,""),"")</f>
        <v/>
      </c>
      <c r="G1708" s="26"/>
      <c r="H1708" s="24">
        <f t="shared" ref="H1708" si="571">IF(H1707=1,IF(H1706=H$2,1,-0.33),0)</f>
        <v>0</v>
      </c>
      <c r="I1708" s="4"/>
      <c r="J1708" s="4"/>
      <c r="K1708" s="4"/>
      <c r="L1708" s="4"/>
      <c r="M1708" s="4"/>
      <c r="N1708" s="4"/>
      <c r="O1708" s="4"/>
      <c r="P1708" s="4"/>
      <c r="Q1708" s="4"/>
      <c r="R1708" s="4"/>
      <c r="S1708" s="4"/>
      <c r="T1708" s="4"/>
      <c r="U1708" s="4"/>
      <c r="V1708" s="4"/>
      <c r="W1708" s="4"/>
      <c r="X1708" s="4"/>
      <c r="Y1708" s="4"/>
      <c r="Z1708" s="4"/>
      <c r="AA1708" s="4"/>
      <c r="AB1708" s="4"/>
      <c r="AC1708" s="4"/>
      <c r="AD1708" s="4"/>
      <c r="AE1708" s="4"/>
      <c r="AF1708" s="4"/>
      <c r="AG1708" s="4"/>
    </row>
    <row r="1709" spans="2:33" x14ac:dyDescent="0.2">
      <c r="B1709" s="48"/>
      <c r="C1709" s="57" t="s">
        <v>1103</v>
      </c>
      <c r="D1709" s="44"/>
      <c r="E1709" s="86" t="s">
        <v>1037</v>
      </c>
      <c r="F1709" s="28"/>
      <c r="G1709" s="26"/>
      <c r="H1709" s="24"/>
      <c r="I1709" s="4"/>
      <c r="J1709" s="4"/>
      <c r="K1709" s="4"/>
      <c r="L1709" s="4"/>
      <c r="M1709" s="4"/>
      <c r="N1709" s="4"/>
      <c r="O1709" s="4"/>
      <c r="P1709" s="4"/>
      <c r="Q1709" s="4"/>
      <c r="R1709" s="4"/>
      <c r="S1709" s="4"/>
      <c r="T1709" s="4"/>
      <c r="U1709" s="4"/>
      <c r="V1709" s="4"/>
      <c r="W1709" s="4"/>
      <c r="X1709" s="4"/>
      <c r="Y1709" s="4"/>
      <c r="Z1709" s="4"/>
      <c r="AA1709" s="4"/>
      <c r="AB1709" s="4"/>
      <c r="AC1709" s="4"/>
      <c r="AD1709" s="4"/>
      <c r="AE1709" s="4"/>
      <c r="AF1709" s="4"/>
      <c r="AG1709" s="4"/>
    </row>
    <row r="1710" spans="2:33" x14ac:dyDescent="0.2">
      <c r="B1710" s="48"/>
      <c r="C1710" s="8"/>
      <c r="D1710" s="44"/>
      <c r="E1710" s="86" t="s">
        <v>1038</v>
      </c>
      <c r="F1710" s="28"/>
      <c r="G1710" s="26"/>
      <c r="H1710" s="24"/>
      <c r="I1710" s="4"/>
      <c r="J1710" s="4"/>
      <c r="K1710" s="4"/>
      <c r="L1710" s="4"/>
      <c r="M1710" s="4"/>
      <c r="N1710" s="4"/>
      <c r="O1710" s="4"/>
      <c r="P1710" s="4"/>
      <c r="Q1710" s="4"/>
      <c r="R1710" s="4"/>
      <c r="S1710" s="4"/>
      <c r="T1710" s="4"/>
      <c r="U1710" s="4"/>
      <c r="V1710" s="4"/>
      <c r="W1710" s="4"/>
      <c r="X1710" s="4"/>
      <c r="Y1710" s="4"/>
      <c r="Z1710" s="4"/>
      <c r="AA1710" s="4"/>
      <c r="AB1710" s="4"/>
      <c r="AC1710" s="4"/>
      <c r="AD1710" s="4"/>
      <c r="AE1710" s="4"/>
      <c r="AF1710" s="4"/>
      <c r="AG1710" s="4"/>
    </row>
    <row r="1711" spans="2:33" x14ac:dyDescent="0.2">
      <c r="B1711" s="49" t="s">
        <v>1104</v>
      </c>
      <c r="C1711" s="13"/>
      <c r="D1711" s="45"/>
      <c r="E1711" s="85"/>
      <c r="F1711" s="30"/>
      <c r="G1711" s="29"/>
      <c r="H1711" s="15"/>
      <c r="I1711" s="4"/>
      <c r="J1711" s="4"/>
      <c r="K1711" s="4"/>
      <c r="L1711" s="4"/>
      <c r="M1711" s="4"/>
      <c r="N1711" s="4"/>
      <c r="O1711" s="4"/>
      <c r="P1711" s="4"/>
      <c r="Q1711" s="4"/>
      <c r="R1711" s="4"/>
      <c r="S1711" s="4"/>
      <c r="T1711" s="4"/>
      <c r="U1711" s="4"/>
      <c r="V1711" s="4"/>
      <c r="W1711" s="4"/>
      <c r="X1711" s="4"/>
      <c r="Y1711" s="4"/>
      <c r="Z1711" s="4"/>
      <c r="AA1711" s="4"/>
      <c r="AB1711" s="4"/>
      <c r="AC1711" s="4"/>
      <c r="AD1711" s="4"/>
      <c r="AE1711" s="4"/>
      <c r="AF1711" s="4"/>
      <c r="AG1711" s="4"/>
    </row>
    <row r="1712" spans="2:33" x14ac:dyDescent="0.2">
      <c r="B1712" s="48"/>
      <c r="C1712" s="56" t="s">
        <v>1105</v>
      </c>
      <c r="D1712" s="44"/>
      <c r="E1712" s="86" t="s">
        <v>1034</v>
      </c>
      <c r="F1712" s="28"/>
      <c r="G1712" s="55"/>
      <c r="H1712" s="21" t="b">
        <f>IF(D1715="x",H$2,H$1)</f>
        <v>0</v>
      </c>
      <c r="I1712" s="4"/>
      <c r="J1712" s="4"/>
      <c r="K1712" s="4"/>
      <c r="L1712" s="4"/>
      <c r="M1712" s="4"/>
      <c r="N1712" s="4"/>
      <c r="O1712" s="4"/>
      <c r="P1712" s="4"/>
      <c r="Q1712" s="4"/>
      <c r="R1712" s="4"/>
      <c r="S1712" s="4"/>
      <c r="T1712" s="4"/>
      <c r="U1712" s="4"/>
      <c r="V1712" s="4"/>
      <c r="W1712" s="4"/>
      <c r="X1712" s="4"/>
      <c r="Y1712" s="4"/>
      <c r="Z1712" s="4"/>
      <c r="AA1712" s="4"/>
      <c r="AB1712" s="4"/>
      <c r="AC1712" s="4"/>
      <c r="AD1712" s="4"/>
      <c r="AE1712" s="4"/>
      <c r="AF1712" s="4"/>
      <c r="AG1712" s="4"/>
    </row>
    <row r="1713" spans="2:33" x14ac:dyDescent="0.2">
      <c r="B1713" s="52"/>
      <c r="C1713" s="57" t="s">
        <v>1106</v>
      </c>
      <c r="D1713" s="44"/>
      <c r="E1713" s="86" t="s">
        <v>1035</v>
      </c>
      <c r="F1713" s="22" t="str">
        <f>IF(H1714=1,IF(H1712=H$2,H1712,""),"")</f>
        <v/>
      </c>
      <c r="G1713" s="26"/>
      <c r="H1713" s="21" t="str">
        <f t="shared" ref="H1713" si="572">IF(E$1747="comprobar",COUNTIF(D1712:D1716,"x"),"")</f>
        <v/>
      </c>
      <c r="I1713" s="4"/>
      <c r="J1713" s="4"/>
      <c r="K1713" s="4"/>
      <c r="L1713" s="4"/>
      <c r="M1713" s="4"/>
      <c r="N1713" s="4"/>
      <c r="O1713" s="4"/>
      <c r="P1713" s="4"/>
      <c r="Q1713" s="4"/>
      <c r="R1713" s="4"/>
      <c r="S1713" s="4"/>
      <c r="T1713" s="4"/>
      <c r="U1713" s="4"/>
      <c r="V1713" s="4"/>
      <c r="W1713" s="4"/>
      <c r="X1713" s="4"/>
      <c r="Y1713" s="4"/>
      <c r="Z1713" s="4"/>
      <c r="AA1713" s="4"/>
      <c r="AB1713" s="4"/>
      <c r="AC1713" s="4"/>
      <c r="AD1713" s="4"/>
      <c r="AE1713" s="4"/>
      <c r="AF1713" s="4"/>
      <c r="AG1713" s="4"/>
    </row>
    <row r="1714" spans="2:33" x14ac:dyDescent="0.2">
      <c r="B1714" s="48"/>
      <c r="C1714" s="57" t="s">
        <v>1107</v>
      </c>
      <c r="D1714" s="44"/>
      <c r="E1714" s="86" t="s">
        <v>1036</v>
      </c>
      <c r="F1714" s="23" t="str">
        <f>IF(H1714=-0.33,IF(H1712=H$1,H1712,""),"")</f>
        <v/>
      </c>
      <c r="G1714" s="26"/>
      <c r="H1714" s="24">
        <f t="shared" ref="H1714" si="573">IF(H1713=1,IF(H1712=H$2,1,-0.33),0)</f>
        <v>0</v>
      </c>
      <c r="I1714" s="4"/>
      <c r="J1714" s="4"/>
      <c r="K1714" s="4"/>
      <c r="L1714" s="4"/>
      <c r="M1714" s="4"/>
      <c r="N1714" s="4"/>
      <c r="O1714" s="4"/>
      <c r="P1714" s="4"/>
      <c r="Q1714" s="4"/>
      <c r="R1714" s="4"/>
      <c r="S1714" s="4"/>
      <c r="T1714" s="4"/>
      <c r="U1714" s="4"/>
      <c r="V1714" s="4"/>
      <c r="W1714" s="4"/>
      <c r="X1714" s="4"/>
      <c r="Y1714" s="4"/>
      <c r="Z1714" s="4"/>
      <c r="AA1714" s="4"/>
      <c r="AB1714" s="4"/>
      <c r="AC1714" s="4"/>
      <c r="AD1714" s="4"/>
      <c r="AE1714" s="4"/>
      <c r="AF1714" s="4"/>
      <c r="AG1714" s="4"/>
    </row>
    <row r="1715" spans="2:33" x14ac:dyDescent="0.2">
      <c r="B1715" s="48"/>
      <c r="C1715" s="57" t="s">
        <v>165</v>
      </c>
      <c r="D1715" s="44"/>
      <c r="E1715" s="86" t="s">
        <v>1037</v>
      </c>
      <c r="F1715" s="28"/>
      <c r="G1715" s="26"/>
      <c r="H1715" s="24"/>
      <c r="I1715" s="4"/>
      <c r="J1715" s="4"/>
      <c r="K1715" s="4"/>
      <c r="L1715" s="4"/>
      <c r="M1715" s="4"/>
      <c r="N1715" s="4"/>
      <c r="O1715" s="4"/>
      <c r="P1715" s="4"/>
      <c r="Q1715" s="4"/>
      <c r="R1715" s="4"/>
      <c r="S1715" s="4"/>
      <c r="T1715" s="4"/>
      <c r="U1715" s="4"/>
      <c r="V1715" s="4"/>
      <c r="W1715" s="4"/>
      <c r="X1715" s="4"/>
      <c r="Y1715" s="4"/>
      <c r="Z1715" s="4"/>
      <c r="AA1715" s="4"/>
      <c r="AB1715" s="4"/>
      <c r="AC1715" s="4"/>
      <c r="AD1715" s="4"/>
      <c r="AE1715" s="4"/>
      <c r="AF1715" s="4"/>
      <c r="AG1715" s="4"/>
    </row>
    <row r="1716" spans="2:33" x14ac:dyDescent="0.2">
      <c r="B1716" s="48"/>
      <c r="C1716" s="8"/>
      <c r="D1716" s="44"/>
      <c r="E1716" s="86" t="s">
        <v>1038</v>
      </c>
      <c r="F1716" s="28"/>
      <c r="G1716" s="26"/>
      <c r="H1716" s="24"/>
      <c r="I1716" s="4"/>
      <c r="J1716" s="4"/>
      <c r="K1716" s="4"/>
      <c r="L1716" s="4"/>
      <c r="M1716" s="4"/>
      <c r="N1716" s="4"/>
      <c r="O1716" s="4"/>
      <c r="P1716" s="4"/>
      <c r="Q1716" s="4"/>
      <c r="R1716" s="4"/>
      <c r="S1716" s="4"/>
      <c r="T1716" s="4"/>
      <c r="U1716" s="4"/>
      <c r="V1716" s="4"/>
      <c r="W1716" s="4"/>
      <c r="X1716" s="4"/>
      <c r="Y1716" s="4"/>
      <c r="Z1716" s="4"/>
      <c r="AA1716" s="4"/>
      <c r="AB1716" s="4"/>
      <c r="AC1716" s="4"/>
      <c r="AD1716" s="4"/>
      <c r="AE1716" s="4"/>
      <c r="AF1716" s="4"/>
      <c r="AG1716" s="4"/>
    </row>
    <row r="1717" spans="2:33" x14ac:dyDescent="0.2">
      <c r="B1717" s="49" t="s">
        <v>1108</v>
      </c>
      <c r="C1717" s="13"/>
      <c r="D1717" s="45"/>
      <c r="E1717" s="85"/>
      <c r="F1717" s="30"/>
      <c r="G1717" s="29"/>
      <c r="H1717" s="15"/>
      <c r="I1717" s="4"/>
      <c r="J1717" s="4"/>
      <c r="K1717" s="4"/>
      <c r="L1717" s="4"/>
      <c r="M1717" s="4"/>
      <c r="N1717" s="4"/>
      <c r="O1717" s="4"/>
      <c r="P1717" s="4"/>
      <c r="Q1717" s="4"/>
      <c r="R1717" s="4"/>
      <c r="S1717" s="4"/>
      <c r="T1717" s="4"/>
      <c r="U1717" s="4"/>
      <c r="V1717" s="4"/>
      <c r="W1717" s="4"/>
      <c r="X1717" s="4"/>
      <c r="Y1717" s="4"/>
      <c r="Z1717" s="4"/>
      <c r="AA1717" s="4"/>
      <c r="AB1717" s="4"/>
      <c r="AC1717" s="4"/>
      <c r="AD1717" s="4"/>
      <c r="AE1717" s="4"/>
      <c r="AF1717" s="4"/>
      <c r="AG1717" s="4"/>
    </row>
    <row r="1718" spans="2:33" x14ac:dyDescent="0.2">
      <c r="B1718" s="52"/>
      <c r="C1718" s="56" t="s">
        <v>1109</v>
      </c>
      <c r="D1718" s="44"/>
      <c r="E1718" s="86" t="s">
        <v>1034</v>
      </c>
      <c r="F1718" s="27"/>
      <c r="G1718" s="26"/>
      <c r="H1718" s="21" t="b">
        <f>IF(D1721="x",H$2,H$1)</f>
        <v>0</v>
      </c>
      <c r="I1718" s="4"/>
      <c r="J1718" s="4"/>
      <c r="K1718" s="4"/>
      <c r="L1718" s="4"/>
      <c r="M1718" s="4"/>
      <c r="N1718" s="4"/>
      <c r="O1718" s="4"/>
      <c r="P1718" s="4"/>
      <c r="Q1718" s="4"/>
      <c r="R1718" s="4"/>
      <c r="S1718" s="4"/>
      <c r="T1718" s="4"/>
      <c r="U1718" s="4"/>
      <c r="V1718" s="4"/>
      <c r="W1718" s="4"/>
      <c r="X1718" s="4"/>
      <c r="Y1718" s="4"/>
      <c r="Z1718" s="4"/>
      <c r="AA1718" s="4"/>
      <c r="AB1718" s="4"/>
      <c r="AC1718" s="4"/>
      <c r="AD1718" s="4"/>
      <c r="AE1718" s="4"/>
      <c r="AF1718" s="4"/>
      <c r="AG1718" s="4"/>
    </row>
    <row r="1719" spans="2:33" x14ac:dyDescent="0.2">
      <c r="B1719" s="48"/>
      <c r="C1719" s="57" t="s">
        <v>1110</v>
      </c>
      <c r="D1719" s="44"/>
      <c r="E1719" s="86" t="s">
        <v>1035</v>
      </c>
      <c r="F1719" s="22" t="str">
        <f>IF(H1720=1,IF(H1718=H$2,H1718,""),"")</f>
        <v/>
      </c>
      <c r="G1719" s="26"/>
      <c r="H1719" s="21" t="str">
        <f t="shared" ref="H1719" si="574">IF(E$1747="comprobar",COUNTIF(D1718:D1722,"x"),"")</f>
        <v/>
      </c>
      <c r="I1719" s="4"/>
      <c r="J1719" s="4"/>
      <c r="K1719" s="4"/>
      <c r="L1719" s="4"/>
      <c r="M1719" s="4"/>
      <c r="N1719" s="4"/>
      <c r="O1719" s="4"/>
      <c r="P1719" s="4"/>
      <c r="Q1719" s="4"/>
      <c r="R1719" s="4"/>
      <c r="S1719" s="4"/>
      <c r="T1719" s="4"/>
      <c r="U1719" s="4"/>
      <c r="V1719" s="4"/>
      <c r="W1719" s="4"/>
      <c r="X1719" s="4"/>
      <c r="Y1719" s="4"/>
      <c r="Z1719" s="4"/>
      <c r="AA1719" s="4"/>
      <c r="AB1719" s="4"/>
      <c r="AC1719" s="4"/>
      <c r="AD1719" s="4"/>
      <c r="AE1719" s="4"/>
      <c r="AF1719" s="4"/>
      <c r="AG1719" s="4"/>
    </row>
    <row r="1720" spans="2:33" x14ac:dyDescent="0.2">
      <c r="B1720" s="48"/>
      <c r="C1720" s="61" t="s">
        <v>1111</v>
      </c>
      <c r="D1720" s="44"/>
      <c r="E1720" s="86" t="s">
        <v>1036</v>
      </c>
      <c r="F1720" s="23" t="str">
        <f>IF(H1720=-0.33,IF(H1718=H$1,H1718,""),"")</f>
        <v/>
      </c>
      <c r="G1720" s="26"/>
      <c r="H1720" s="24">
        <f t="shared" ref="H1720" si="575">IF(H1719=1,IF(H1718=H$2,1,-0.33),0)</f>
        <v>0</v>
      </c>
      <c r="I1720" s="4"/>
      <c r="J1720" s="4"/>
      <c r="K1720" s="4"/>
      <c r="L1720" s="4"/>
      <c r="M1720" s="4"/>
      <c r="N1720" s="4"/>
      <c r="O1720" s="4"/>
      <c r="P1720" s="4"/>
      <c r="Q1720" s="4"/>
      <c r="R1720" s="4"/>
      <c r="S1720" s="4"/>
      <c r="T1720" s="4"/>
      <c r="U1720" s="4"/>
      <c r="V1720" s="4"/>
      <c r="W1720" s="4"/>
      <c r="X1720" s="4"/>
      <c r="Y1720" s="4"/>
      <c r="Z1720" s="4"/>
      <c r="AA1720" s="4"/>
      <c r="AB1720" s="4"/>
      <c r="AC1720" s="4"/>
      <c r="AD1720" s="4"/>
      <c r="AE1720" s="4"/>
      <c r="AF1720" s="4"/>
      <c r="AG1720" s="4"/>
    </row>
    <row r="1721" spans="2:33" x14ac:dyDescent="0.2">
      <c r="B1721" s="52"/>
      <c r="C1721" s="57" t="s">
        <v>1049</v>
      </c>
      <c r="D1721" s="44"/>
      <c r="E1721" s="86" t="s">
        <v>1037</v>
      </c>
      <c r="F1721" s="28"/>
      <c r="G1721" s="26"/>
      <c r="H1721" s="24"/>
      <c r="I1721" s="4"/>
      <c r="J1721" s="4"/>
      <c r="K1721" s="4"/>
      <c r="L1721" s="4"/>
      <c r="M1721" s="4"/>
      <c r="N1721" s="4"/>
      <c r="O1721" s="4"/>
      <c r="P1721" s="4"/>
      <c r="Q1721" s="4"/>
      <c r="R1721" s="4"/>
      <c r="S1721" s="4"/>
      <c r="T1721" s="4"/>
      <c r="U1721" s="4"/>
      <c r="V1721" s="4"/>
      <c r="W1721" s="4"/>
      <c r="X1721" s="4"/>
      <c r="Y1721" s="4"/>
      <c r="Z1721" s="4"/>
      <c r="AA1721" s="4"/>
      <c r="AB1721" s="4"/>
      <c r="AC1721" s="4"/>
      <c r="AD1721" s="4"/>
      <c r="AE1721" s="4"/>
      <c r="AF1721" s="4"/>
      <c r="AG1721" s="4"/>
    </row>
    <row r="1722" spans="2:33" x14ac:dyDescent="0.2">
      <c r="B1722" s="48"/>
      <c r="C1722" s="8"/>
      <c r="D1722" s="44"/>
      <c r="E1722" s="86" t="s">
        <v>1038</v>
      </c>
      <c r="F1722" s="28"/>
      <c r="G1722" s="26"/>
      <c r="H1722" s="24"/>
      <c r="I1722" s="4"/>
      <c r="J1722" s="4"/>
      <c r="K1722" s="4"/>
      <c r="L1722" s="4"/>
      <c r="M1722" s="4"/>
      <c r="N1722" s="4"/>
      <c r="O1722" s="4"/>
      <c r="P1722" s="4"/>
      <c r="Q1722" s="4"/>
      <c r="R1722" s="4"/>
      <c r="S1722" s="4"/>
      <c r="T1722" s="4"/>
      <c r="U1722" s="4"/>
      <c r="V1722" s="4"/>
      <c r="W1722" s="4"/>
      <c r="X1722" s="4"/>
      <c r="Y1722" s="4"/>
      <c r="Z1722" s="4"/>
      <c r="AA1722" s="4"/>
      <c r="AB1722" s="4"/>
      <c r="AC1722" s="4"/>
      <c r="AD1722" s="4"/>
      <c r="AE1722" s="4"/>
      <c r="AF1722" s="4"/>
      <c r="AG1722" s="4"/>
    </row>
    <row r="1723" spans="2:33" x14ac:dyDescent="0.2">
      <c r="B1723" s="49" t="s">
        <v>1112</v>
      </c>
      <c r="C1723" s="13"/>
      <c r="D1723" s="45"/>
      <c r="E1723" s="85"/>
      <c r="F1723" s="30"/>
      <c r="G1723" s="29"/>
      <c r="H1723" s="15"/>
      <c r="I1723" s="4"/>
      <c r="J1723" s="4"/>
      <c r="K1723" s="4"/>
      <c r="L1723" s="4"/>
      <c r="M1723" s="4"/>
      <c r="N1723" s="4"/>
      <c r="O1723" s="4"/>
      <c r="P1723" s="4"/>
      <c r="Q1723" s="4"/>
      <c r="R1723" s="4"/>
      <c r="S1723" s="4"/>
      <c r="T1723" s="4"/>
      <c r="U1723" s="4"/>
      <c r="V1723" s="4"/>
      <c r="W1723" s="4"/>
      <c r="X1723" s="4"/>
      <c r="Y1723" s="4"/>
      <c r="Z1723" s="4"/>
      <c r="AA1723" s="4"/>
      <c r="AB1723" s="4"/>
      <c r="AC1723" s="4"/>
      <c r="AD1723" s="4"/>
      <c r="AE1723" s="4"/>
      <c r="AF1723" s="4"/>
      <c r="AG1723" s="4"/>
    </row>
    <row r="1724" spans="2:33" x14ac:dyDescent="0.2">
      <c r="B1724" s="52"/>
      <c r="C1724" s="56" t="s">
        <v>1113</v>
      </c>
      <c r="D1724" s="44"/>
      <c r="E1724" s="86" t="s">
        <v>1034</v>
      </c>
      <c r="F1724" s="28"/>
      <c r="G1724" s="55"/>
      <c r="H1724" s="21" t="b">
        <f>IF(D1726="x",H$2,H$1)</f>
        <v>0</v>
      </c>
      <c r="I1724" s="4"/>
      <c r="J1724" s="4"/>
      <c r="K1724" s="4"/>
      <c r="L1724" s="4"/>
      <c r="M1724" s="4"/>
      <c r="N1724" s="4"/>
      <c r="O1724" s="4"/>
      <c r="P1724" s="4"/>
      <c r="Q1724" s="4"/>
      <c r="R1724" s="4"/>
      <c r="S1724" s="4"/>
      <c r="T1724" s="4"/>
      <c r="U1724" s="4"/>
      <c r="V1724" s="4"/>
      <c r="W1724" s="4"/>
      <c r="X1724" s="4"/>
      <c r="Y1724" s="4"/>
      <c r="Z1724" s="4"/>
      <c r="AA1724" s="4"/>
      <c r="AB1724" s="4"/>
      <c r="AC1724" s="4"/>
      <c r="AD1724" s="4"/>
      <c r="AE1724" s="4"/>
      <c r="AF1724" s="4"/>
      <c r="AG1724" s="4"/>
    </row>
    <row r="1725" spans="2:33" x14ac:dyDescent="0.2">
      <c r="B1725" s="48"/>
      <c r="C1725" s="57" t="s">
        <v>1114</v>
      </c>
      <c r="D1725" s="44"/>
      <c r="E1725" s="86" t="s">
        <v>1035</v>
      </c>
      <c r="F1725" s="22" t="str">
        <f>IF(H1726=1,IF(H1724=H$2,H1724,""),"")</f>
        <v/>
      </c>
      <c r="G1725" s="26"/>
      <c r="H1725" s="21" t="str">
        <f t="shared" ref="H1725" si="576">IF(E$1747="comprobar",COUNTIF(D1724:D1728,"x"),"")</f>
        <v/>
      </c>
      <c r="I1725" s="4"/>
      <c r="J1725" s="4"/>
      <c r="K1725" s="4"/>
      <c r="L1725" s="4"/>
      <c r="M1725" s="4"/>
      <c r="N1725" s="4"/>
      <c r="O1725" s="4"/>
      <c r="P1725" s="4"/>
      <c r="Q1725" s="4"/>
      <c r="R1725" s="4"/>
      <c r="S1725" s="4"/>
      <c r="T1725" s="4"/>
      <c r="U1725" s="4"/>
      <c r="V1725" s="4"/>
      <c r="W1725" s="4"/>
      <c r="X1725" s="4"/>
      <c r="Y1725" s="4"/>
      <c r="Z1725" s="4"/>
      <c r="AA1725" s="4"/>
      <c r="AB1725" s="4"/>
      <c r="AC1725" s="4"/>
      <c r="AD1725" s="4"/>
      <c r="AE1725" s="4"/>
      <c r="AF1725" s="4"/>
      <c r="AG1725" s="4"/>
    </row>
    <row r="1726" spans="2:33" x14ac:dyDescent="0.2">
      <c r="B1726" s="48"/>
      <c r="C1726" s="57" t="s">
        <v>1115</v>
      </c>
      <c r="D1726" s="44"/>
      <c r="E1726" s="86" t="s">
        <v>1036</v>
      </c>
      <c r="F1726" s="23" t="str">
        <f>IF(H1726=-0.33,IF(H1724=H$1,H1724,""),"")</f>
        <v/>
      </c>
      <c r="G1726" s="26"/>
      <c r="H1726" s="24">
        <f t="shared" ref="H1726" si="577">IF(H1725=1,IF(H1724=H$2,1,-0.33),0)</f>
        <v>0</v>
      </c>
      <c r="I1726" s="4"/>
      <c r="J1726" s="4"/>
      <c r="K1726" s="4"/>
      <c r="L1726" s="4"/>
      <c r="M1726" s="4"/>
      <c r="N1726" s="4"/>
      <c r="O1726" s="4"/>
      <c r="P1726" s="4"/>
      <c r="Q1726" s="4"/>
      <c r="R1726" s="4"/>
      <c r="S1726" s="4"/>
      <c r="T1726" s="4"/>
      <c r="U1726" s="4"/>
      <c r="V1726" s="4"/>
      <c r="W1726" s="4"/>
      <c r="X1726" s="4"/>
      <c r="Y1726" s="4"/>
      <c r="Z1726" s="4"/>
      <c r="AA1726" s="4"/>
      <c r="AB1726" s="4"/>
      <c r="AC1726" s="4"/>
      <c r="AD1726" s="4"/>
      <c r="AE1726" s="4"/>
      <c r="AF1726" s="4"/>
      <c r="AG1726" s="4"/>
    </row>
    <row r="1727" spans="2:33" x14ac:dyDescent="0.2">
      <c r="B1727" s="48"/>
      <c r="C1727" s="57" t="s">
        <v>1116</v>
      </c>
      <c r="D1727" s="44"/>
      <c r="E1727" s="86" t="s">
        <v>1037</v>
      </c>
      <c r="F1727" s="28"/>
      <c r="G1727" s="26"/>
      <c r="H1727" s="24"/>
      <c r="I1727" s="4"/>
      <c r="J1727" s="4"/>
      <c r="K1727" s="4"/>
      <c r="L1727" s="4"/>
      <c r="M1727" s="4"/>
      <c r="N1727" s="4"/>
      <c r="O1727" s="4"/>
      <c r="P1727" s="4"/>
      <c r="Q1727" s="4"/>
      <c r="R1727" s="4"/>
      <c r="S1727" s="4"/>
      <c r="T1727" s="4"/>
      <c r="U1727" s="4"/>
      <c r="V1727" s="4"/>
      <c r="W1727" s="4"/>
      <c r="X1727" s="4"/>
      <c r="Y1727" s="4"/>
      <c r="Z1727" s="4"/>
      <c r="AA1727" s="4"/>
      <c r="AB1727" s="4"/>
      <c r="AC1727" s="4"/>
      <c r="AD1727" s="4"/>
      <c r="AE1727" s="4"/>
      <c r="AF1727" s="4"/>
      <c r="AG1727" s="4"/>
    </row>
    <row r="1728" spans="2:33" x14ac:dyDescent="0.2">
      <c r="B1728" s="48"/>
      <c r="C1728" s="8"/>
      <c r="D1728" s="44"/>
      <c r="E1728" s="86" t="s">
        <v>1038</v>
      </c>
      <c r="F1728" s="28"/>
      <c r="G1728" s="26"/>
      <c r="H1728" s="24"/>
      <c r="I1728" s="4"/>
      <c r="J1728" s="4"/>
      <c r="K1728" s="4"/>
      <c r="L1728" s="4"/>
      <c r="M1728" s="4"/>
      <c r="N1728" s="4"/>
      <c r="O1728" s="4"/>
      <c r="P1728" s="4"/>
      <c r="Q1728" s="4"/>
      <c r="R1728" s="4"/>
      <c r="S1728" s="4"/>
      <c r="T1728" s="4"/>
      <c r="U1728" s="4"/>
      <c r="V1728" s="4"/>
      <c r="W1728" s="4"/>
      <c r="X1728" s="4"/>
      <c r="Y1728" s="4"/>
      <c r="Z1728" s="4"/>
      <c r="AA1728" s="4"/>
      <c r="AB1728" s="4"/>
      <c r="AC1728" s="4"/>
      <c r="AD1728" s="4"/>
      <c r="AE1728" s="4"/>
      <c r="AF1728" s="4"/>
      <c r="AG1728" s="4"/>
    </row>
    <row r="1729" spans="2:33" x14ac:dyDescent="0.2">
      <c r="B1729" s="49" t="s">
        <v>1117</v>
      </c>
      <c r="C1729" s="13"/>
      <c r="D1729" s="45"/>
      <c r="E1729" s="85"/>
      <c r="F1729" s="30"/>
      <c r="G1729" s="29"/>
      <c r="H1729" s="15"/>
      <c r="I1729" s="4"/>
      <c r="J1729" s="4"/>
      <c r="K1729" s="4"/>
      <c r="L1729" s="4"/>
      <c r="M1729" s="4"/>
      <c r="N1729" s="4"/>
      <c r="O1729" s="4"/>
      <c r="P1729" s="4"/>
      <c r="Q1729" s="4"/>
      <c r="R1729" s="4"/>
      <c r="S1729" s="4"/>
      <c r="T1729" s="4"/>
      <c r="U1729" s="4"/>
      <c r="V1729" s="4"/>
      <c r="W1729" s="4"/>
      <c r="X1729" s="4"/>
      <c r="Y1729" s="4"/>
      <c r="Z1729" s="4"/>
      <c r="AA1729" s="4"/>
      <c r="AB1729" s="4"/>
      <c r="AC1729" s="4"/>
      <c r="AD1729" s="4"/>
      <c r="AE1729" s="4"/>
      <c r="AF1729" s="4"/>
      <c r="AG1729" s="4"/>
    </row>
    <row r="1730" spans="2:33" x14ac:dyDescent="0.2">
      <c r="B1730" s="48"/>
      <c r="C1730" s="56" t="s">
        <v>1118</v>
      </c>
      <c r="D1730" s="44"/>
      <c r="E1730" s="86" t="s">
        <v>1034</v>
      </c>
      <c r="F1730" s="27"/>
      <c r="G1730" s="26"/>
      <c r="H1730" s="21" t="b">
        <f>IF(D1731="x",H$2,H$1)</f>
        <v>0</v>
      </c>
      <c r="I1730" s="4"/>
      <c r="J1730" s="4"/>
      <c r="K1730" s="4"/>
      <c r="L1730" s="4"/>
      <c r="M1730" s="4"/>
      <c r="N1730" s="4"/>
      <c r="O1730" s="4"/>
      <c r="P1730" s="4"/>
      <c r="Q1730" s="4"/>
      <c r="R1730" s="4"/>
      <c r="S1730" s="4"/>
      <c r="T1730" s="4"/>
      <c r="U1730" s="4"/>
      <c r="V1730" s="4"/>
      <c r="W1730" s="4"/>
      <c r="X1730" s="4"/>
      <c r="Y1730" s="4"/>
      <c r="Z1730" s="4"/>
      <c r="AA1730" s="4"/>
      <c r="AB1730" s="4"/>
      <c r="AC1730" s="4"/>
      <c r="AD1730" s="4"/>
      <c r="AE1730" s="4"/>
      <c r="AF1730" s="4"/>
      <c r="AG1730" s="4"/>
    </row>
    <row r="1731" spans="2:33" x14ac:dyDescent="0.2">
      <c r="B1731" s="52"/>
      <c r="C1731" s="57" t="s">
        <v>1119</v>
      </c>
      <c r="D1731" s="44"/>
      <c r="E1731" s="86" t="s">
        <v>1035</v>
      </c>
      <c r="F1731" s="22" t="str">
        <f>IF(H1732=1,IF(H1730=H$2,H1730,""),"")</f>
        <v/>
      </c>
      <c r="G1731" s="26"/>
      <c r="H1731" s="21" t="str">
        <f t="shared" ref="H1731" si="578">IF(E$1747="comprobar",COUNTIF(D1730:D1734,"x"),"")</f>
        <v/>
      </c>
      <c r="I1731" s="4"/>
      <c r="J1731" s="4"/>
      <c r="K1731" s="4"/>
      <c r="L1731" s="4"/>
      <c r="M1731" s="4"/>
      <c r="N1731" s="4"/>
      <c r="O1731" s="4"/>
      <c r="P1731" s="4"/>
      <c r="Q1731" s="4"/>
      <c r="R1731" s="4"/>
      <c r="S1731" s="4"/>
      <c r="T1731" s="4"/>
      <c r="U1731" s="4"/>
      <c r="V1731" s="4"/>
      <c r="W1731" s="4"/>
      <c r="X1731" s="4"/>
      <c r="Y1731" s="4"/>
      <c r="Z1731" s="4"/>
      <c r="AA1731" s="4"/>
      <c r="AB1731" s="4"/>
      <c r="AC1731" s="4"/>
      <c r="AD1731" s="4"/>
      <c r="AE1731" s="4"/>
      <c r="AF1731" s="4"/>
      <c r="AG1731" s="4"/>
    </row>
    <row r="1732" spans="2:33" x14ac:dyDescent="0.2">
      <c r="B1732" s="48"/>
      <c r="C1732" s="57" t="s">
        <v>1120</v>
      </c>
      <c r="D1732" s="44"/>
      <c r="E1732" s="86" t="s">
        <v>1036</v>
      </c>
      <c r="F1732" s="23" t="str">
        <f>IF(H1732=-0.33,IF(H1730=H$1,H1730,""),"")</f>
        <v/>
      </c>
      <c r="G1732" s="26"/>
      <c r="H1732" s="24">
        <f t="shared" ref="H1732" si="579">IF(H1731=1,IF(H1730=H$2,1,-0.33),0)</f>
        <v>0</v>
      </c>
      <c r="I1732" s="4"/>
      <c r="J1732" s="4"/>
      <c r="K1732" s="4"/>
      <c r="L1732" s="4"/>
      <c r="M1732" s="4"/>
      <c r="N1732" s="4"/>
      <c r="O1732" s="4"/>
      <c r="P1732" s="4"/>
      <c r="Q1732" s="4"/>
      <c r="R1732" s="4"/>
      <c r="S1732" s="4"/>
      <c r="T1732" s="4"/>
      <c r="U1732" s="4"/>
      <c r="V1732" s="4"/>
      <c r="W1732" s="4"/>
      <c r="X1732" s="4"/>
      <c r="Y1732" s="4"/>
      <c r="Z1732" s="4"/>
      <c r="AA1732" s="4"/>
      <c r="AB1732" s="4"/>
      <c r="AC1732" s="4"/>
      <c r="AD1732" s="4"/>
      <c r="AE1732" s="4"/>
      <c r="AF1732" s="4"/>
      <c r="AG1732" s="4"/>
    </row>
    <row r="1733" spans="2:33" x14ac:dyDescent="0.2">
      <c r="B1733" s="48"/>
      <c r="C1733" s="57" t="s">
        <v>1121</v>
      </c>
      <c r="D1733" s="44"/>
      <c r="E1733" s="86" t="s">
        <v>1037</v>
      </c>
      <c r="F1733" s="28"/>
      <c r="G1733" s="55"/>
      <c r="H1733" s="24"/>
      <c r="I1733" s="4"/>
      <c r="J1733" s="4"/>
      <c r="K1733" s="4"/>
      <c r="L1733" s="4"/>
      <c r="M1733" s="4"/>
      <c r="N1733" s="4"/>
      <c r="O1733" s="4"/>
      <c r="P1733" s="4"/>
      <c r="Q1733" s="4"/>
      <c r="R1733" s="4"/>
      <c r="S1733" s="4"/>
      <c r="T1733" s="4"/>
      <c r="U1733" s="4"/>
      <c r="V1733" s="4"/>
      <c r="W1733" s="4"/>
      <c r="X1733" s="4"/>
      <c r="Y1733" s="4"/>
      <c r="Z1733" s="4"/>
      <c r="AA1733" s="4"/>
      <c r="AB1733" s="4"/>
      <c r="AC1733" s="4"/>
      <c r="AD1733" s="4"/>
      <c r="AE1733" s="4"/>
      <c r="AF1733" s="4"/>
      <c r="AG1733" s="4"/>
    </row>
    <row r="1734" spans="2:33" x14ac:dyDescent="0.2">
      <c r="B1734" s="48"/>
      <c r="C1734" s="8"/>
      <c r="D1734" s="44"/>
      <c r="E1734" s="86" t="s">
        <v>1038</v>
      </c>
      <c r="F1734" s="28"/>
      <c r="G1734" s="26"/>
      <c r="H1734" s="24"/>
      <c r="I1734" s="4"/>
      <c r="J1734" s="4"/>
      <c r="K1734" s="4"/>
      <c r="L1734" s="4"/>
      <c r="M1734" s="4"/>
      <c r="N1734" s="4"/>
      <c r="O1734" s="4"/>
      <c r="P1734" s="4"/>
      <c r="Q1734" s="4"/>
      <c r="R1734" s="4"/>
      <c r="S1734" s="4"/>
      <c r="T1734" s="4"/>
      <c r="U1734" s="4"/>
      <c r="V1734" s="4"/>
      <c r="W1734" s="4"/>
      <c r="X1734" s="4"/>
      <c r="Y1734" s="4"/>
      <c r="Z1734" s="4"/>
      <c r="AA1734" s="4"/>
      <c r="AB1734" s="4"/>
      <c r="AC1734" s="4"/>
      <c r="AD1734" s="4"/>
      <c r="AE1734" s="4"/>
      <c r="AF1734" s="4"/>
      <c r="AG1734" s="4"/>
    </row>
    <row r="1735" spans="2:33" x14ac:dyDescent="0.2">
      <c r="B1735" s="49" t="s">
        <v>1122</v>
      </c>
      <c r="C1735" s="36"/>
      <c r="D1735" s="45"/>
      <c r="E1735" s="85"/>
      <c r="F1735" s="30"/>
      <c r="G1735" s="29"/>
      <c r="H1735" s="15"/>
      <c r="I1735" s="4"/>
      <c r="J1735" s="4"/>
      <c r="K1735" s="4"/>
      <c r="L1735" s="4"/>
      <c r="M1735" s="4"/>
      <c r="N1735" s="4"/>
      <c r="O1735" s="4"/>
      <c r="P1735" s="4"/>
      <c r="Q1735" s="4"/>
      <c r="R1735" s="4"/>
      <c r="S1735" s="4"/>
      <c r="T1735" s="4"/>
      <c r="U1735" s="4"/>
      <c r="V1735" s="4"/>
      <c r="W1735" s="4"/>
      <c r="X1735" s="4"/>
      <c r="Y1735" s="4"/>
      <c r="Z1735" s="4"/>
      <c r="AA1735" s="4"/>
      <c r="AB1735" s="4"/>
      <c r="AC1735" s="4"/>
      <c r="AD1735" s="4"/>
      <c r="AE1735" s="4"/>
      <c r="AF1735" s="4"/>
      <c r="AG1735" s="4"/>
    </row>
    <row r="1736" spans="2:33" x14ac:dyDescent="0.2">
      <c r="B1736" s="48"/>
      <c r="C1736" s="56" t="s">
        <v>1123</v>
      </c>
      <c r="D1736" s="44"/>
      <c r="E1736" s="86" t="s">
        <v>1034</v>
      </c>
      <c r="F1736" s="27"/>
      <c r="G1736" s="26"/>
      <c r="H1736" s="21" t="b">
        <f>IF(D1736="x",H$2,H$1)</f>
        <v>0</v>
      </c>
      <c r="I1736" s="4"/>
      <c r="J1736" s="4"/>
      <c r="K1736" s="4"/>
      <c r="L1736" s="4"/>
      <c r="M1736" s="4"/>
      <c r="N1736" s="4"/>
      <c r="O1736" s="4"/>
      <c r="P1736" s="4"/>
      <c r="Q1736" s="4"/>
      <c r="R1736" s="4"/>
      <c r="S1736" s="4"/>
      <c r="T1736" s="4"/>
      <c r="U1736" s="4"/>
      <c r="V1736" s="4"/>
      <c r="W1736" s="4"/>
      <c r="X1736" s="4"/>
      <c r="Y1736" s="4"/>
      <c r="Z1736" s="4"/>
      <c r="AA1736" s="4"/>
      <c r="AB1736" s="4"/>
      <c r="AC1736" s="4"/>
      <c r="AD1736" s="4"/>
      <c r="AE1736" s="4"/>
      <c r="AF1736" s="4"/>
      <c r="AG1736" s="4"/>
    </row>
    <row r="1737" spans="2:33" x14ac:dyDescent="0.2">
      <c r="B1737" s="48"/>
      <c r="C1737" s="57" t="s">
        <v>1124</v>
      </c>
      <c r="D1737" s="44"/>
      <c r="E1737" s="86" t="s">
        <v>1035</v>
      </c>
      <c r="F1737" s="22" t="str">
        <f>IF(H1738=1,IF(H1736=H$2,H1736,""),"")</f>
        <v/>
      </c>
      <c r="G1737" s="26"/>
      <c r="H1737" s="21" t="str">
        <f t="shared" ref="H1737" si="580">IF(E$1747="comprobar",COUNTIF(D1736:D1740,"x"),"")</f>
        <v/>
      </c>
      <c r="I1737" s="4"/>
      <c r="J1737" s="4"/>
      <c r="K1737" s="4"/>
      <c r="L1737" s="4"/>
      <c r="M1737" s="4"/>
      <c r="N1737" s="4"/>
      <c r="O1737" s="4"/>
      <c r="P1737" s="4"/>
      <c r="Q1737" s="4"/>
      <c r="R1737" s="4"/>
      <c r="S1737" s="4"/>
      <c r="T1737" s="4"/>
      <c r="U1737" s="4"/>
      <c r="V1737" s="4"/>
      <c r="W1737" s="4"/>
      <c r="X1737" s="4"/>
      <c r="Y1737" s="4"/>
      <c r="Z1737" s="4"/>
      <c r="AA1737" s="4"/>
      <c r="AB1737" s="4"/>
      <c r="AC1737" s="4"/>
      <c r="AD1737" s="4"/>
      <c r="AE1737" s="4"/>
      <c r="AF1737" s="4"/>
      <c r="AG1737" s="4"/>
    </row>
    <row r="1738" spans="2:33" x14ac:dyDescent="0.2">
      <c r="B1738" s="52"/>
      <c r="C1738" s="57" t="s">
        <v>1125</v>
      </c>
      <c r="D1738" s="44"/>
      <c r="E1738" s="86" t="s">
        <v>1036</v>
      </c>
      <c r="F1738" s="23" t="str">
        <f>IF(H1738=-0.33,IF(H1736=H$1,H1736,""),"")</f>
        <v/>
      </c>
      <c r="G1738" s="26"/>
      <c r="H1738" s="24">
        <f t="shared" ref="H1738" si="581">IF(H1737=1,IF(H1736=H$2,1,-0.33),0)</f>
        <v>0</v>
      </c>
      <c r="I1738" s="4"/>
      <c r="J1738" s="4"/>
      <c r="K1738" s="4"/>
      <c r="L1738" s="4"/>
      <c r="M1738" s="4"/>
      <c r="N1738" s="4"/>
      <c r="O1738" s="4"/>
      <c r="P1738" s="4"/>
      <c r="Q1738" s="4"/>
      <c r="R1738" s="4"/>
      <c r="S1738" s="4"/>
      <c r="T1738" s="4"/>
      <c r="U1738" s="4"/>
      <c r="V1738" s="4"/>
      <c r="W1738" s="4"/>
      <c r="X1738" s="4"/>
      <c r="Y1738" s="4"/>
      <c r="Z1738" s="4"/>
      <c r="AA1738" s="4"/>
      <c r="AB1738" s="4"/>
      <c r="AC1738" s="4"/>
      <c r="AD1738" s="4"/>
      <c r="AE1738" s="4"/>
      <c r="AF1738" s="4"/>
      <c r="AG1738" s="4"/>
    </row>
    <row r="1739" spans="2:33" x14ac:dyDescent="0.2">
      <c r="B1739" s="48"/>
      <c r="C1739" s="57" t="s">
        <v>1126</v>
      </c>
      <c r="D1739" s="44"/>
      <c r="E1739" s="86" t="s">
        <v>1037</v>
      </c>
      <c r="F1739" s="28"/>
      <c r="G1739" s="26"/>
      <c r="H1739" s="24"/>
      <c r="I1739" s="4"/>
      <c r="J1739" s="4"/>
      <c r="K1739" s="4"/>
      <c r="L1739" s="4"/>
      <c r="M1739" s="4"/>
      <c r="N1739" s="4"/>
      <c r="O1739" s="4"/>
      <c r="P1739" s="4"/>
      <c r="Q1739" s="4"/>
      <c r="R1739" s="4"/>
      <c r="S1739" s="4"/>
      <c r="T1739" s="4"/>
      <c r="U1739" s="4"/>
      <c r="V1739" s="4"/>
      <c r="W1739" s="4"/>
      <c r="X1739" s="4"/>
      <c r="Y1739" s="4"/>
      <c r="Z1739" s="4"/>
      <c r="AA1739" s="4"/>
      <c r="AB1739" s="4"/>
      <c r="AC1739" s="4"/>
      <c r="AD1739" s="4"/>
      <c r="AE1739" s="4"/>
      <c r="AF1739" s="4"/>
      <c r="AG1739" s="4"/>
    </row>
    <row r="1740" spans="2:33" x14ac:dyDescent="0.2">
      <c r="B1740" s="48"/>
      <c r="C1740" s="8"/>
      <c r="D1740" s="44"/>
      <c r="E1740" s="86" t="s">
        <v>1038</v>
      </c>
      <c r="F1740" s="28"/>
      <c r="G1740" s="26"/>
      <c r="H1740" s="24"/>
      <c r="I1740" s="4"/>
      <c r="J1740" s="4"/>
      <c r="K1740" s="4"/>
      <c r="L1740" s="4"/>
      <c r="M1740" s="4"/>
      <c r="N1740" s="4"/>
      <c r="O1740" s="4"/>
      <c r="P1740" s="4"/>
      <c r="Q1740" s="4"/>
      <c r="R1740" s="4"/>
      <c r="S1740" s="4"/>
      <c r="T1740" s="4"/>
      <c r="U1740" s="4"/>
      <c r="V1740" s="4"/>
      <c r="W1740" s="4"/>
      <c r="X1740" s="4"/>
      <c r="Y1740" s="4"/>
      <c r="Z1740" s="4"/>
      <c r="AA1740" s="4"/>
      <c r="AB1740" s="4"/>
      <c r="AC1740" s="4"/>
      <c r="AD1740" s="4"/>
      <c r="AE1740" s="4"/>
      <c r="AF1740" s="4"/>
      <c r="AG1740" s="4"/>
    </row>
    <row r="1741" spans="2:33" x14ac:dyDescent="0.2">
      <c r="B1741" s="49" t="s">
        <v>1127</v>
      </c>
      <c r="C1741" s="13"/>
      <c r="D1741" s="45"/>
      <c r="E1741" s="85"/>
      <c r="F1741" s="30"/>
      <c r="G1741" s="29"/>
      <c r="H1741" s="15"/>
      <c r="I1741" s="4"/>
      <c r="J1741" s="4"/>
      <c r="K1741" s="4"/>
      <c r="L1741" s="4"/>
      <c r="M1741" s="4"/>
      <c r="N1741" s="4"/>
      <c r="O1741" s="4"/>
      <c r="P1741" s="4"/>
      <c r="Q1741" s="4"/>
      <c r="R1741" s="4"/>
      <c r="S1741" s="4"/>
      <c r="T1741" s="4"/>
      <c r="U1741" s="4"/>
      <c r="V1741" s="4"/>
      <c r="W1741" s="4"/>
      <c r="X1741" s="4"/>
      <c r="Y1741" s="4"/>
      <c r="Z1741" s="4"/>
      <c r="AA1741" s="4"/>
      <c r="AB1741" s="4"/>
      <c r="AC1741" s="4"/>
      <c r="AD1741" s="4"/>
      <c r="AE1741" s="4"/>
      <c r="AF1741" s="4"/>
      <c r="AG1741" s="4"/>
    </row>
    <row r="1742" spans="2:33" x14ac:dyDescent="0.2">
      <c r="B1742" s="52"/>
      <c r="C1742" s="118">
        <v>121</v>
      </c>
      <c r="D1742" s="44"/>
      <c r="E1742" s="86" t="s">
        <v>1034</v>
      </c>
      <c r="F1742" s="28"/>
      <c r="G1742" s="55"/>
      <c r="H1742" s="21" t="b">
        <f>IF(D1745="x",H$2,H$1)</f>
        <v>0</v>
      </c>
      <c r="I1742" s="4"/>
      <c r="J1742" s="4"/>
      <c r="K1742" s="4"/>
      <c r="L1742" s="4"/>
      <c r="M1742" s="4"/>
      <c r="N1742" s="4"/>
      <c r="O1742" s="4"/>
      <c r="P1742" s="4"/>
      <c r="Q1742" s="4"/>
      <c r="R1742" s="4"/>
      <c r="S1742" s="4"/>
      <c r="T1742" s="4"/>
      <c r="U1742" s="4"/>
      <c r="V1742" s="4"/>
      <c r="W1742" s="4"/>
      <c r="X1742" s="4"/>
      <c r="Y1742" s="4"/>
      <c r="Z1742" s="4"/>
      <c r="AA1742" s="4"/>
      <c r="AB1742" s="4"/>
      <c r="AC1742" s="4"/>
      <c r="AD1742" s="4"/>
      <c r="AE1742" s="4"/>
      <c r="AF1742" s="4"/>
      <c r="AG1742" s="4"/>
    </row>
    <row r="1743" spans="2:33" x14ac:dyDescent="0.2">
      <c r="B1743" s="48"/>
      <c r="C1743" s="119">
        <v>91</v>
      </c>
      <c r="D1743" s="44"/>
      <c r="E1743" s="86" t="s">
        <v>1035</v>
      </c>
      <c r="F1743" s="22" t="str">
        <f>IF(H1744=1,IF(H1742=H$2,H1742,""),"")</f>
        <v/>
      </c>
      <c r="G1743" s="26"/>
      <c r="H1743" s="21" t="str">
        <f t="shared" ref="H1743" si="582">IF(E$1747="comprobar",COUNTIF(D1742:D1746,"x"),"")</f>
        <v/>
      </c>
      <c r="I1743" s="4"/>
      <c r="J1743" s="4"/>
      <c r="K1743" s="4"/>
      <c r="L1743" s="4"/>
      <c r="M1743" s="4"/>
      <c r="N1743" s="4"/>
      <c r="O1743" s="4"/>
      <c r="P1743" s="4"/>
      <c r="Q1743" s="4"/>
      <c r="R1743" s="4"/>
      <c r="S1743" s="4"/>
      <c r="T1743" s="4"/>
      <c r="U1743" s="4"/>
      <c r="V1743" s="4"/>
      <c r="W1743" s="4"/>
      <c r="X1743" s="4"/>
      <c r="Y1743" s="4"/>
      <c r="Z1743" s="4"/>
      <c r="AA1743" s="4"/>
      <c r="AB1743" s="4"/>
      <c r="AC1743" s="4"/>
      <c r="AD1743" s="4"/>
      <c r="AE1743" s="4"/>
      <c r="AF1743" s="4"/>
      <c r="AG1743" s="4"/>
    </row>
    <row r="1744" spans="2:33" x14ac:dyDescent="0.2">
      <c r="B1744" s="48"/>
      <c r="C1744" s="119">
        <v>62</v>
      </c>
      <c r="D1744" s="44"/>
      <c r="E1744" s="86" t="s">
        <v>1036</v>
      </c>
      <c r="F1744" s="23" t="str">
        <f>IF(H1744=-0.33,IF(H1742=H$1,H1742,""),"")</f>
        <v/>
      </c>
      <c r="G1744" s="26"/>
      <c r="H1744" s="24">
        <f t="shared" ref="H1744" si="583">IF(H1743=1,IF(H1742=H$2,1,-0.33),0)</f>
        <v>0</v>
      </c>
      <c r="I1744" s="4"/>
      <c r="J1744" s="4"/>
      <c r="K1744" s="4"/>
      <c r="L1744" s="4"/>
      <c r="M1744" s="4"/>
      <c r="N1744" s="4"/>
      <c r="O1744" s="4"/>
      <c r="P1744" s="4"/>
      <c r="Q1744" s="4"/>
      <c r="R1744" s="4"/>
      <c r="S1744" s="4"/>
      <c r="T1744" s="4"/>
      <c r="U1744" s="4"/>
      <c r="V1744" s="4"/>
      <c r="W1744" s="4"/>
      <c r="X1744" s="4"/>
      <c r="Y1744" s="4"/>
      <c r="Z1744" s="4"/>
      <c r="AA1744" s="4"/>
      <c r="AB1744" s="4"/>
      <c r="AC1744" s="4"/>
      <c r="AD1744" s="4"/>
      <c r="AE1744" s="4"/>
      <c r="AF1744" s="4"/>
      <c r="AG1744" s="4"/>
    </row>
    <row r="1745" spans="2:33" x14ac:dyDescent="0.2">
      <c r="B1745" s="48"/>
      <c r="C1745" s="119">
        <v>112</v>
      </c>
      <c r="D1745" s="44"/>
      <c r="E1745" s="86" t="s">
        <v>1037</v>
      </c>
      <c r="F1745" s="28"/>
      <c r="G1745" s="26"/>
      <c r="H1745" s="24"/>
      <c r="I1745" s="4"/>
      <c r="J1745" s="4"/>
      <c r="K1745" s="4"/>
      <c r="L1745" s="4"/>
      <c r="M1745" s="4"/>
      <c r="N1745" s="4"/>
      <c r="O1745" s="4"/>
      <c r="P1745" s="4"/>
      <c r="Q1745" s="4"/>
      <c r="R1745" s="4"/>
      <c r="S1745" s="4"/>
      <c r="T1745" s="4"/>
      <c r="U1745" s="4"/>
      <c r="V1745" s="4"/>
      <c r="W1745" s="4"/>
      <c r="X1745" s="4"/>
      <c r="Y1745" s="4"/>
      <c r="Z1745" s="4"/>
      <c r="AA1745" s="4"/>
      <c r="AB1745" s="4"/>
      <c r="AC1745" s="4"/>
      <c r="AD1745" s="4"/>
      <c r="AE1745" s="4"/>
      <c r="AF1745" s="4"/>
      <c r="AG1745" s="4"/>
    </row>
    <row r="1746" spans="2:33" x14ac:dyDescent="0.2">
      <c r="B1746" s="48"/>
      <c r="C1746" s="8"/>
      <c r="D1746" s="44"/>
      <c r="E1746" s="86" t="s">
        <v>1038</v>
      </c>
      <c r="F1746" s="20"/>
      <c r="G1746" s="19"/>
      <c r="H1746" s="24"/>
      <c r="I1746" s="4"/>
      <c r="J1746" s="4"/>
      <c r="K1746" s="4"/>
      <c r="L1746" s="4"/>
      <c r="M1746" s="4"/>
      <c r="N1746" s="4"/>
      <c r="O1746" s="4"/>
      <c r="P1746" s="4"/>
      <c r="Q1746" s="4"/>
      <c r="R1746" s="4"/>
      <c r="S1746" s="4"/>
      <c r="T1746" s="4"/>
      <c r="U1746" s="4"/>
      <c r="V1746" s="4"/>
      <c r="W1746" s="4"/>
      <c r="X1746" s="4"/>
      <c r="Y1746" s="4"/>
      <c r="Z1746" s="4"/>
      <c r="AA1746" s="4"/>
      <c r="AB1746" s="4"/>
      <c r="AC1746" s="4"/>
      <c r="AD1746" s="4"/>
      <c r="AE1746" s="4"/>
      <c r="AF1746" s="4"/>
      <c r="AG1746" s="4"/>
    </row>
    <row r="1747" spans="2:33" x14ac:dyDescent="0.2">
      <c r="B1747" s="52"/>
      <c r="C1747" s="47"/>
      <c r="D1747" s="73"/>
      <c r="E1747" s="87"/>
      <c r="F1747" s="20"/>
      <c r="G1747" s="19"/>
      <c r="H1747" s="19"/>
      <c r="I1747" s="4"/>
      <c r="J1747" s="4"/>
      <c r="K1747" s="4"/>
      <c r="L1747" s="4"/>
      <c r="M1747" s="4"/>
      <c r="N1747" s="4"/>
      <c r="O1747" s="4"/>
      <c r="P1747" s="4"/>
      <c r="Q1747" s="4"/>
      <c r="R1747" s="4"/>
      <c r="S1747" s="4"/>
      <c r="T1747" s="4"/>
      <c r="U1747" s="4"/>
      <c r="V1747" s="4"/>
      <c r="W1747" s="4"/>
      <c r="X1747" s="4"/>
      <c r="Y1747" s="4"/>
      <c r="Z1747" s="4"/>
      <c r="AA1747" s="4"/>
      <c r="AB1747" s="4"/>
      <c r="AC1747" s="4"/>
      <c r="AD1747" s="4"/>
      <c r="AE1747" s="4"/>
      <c r="AF1747" s="4"/>
      <c r="AG1747" s="4"/>
    </row>
    <row r="1748" spans="2:33" x14ac:dyDescent="0.2">
      <c r="B1748" s="52"/>
      <c r="C1748" s="18"/>
      <c r="D1748" s="73"/>
      <c r="E1748" s="93"/>
      <c r="F1748" s="31" t="s">
        <v>93</v>
      </c>
      <c r="G1748" s="19" t="s">
        <v>91</v>
      </c>
      <c r="H1748" s="19" t="s">
        <v>92</v>
      </c>
      <c r="I1748" s="4"/>
      <c r="J1748" s="4"/>
      <c r="K1748" s="4"/>
      <c r="L1748" s="4"/>
      <c r="M1748" s="4"/>
      <c r="N1748" s="4"/>
      <c r="O1748" s="4"/>
      <c r="P1748" s="4"/>
      <c r="Q1748" s="4"/>
      <c r="R1748" s="4"/>
      <c r="S1748" s="4"/>
      <c r="T1748" s="4"/>
      <c r="U1748" s="4"/>
      <c r="V1748" s="4"/>
      <c r="W1748" s="4"/>
      <c r="X1748" s="4"/>
      <c r="Y1748" s="4"/>
      <c r="Z1748" s="4"/>
      <c r="AA1748" s="4"/>
      <c r="AB1748" s="4"/>
      <c r="AC1748" s="4"/>
      <c r="AD1748" s="4"/>
      <c r="AE1748" s="4"/>
      <c r="AF1748" s="4"/>
      <c r="AG1748" s="4"/>
    </row>
    <row r="1749" spans="2:33" ht="20" x14ac:dyDescent="0.2">
      <c r="B1749" s="52"/>
      <c r="C1749" s="18"/>
      <c r="D1749" s="69"/>
      <c r="E1749" s="84"/>
      <c r="F1749" s="32" t="str">
        <f>IF(E1747="comprobar",H1684+H1678+H1672+H1666+H1660+H1654+H1648+H1642+H1636+H1630+H1690+H1696+H1702+H1708+H1714+H1720+H1726+H1732+H1738+H1744,"")</f>
        <v/>
      </c>
      <c r="G1749" s="19">
        <f>20/2</f>
        <v>10</v>
      </c>
      <c r="H1749" s="19"/>
      <c r="I1749" s="4"/>
      <c r="J1749" s="4"/>
      <c r="K1749" s="4"/>
      <c r="L1749" s="4"/>
      <c r="M1749" s="4"/>
      <c r="N1749" s="4"/>
      <c r="O1749" s="4"/>
      <c r="P1749" s="4"/>
      <c r="Q1749" s="4"/>
      <c r="R1749" s="4"/>
      <c r="S1749" s="4"/>
      <c r="T1749" s="4"/>
      <c r="U1749" s="4"/>
      <c r="V1749" s="4"/>
      <c r="W1749" s="4"/>
      <c r="X1749" s="4"/>
      <c r="Y1749" s="4"/>
      <c r="Z1749" s="4"/>
      <c r="AA1749" s="4"/>
      <c r="AB1749" s="4"/>
      <c r="AC1749" s="4"/>
      <c r="AD1749" s="4"/>
      <c r="AE1749" s="4"/>
      <c r="AF1749" s="4"/>
      <c r="AG1749" s="4"/>
    </row>
    <row r="1750" spans="2:33" ht="17" thickBot="1" x14ac:dyDescent="0.25">
      <c r="B1750" s="53"/>
      <c r="C1750" s="33"/>
      <c r="D1750" s="34"/>
      <c r="E1750" s="88"/>
      <c r="F1750" s="35" t="str">
        <f>IF(F1749&gt;G1749,G1748,H1748)</f>
        <v>APROBADO</v>
      </c>
      <c r="G1750" s="19"/>
      <c r="H1750" s="19"/>
      <c r="I1750" s="4"/>
      <c r="J1750" s="4"/>
      <c r="K1750" s="4"/>
      <c r="L1750" s="4"/>
      <c r="M1750" s="4"/>
      <c r="N1750" s="4"/>
      <c r="O1750" s="4"/>
      <c r="P1750" s="4"/>
      <c r="Q1750" s="4"/>
      <c r="R1750" s="4"/>
      <c r="S1750" s="4"/>
      <c r="T1750" s="4"/>
      <c r="U1750" s="4"/>
      <c r="V1750" s="4"/>
      <c r="W1750" s="4"/>
      <c r="X1750" s="4"/>
      <c r="Y1750" s="4"/>
      <c r="Z1750" s="4"/>
      <c r="AA1750" s="4"/>
      <c r="AB1750" s="4"/>
      <c r="AC1750" s="4"/>
      <c r="AD1750" s="4"/>
      <c r="AE1750" s="4"/>
      <c r="AF1750" s="4"/>
      <c r="AG1750" s="4"/>
    </row>
    <row r="1751" spans="2:33" ht="29" x14ac:dyDescent="0.35">
      <c r="B1751" s="54" t="s">
        <v>0</v>
      </c>
      <c r="C1751" s="113" t="s">
        <v>1128</v>
      </c>
      <c r="D1751" s="113"/>
      <c r="E1751" s="113"/>
      <c r="F1751" s="114"/>
      <c r="G1751" s="19"/>
      <c r="H1751" s="19"/>
      <c r="I1751" s="4"/>
      <c r="J1751" s="4"/>
      <c r="K1751" s="4"/>
      <c r="L1751" s="4"/>
      <c r="M1751" s="4"/>
      <c r="N1751" s="4"/>
      <c r="O1751" s="4"/>
      <c r="P1751" s="4"/>
      <c r="Q1751" s="4"/>
      <c r="R1751" s="4"/>
      <c r="S1751" s="4"/>
      <c r="T1751" s="4"/>
      <c r="U1751" s="4"/>
      <c r="V1751" s="4"/>
      <c r="W1751" s="4"/>
      <c r="X1751" s="4"/>
      <c r="Y1751" s="4"/>
      <c r="Z1751" s="4"/>
      <c r="AA1751" s="4"/>
      <c r="AB1751" s="4"/>
      <c r="AC1751" s="4"/>
      <c r="AD1751" s="4"/>
      <c r="AE1751" s="4"/>
      <c r="AF1751" s="4"/>
      <c r="AG1751" s="4"/>
    </row>
    <row r="1752" spans="2:33" x14ac:dyDescent="0.2">
      <c r="B1752" s="49" t="s">
        <v>1129</v>
      </c>
      <c r="C1752" s="13"/>
      <c r="D1752" s="14"/>
      <c r="E1752" s="85"/>
      <c r="F1752" s="16"/>
      <c r="G1752" s="15"/>
      <c r="H1752" s="15"/>
      <c r="I1752" s="4"/>
      <c r="J1752" s="4"/>
      <c r="K1752" s="4"/>
      <c r="L1752" s="4"/>
      <c r="M1752" s="4"/>
      <c r="N1752" s="4"/>
      <c r="O1752" s="4"/>
      <c r="P1752" s="4"/>
      <c r="Q1752" s="4"/>
      <c r="R1752" s="4"/>
      <c r="S1752" s="4"/>
      <c r="T1752" s="4"/>
      <c r="U1752" s="4"/>
      <c r="V1752" s="4"/>
      <c r="W1752" s="4"/>
      <c r="X1752" s="4"/>
      <c r="Y1752" s="4"/>
      <c r="Z1752" s="4"/>
      <c r="AA1752" s="4"/>
      <c r="AB1752" s="4"/>
      <c r="AC1752" s="4"/>
      <c r="AD1752" s="4"/>
      <c r="AE1752" s="4"/>
      <c r="AF1752" s="4"/>
      <c r="AG1752" s="4"/>
    </row>
    <row r="1753" spans="2:33" ht="32" x14ac:dyDescent="0.2">
      <c r="B1753" s="48"/>
      <c r="C1753" s="60" t="s">
        <v>1130</v>
      </c>
      <c r="D1753" s="44"/>
      <c r="E1753" s="86" t="s">
        <v>1034</v>
      </c>
      <c r="F1753" s="20"/>
      <c r="G1753" s="19"/>
      <c r="H1753" s="21" t="b">
        <f>IF(D1756="x",H$2,H$1)</f>
        <v>0</v>
      </c>
      <c r="I1753" s="4"/>
      <c r="J1753" s="4"/>
      <c r="K1753" s="4"/>
      <c r="L1753" s="4"/>
      <c r="M1753" s="4"/>
      <c r="N1753" s="4"/>
      <c r="O1753" s="4"/>
      <c r="P1753" s="4"/>
      <c r="Q1753" s="4"/>
      <c r="R1753" s="4"/>
      <c r="S1753" s="4"/>
      <c r="T1753" s="4"/>
      <c r="U1753" s="4"/>
      <c r="V1753" s="4"/>
      <c r="W1753" s="4"/>
      <c r="X1753" s="4"/>
      <c r="Y1753" s="4"/>
      <c r="Z1753" s="4"/>
      <c r="AA1753" s="4"/>
      <c r="AB1753" s="4"/>
      <c r="AC1753" s="4"/>
      <c r="AD1753" s="4"/>
      <c r="AE1753" s="4"/>
      <c r="AF1753" s="4"/>
      <c r="AG1753" s="4"/>
    </row>
    <row r="1754" spans="2:33" x14ac:dyDescent="0.2">
      <c r="B1754" s="48"/>
      <c r="C1754" s="57" t="s">
        <v>1131</v>
      </c>
      <c r="D1754" s="44"/>
      <c r="E1754" s="86" t="s">
        <v>1035</v>
      </c>
      <c r="F1754" s="22" t="str">
        <f>IF(H1755=1,IF(H1753=H$2,H1753,""),"")</f>
        <v/>
      </c>
      <c r="G1754" s="19"/>
      <c r="H1754" s="21" t="str">
        <f>IF(E$1872="comprobar",COUNTIF(D1753:D1757,"x"),"")</f>
        <v/>
      </c>
      <c r="I1754" s="4"/>
      <c r="J1754" s="4"/>
      <c r="K1754" s="4"/>
      <c r="L1754" s="4"/>
      <c r="M1754" s="4"/>
      <c r="N1754" s="4"/>
      <c r="O1754" s="4"/>
      <c r="P1754" s="4"/>
      <c r="Q1754" s="4"/>
      <c r="R1754" s="4"/>
      <c r="S1754" s="4"/>
      <c r="T1754" s="4"/>
      <c r="U1754" s="4"/>
      <c r="V1754" s="4"/>
      <c r="W1754" s="4"/>
      <c r="X1754" s="4"/>
      <c r="Y1754" s="4"/>
      <c r="Z1754" s="4"/>
      <c r="AA1754" s="4"/>
      <c r="AB1754" s="4"/>
      <c r="AC1754" s="4"/>
      <c r="AD1754" s="4"/>
      <c r="AE1754" s="4"/>
      <c r="AF1754" s="4"/>
      <c r="AG1754" s="4"/>
    </row>
    <row r="1755" spans="2:33" x14ac:dyDescent="0.2">
      <c r="B1755" s="48"/>
      <c r="C1755" s="57" t="s">
        <v>1132</v>
      </c>
      <c r="D1755" s="44"/>
      <c r="E1755" s="86" t="s">
        <v>1036</v>
      </c>
      <c r="F1755" s="23" t="str">
        <f>IF(H1755=-0.33,IF(H1753=H$1,H1753,""),"")</f>
        <v/>
      </c>
      <c r="G1755" s="19"/>
      <c r="H1755" s="24">
        <f>IF(H1754=1,IF(H1753=H$2,1,-0.33),0)</f>
        <v>0</v>
      </c>
      <c r="I1755" s="4"/>
      <c r="J1755" s="4"/>
      <c r="K1755" s="4"/>
      <c r="L1755" s="4"/>
      <c r="M1755" s="4"/>
      <c r="N1755" s="4"/>
      <c r="O1755" s="4"/>
      <c r="P1755" s="4"/>
      <c r="Q1755" s="4"/>
      <c r="R1755" s="4"/>
      <c r="S1755" s="4"/>
      <c r="T1755" s="4"/>
      <c r="U1755" s="4"/>
      <c r="V1755" s="4"/>
      <c r="W1755" s="4"/>
      <c r="X1755" s="4"/>
      <c r="Y1755" s="4"/>
      <c r="Z1755" s="4"/>
      <c r="AA1755" s="4"/>
      <c r="AB1755" s="4"/>
      <c r="AC1755" s="4"/>
      <c r="AD1755" s="4"/>
      <c r="AE1755" s="4"/>
      <c r="AF1755" s="4"/>
      <c r="AG1755" s="4"/>
    </row>
    <row r="1756" spans="2:33" x14ac:dyDescent="0.2">
      <c r="B1756" s="48"/>
      <c r="C1756" s="57" t="s">
        <v>1133</v>
      </c>
      <c r="D1756" s="44"/>
      <c r="E1756" s="86" t="s">
        <v>1037</v>
      </c>
      <c r="F1756" s="20"/>
      <c r="G1756" s="19"/>
      <c r="H1756" s="24"/>
      <c r="I1756" s="4"/>
      <c r="J1756" s="4"/>
      <c r="K1756" s="4"/>
      <c r="L1756" s="4"/>
      <c r="M1756" s="4"/>
      <c r="N1756" s="4"/>
      <c r="O1756" s="4"/>
      <c r="P1756" s="4"/>
      <c r="Q1756" s="4"/>
      <c r="R1756" s="4"/>
      <c r="S1756" s="4"/>
      <c r="T1756" s="4"/>
      <c r="U1756" s="4"/>
      <c r="V1756" s="4"/>
      <c r="W1756" s="4"/>
      <c r="X1756" s="4"/>
      <c r="Y1756" s="4"/>
      <c r="Z1756" s="4"/>
      <c r="AA1756" s="4"/>
      <c r="AB1756" s="4"/>
      <c r="AC1756" s="4"/>
      <c r="AD1756" s="4"/>
      <c r="AE1756" s="4"/>
      <c r="AF1756" s="4"/>
      <c r="AG1756" s="4"/>
    </row>
    <row r="1757" spans="2:33" x14ac:dyDescent="0.2">
      <c r="B1757" s="48"/>
      <c r="C1757" s="8"/>
      <c r="D1757" s="44"/>
      <c r="E1757" s="86" t="s">
        <v>1038</v>
      </c>
      <c r="F1757" s="20"/>
      <c r="G1757" s="19"/>
      <c r="H1757" s="24"/>
      <c r="I1757" s="4"/>
      <c r="J1757" s="4"/>
      <c r="K1757" s="4"/>
      <c r="L1757" s="4"/>
      <c r="M1757" s="4"/>
      <c r="N1757" s="4"/>
      <c r="O1757" s="4"/>
      <c r="P1757" s="4"/>
      <c r="Q1757" s="4"/>
      <c r="R1757" s="4"/>
      <c r="S1757" s="4"/>
      <c r="T1757" s="4"/>
      <c r="U1757" s="4"/>
      <c r="V1757" s="4"/>
      <c r="W1757" s="4"/>
      <c r="X1757" s="4"/>
      <c r="Y1757" s="4"/>
      <c r="Z1757" s="4"/>
      <c r="AA1757" s="4"/>
      <c r="AB1757" s="4"/>
      <c r="AC1757" s="4"/>
      <c r="AD1757" s="4"/>
      <c r="AE1757" s="4"/>
      <c r="AF1757" s="4"/>
      <c r="AG1757" s="4"/>
    </row>
    <row r="1758" spans="2:33" x14ac:dyDescent="0.2">
      <c r="B1758" s="49" t="s">
        <v>1134</v>
      </c>
      <c r="C1758" s="13"/>
      <c r="D1758" s="45"/>
      <c r="E1758" s="85"/>
      <c r="F1758" s="16"/>
      <c r="G1758" s="15"/>
      <c r="H1758" s="15"/>
      <c r="I1758" s="4"/>
      <c r="J1758" s="4"/>
      <c r="K1758" s="4"/>
      <c r="L1758" s="4"/>
      <c r="M1758" s="4"/>
      <c r="N1758" s="4"/>
      <c r="O1758" s="4"/>
      <c r="P1758" s="4"/>
      <c r="Q1758" s="4"/>
      <c r="R1758" s="4"/>
      <c r="S1758" s="4"/>
      <c r="T1758" s="4"/>
      <c r="U1758" s="4"/>
      <c r="V1758" s="4"/>
      <c r="W1758" s="4"/>
      <c r="X1758" s="4"/>
      <c r="Y1758" s="4"/>
      <c r="Z1758" s="4"/>
      <c r="AA1758" s="4"/>
      <c r="AB1758" s="4"/>
      <c r="AC1758" s="4"/>
      <c r="AD1758" s="4"/>
      <c r="AE1758" s="4"/>
      <c r="AF1758" s="4"/>
      <c r="AG1758" s="4"/>
    </row>
    <row r="1759" spans="2:33" ht="32" x14ac:dyDescent="0.2">
      <c r="B1759" s="48"/>
      <c r="C1759" s="60" t="s">
        <v>1135</v>
      </c>
      <c r="D1759" s="44"/>
      <c r="E1759" s="86" t="s">
        <v>1034</v>
      </c>
      <c r="F1759" s="20"/>
      <c r="G1759" s="19"/>
      <c r="H1759" s="21" t="b">
        <f>IF(D1762="x",H$2,H$1)</f>
        <v>0</v>
      </c>
      <c r="I1759" s="4"/>
      <c r="J1759" s="4"/>
      <c r="K1759" s="4"/>
      <c r="L1759" s="4"/>
      <c r="M1759" s="4"/>
      <c r="N1759" s="4"/>
      <c r="O1759" s="4"/>
      <c r="P1759" s="4"/>
      <c r="Q1759" s="4"/>
      <c r="R1759" s="4"/>
      <c r="S1759" s="4"/>
      <c r="T1759" s="4"/>
      <c r="U1759" s="4"/>
      <c r="V1759" s="4"/>
      <c r="W1759" s="4"/>
      <c r="X1759" s="4"/>
      <c r="Y1759" s="4"/>
      <c r="Z1759" s="4"/>
      <c r="AA1759" s="4"/>
      <c r="AB1759" s="4"/>
      <c r="AC1759" s="4"/>
      <c r="AD1759" s="4"/>
      <c r="AE1759" s="4"/>
      <c r="AF1759" s="4"/>
      <c r="AG1759" s="4"/>
    </row>
    <row r="1760" spans="2:33" x14ac:dyDescent="0.2">
      <c r="B1760" s="52"/>
      <c r="C1760" s="61" t="s">
        <v>1136</v>
      </c>
      <c r="D1760" s="44"/>
      <c r="E1760" s="86" t="s">
        <v>1035</v>
      </c>
      <c r="F1760" s="22" t="str">
        <f>IF(H1761=1,IF(H1759=H$2,H1759,""),"")</f>
        <v/>
      </c>
      <c r="G1760" s="19"/>
      <c r="H1760" s="21" t="str">
        <f t="shared" ref="H1760" si="584">IF(E$1872="comprobar",COUNTIF(D1759:D1763,"x"),"")</f>
        <v/>
      </c>
      <c r="I1760" s="4"/>
      <c r="J1760" s="4"/>
      <c r="K1760" s="4"/>
      <c r="L1760" s="4"/>
      <c r="M1760" s="4"/>
      <c r="N1760" s="4"/>
      <c r="O1760" s="4"/>
      <c r="P1760" s="4"/>
      <c r="Q1760" s="4"/>
      <c r="R1760" s="4"/>
      <c r="S1760" s="4"/>
      <c r="T1760" s="4"/>
      <c r="U1760" s="4"/>
      <c r="V1760" s="4"/>
      <c r="W1760" s="4"/>
      <c r="X1760" s="4"/>
      <c r="Y1760" s="4"/>
      <c r="Z1760" s="4"/>
      <c r="AA1760" s="4"/>
      <c r="AB1760" s="4"/>
      <c r="AC1760" s="4"/>
      <c r="AD1760" s="4"/>
      <c r="AE1760" s="4"/>
      <c r="AF1760" s="4"/>
      <c r="AG1760" s="4"/>
    </row>
    <row r="1761" spans="2:33" x14ac:dyDescent="0.2">
      <c r="B1761" s="48"/>
      <c r="C1761" s="57" t="s">
        <v>1137</v>
      </c>
      <c r="D1761" s="44"/>
      <c r="E1761" s="86" t="s">
        <v>1036</v>
      </c>
      <c r="F1761" s="23" t="str">
        <f>IF(H1761=-0.33,IF(H1759=H$1,H1759,""),"")</f>
        <v/>
      </c>
      <c r="G1761" s="19"/>
      <c r="H1761" s="24">
        <f t="shared" ref="H1761" si="585">IF(H1760=1,IF(H1759=H$2,1,-0.33),0)</f>
        <v>0</v>
      </c>
      <c r="I1761" s="4"/>
      <c r="J1761" s="4"/>
      <c r="K1761" s="4"/>
      <c r="L1761" s="4"/>
      <c r="M1761" s="4"/>
      <c r="N1761" s="4"/>
      <c r="O1761" s="4"/>
      <c r="P1761" s="4"/>
      <c r="Q1761" s="4"/>
      <c r="R1761" s="4"/>
      <c r="S1761" s="4"/>
      <c r="T1761" s="4"/>
      <c r="U1761" s="4"/>
      <c r="V1761" s="4"/>
      <c r="W1761" s="4"/>
      <c r="X1761" s="4"/>
      <c r="Y1761" s="4"/>
      <c r="Z1761" s="4"/>
      <c r="AA1761" s="4"/>
      <c r="AB1761" s="4"/>
      <c r="AC1761" s="4"/>
      <c r="AD1761" s="4"/>
      <c r="AE1761" s="4"/>
      <c r="AF1761" s="4"/>
      <c r="AG1761" s="4"/>
    </row>
    <row r="1762" spans="2:33" x14ac:dyDescent="0.2">
      <c r="B1762" s="48"/>
      <c r="C1762" s="57" t="s">
        <v>1133</v>
      </c>
      <c r="D1762" s="44"/>
      <c r="E1762" s="86" t="s">
        <v>1037</v>
      </c>
      <c r="F1762" s="20"/>
      <c r="G1762" s="19"/>
      <c r="H1762" s="24"/>
      <c r="I1762" s="4"/>
      <c r="J1762" s="4"/>
      <c r="K1762" s="4"/>
      <c r="L1762" s="4"/>
      <c r="M1762" s="4"/>
      <c r="N1762" s="4"/>
      <c r="O1762" s="4"/>
      <c r="P1762" s="4"/>
      <c r="Q1762" s="4"/>
      <c r="R1762" s="4"/>
      <c r="S1762" s="4"/>
      <c r="T1762" s="4"/>
      <c r="U1762" s="4"/>
      <c r="V1762" s="4"/>
      <c r="W1762" s="4"/>
      <c r="X1762" s="4"/>
      <c r="Y1762" s="4"/>
      <c r="Z1762" s="4"/>
      <c r="AA1762" s="4"/>
      <c r="AB1762" s="4"/>
      <c r="AC1762" s="4"/>
      <c r="AD1762" s="4"/>
      <c r="AE1762" s="4"/>
      <c r="AF1762" s="4"/>
      <c r="AG1762" s="4"/>
    </row>
    <row r="1763" spans="2:33" x14ac:dyDescent="0.2">
      <c r="B1763" s="48"/>
      <c r="C1763" s="8"/>
      <c r="D1763" s="44"/>
      <c r="E1763" s="86" t="s">
        <v>1038</v>
      </c>
      <c r="F1763" s="20"/>
      <c r="G1763" s="19"/>
      <c r="H1763" s="24"/>
      <c r="I1763" s="4"/>
      <c r="J1763" s="4"/>
      <c r="K1763" s="4"/>
      <c r="L1763" s="4"/>
      <c r="M1763" s="4"/>
      <c r="N1763" s="4"/>
      <c r="O1763" s="4"/>
      <c r="P1763" s="4"/>
      <c r="Q1763" s="4"/>
      <c r="R1763" s="4"/>
      <c r="S1763" s="4"/>
      <c r="T1763" s="4"/>
      <c r="U1763" s="4"/>
      <c r="V1763" s="4"/>
      <c r="W1763" s="4"/>
      <c r="X1763" s="4"/>
      <c r="Y1763" s="4"/>
      <c r="Z1763" s="4"/>
      <c r="AA1763" s="4"/>
      <c r="AB1763" s="4"/>
      <c r="AC1763" s="4"/>
      <c r="AD1763" s="4"/>
      <c r="AE1763" s="4"/>
      <c r="AF1763" s="4"/>
      <c r="AG1763" s="4"/>
    </row>
    <row r="1764" spans="2:33" x14ac:dyDescent="0.2">
      <c r="B1764" s="49" t="s">
        <v>1138</v>
      </c>
      <c r="C1764" s="13"/>
      <c r="D1764" s="45"/>
      <c r="E1764" s="85"/>
      <c r="F1764" s="16"/>
      <c r="G1764" s="15"/>
      <c r="H1764" s="15"/>
      <c r="I1764" s="4"/>
      <c r="J1764" s="4"/>
      <c r="K1764" s="4"/>
      <c r="L1764" s="4"/>
      <c r="M1764" s="4"/>
      <c r="N1764" s="4"/>
      <c r="O1764" s="4"/>
      <c r="P1764" s="4"/>
      <c r="Q1764" s="4"/>
      <c r="R1764" s="4"/>
      <c r="S1764" s="4"/>
      <c r="T1764" s="4"/>
      <c r="U1764" s="4"/>
      <c r="V1764" s="4"/>
      <c r="W1764" s="4"/>
      <c r="X1764" s="4"/>
      <c r="Y1764" s="4"/>
      <c r="Z1764" s="4"/>
      <c r="AA1764" s="4"/>
      <c r="AB1764" s="4"/>
      <c r="AC1764" s="4"/>
      <c r="AD1764" s="4"/>
      <c r="AE1764" s="4"/>
      <c r="AF1764" s="4"/>
      <c r="AG1764" s="4"/>
    </row>
    <row r="1765" spans="2:33" x14ac:dyDescent="0.2">
      <c r="B1765" s="52"/>
      <c r="C1765" s="56" t="s">
        <v>1139</v>
      </c>
      <c r="D1765" s="44"/>
      <c r="E1765" s="86" t="s">
        <v>1034</v>
      </c>
      <c r="F1765" s="20"/>
      <c r="G1765" s="19"/>
      <c r="H1765" s="21" t="b">
        <f>IF(D1765="x",H$2,H$1)</f>
        <v>0</v>
      </c>
      <c r="I1765" s="4"/>
      <c r="J1765" s="4"/>
      <c r="K1765" s="4"/>
      <c r="L1765" s="4"/>
      <c r="M1765" s="4"/>
      <c r="N1765" s="4"/>
      <c r="O1765" s="4"/>
      <c r="P1765" s="4"/>
      <c r="Q1765" s="4"/>
      <c r="R1765" s="4"/>
      <c r="S1765" s="4"/>
      <c r="T1765" s="4"/>
      <c r="U1765" s="4"/>
      <c r="V1765" s="4"/>
      <c r="W1765" s="4"/>
      <c r="X1765" s="4"/>
      <c r="Y1765" s="4"/>
      <c r="Z1765" s="4"/>
      <c r="AA1765" s="4"/>
      <c r="AB1765" s="4"/>
      <c r="AC1765" s="4"/>
      <c r="AD1765" s="4"/>
      <c r="AE1765" s="4"/>
      <c r="AF1765" s="4"/>
      <c r="AG1765" s="4"/>
    </row>
    <row r="1766" spans="2:33" x14ac:dyDescent="0.2">
      <c r="B1766" s="48"/>
      <c r="C1766" s="57" t="s">
        <v>1140</v>
      </c>
      <c r="D1766" s="44"/>
      <c r="E1766" s="86" t="s">
        <v>1035</v>
      </c>
      <c r="F1766" s="22" t="str">
        <f>IF(H1767=1,IF(H1765=H$2,H1765,""),"")</f>
        <v/>
      </c>
      <c r="G1766" s="19"/>
      <c r="H1766" s="21" t="str">
        <f t="shared" ref="H1766" si="586">IF(E$1872="comprobar",COUNTIF(D1765:D1769,"x"),"")</f>
        <v/>
      </c>
      <c r="I1766" s="4"/>
      <c r="J1766" s="4"/>
      <c r="K1766" s="4"/>
      <c r="L1766" s="4"/>
      <c r="M1766" s="4"/>
      <c r="N1766" s="4"/>
      <c r="O1766" s="4"/>
      <c r="P1766" s="4"/>
      <c r="Q1766" s="4"/>
      <c r="R1766" s="4"/>
      <c r="S1766" s="4"/>
      <c r="T1766" s="4"/>
      <c r="U1766" s="4"/>
      <c r="V1766" s="4"/>
      <c r="W1766" s="4"/>
      <c r="X1766" s="4"/>
      <c r="Y1766" s="4"/>
      <c r="Z1766" s="4"/>
      <c r="AA1766" s="4"/>
      <c r="AB1766" s="4"/>
      <c r="AC1766" s="4"/>
      <c r="AD1766" s="4"/>
      <c r="AE1766" s="4"/>
      <c r="AF1766" s="4"/>
      <c r="AG1766" s="4"/>
    </row>
    <row r="1767" spans="2:33" x14ac:dyDescent="0.2">
      <c r="B1767" s="48"/>
      <c r="C1767" s="57" t="s">
        <v>1141</v>
      </c>
      <c r="D1767" s="44"/>
      <c r="E1767" s="86" t="s">
        <v>1036</v>
      </c>
      <c r="F1767" s="23" t="str">
        <f>IF(H1767=-0.33,IF(H1765=H$1,H1765,""),"")</f>
        <v/>
      </c>
      <c r="G1767" s="19"/>
      <c r="H1767" s="24">
        <f t="shared" ref="H1767" si="587">IF(H1766=1,IF(H1765=H$2,1,-0.33),0)</f>
        <v>0</v>
      </c>
      <c r="I1767" s="4"/>
      <c r="J1767" s="4"/>
      <c r="K1767" s="4"/>
      <c r="L1767" s="4"/>
      <c r="M1767" s="4"/>
      <c r="N1767" s="4"/>
      <c r="O1767" s="4"/>
      <c r="P1767" s="4"/>
      <c r="Q1767" s="4"/>
      <c r="R1767" s="4"/>
      <c r="S1767" s="4"/>
      <c r="T1767" s="4"/>
      <c r="U1767" s="4"/>
      <c r="V1767" s="4"/>
      <c r="W1767" s="4"/>
      <c r="X1767" s="4"/>
      <c r="Y1767" s="4"/>
      <c r="Z1767" s="4"/>
      <c r="AA1767" s="4"/>
      <c r="AB1767" s="4"/>
      <c r="AC1767" s="4"/>
      <c r="AD1767" s="4"/>
      <c r="AE1767" s="4"/>
      <c r="AF1767" s="4"/>
      <c r="AG1767" s="4"/>
    </row>
    <row r="1768" spans="2:33" x14ac:dyDescent="0.2">
      <c r="B1768" s="52"/>
      <c r="C1768" s="57" t="s">
        <v>1142</v>
      </c>
      <c r="D1768" s="44"/>
      <c r="E1768" s="86" t="s">
        <v>1037</v>
      </c>
      <c r="F1768" s="20"/>
      <c r="G1768" s="19"/>
      <c r="H1768" s="24"/>
      <c r="I1768" s="4"/>
      <c r="J1768" s="4"/>
      <c r="K1768" s="4"/>
      <c r="L1768" s="4"/>
      <c r="M1768" s="4"/>
      <c r="N1768" s="4"/>
      <c r="O1768" s="4"/>
      <c r="P1768" s="4"/>
      <c r="Q1768" s="4"/>
      <c r="R1768" s="4"/>
      <c r="S1768" s="4"/>
      <c r="T1768" s="4"/>
      <c r="U1768" s="4"/>
      <c r="V1768" s="4"/>
      <c r="W1768" s="4"/>
      <c r="X1768" s="4"/>
      <c r="Y1768" s="4"/>
      <c r="Z1768" s="4"/>
      <c r="AA1768" s="4"/>
      <c r="AB1768" s="4"/>
      <c r="AC1768" s="4"/>
      <c r="AD1768" s="4"/>
      <c r="AE1768" s="4"/>
      <c r="AF1768" s="4"/>
      <c r="AG1768" s="4"/>
    </row>
    <row r="1769" spans="2:33" x14ac:dyDescent="0.2">
      <c r="B1769" s="48"/>
      <c r="C1769" s="8"/>
      <c r="D1769" s="44"/>
      <c r="E1769" s="86" t="s">
        <v>1038</v>
      </c>
      <c r="F1769" s="20"/>
      <c r="G1769" s="19"/>
      <c r="H1769" s="24"/>
      <c r="I1769" s="4"/>
      <c r="J1769" s="4"/>
      <c r="K1769" s="4"/>
      <c r="L1769" s="4"/>
      <c r="M1769" s="4"/>
      <c r="N1769" s="4"/>
      <c r="O1769" s="4"/>
      <c r="P1769" s="4"/>
      <c r="Q1769" s="4"/>
      <c r="R1769" s="4"/>
      <c r="S1769" s="4"/>
      <c r="T1769" s="4"/>
      <c r="U1769" s="4"/>
      <c r="V1769" s="4"/>
      <c r="W1769" s="4"/>
      <c r="X1769" s="4"/>
      <c r="Y1769" s="4"/>
      <c r="Z1769" s="4"/>
      <c r="AA1769" s="4"/>
      <c r="AB1769" s="4"/>
      <c r="AC1769" s="4"/>
      <c r="AD1769" s="4"/>
      <c r="AE1769" s="4"/>
      <c r="AF1769" s="4"/>
      <c r="AG1769" s="4"/>
    </row>
    <row r="1770" spans="2:33" x14ac:dyDescent="0.2">
      <c r="B1770" s="49" t="s">
        <v>1143</v>
      </c>
      <c r="C1770" s="13"/>
      <c r="D1770" s="45"/>
      <c r="E1770" s="85"/>
      <c r="F1770" s="16"/>
      <c r="G1770" s="15"/>
      <c r="H1770" s="15"/>
      <c r="I1770" s="4"/>
      <c r="J1770" s="4"/>
      <c r="K1770" s="4"/>
      <c r="L1770" s="4"/>
      <c r="M1770" s="4"/>
      <c r="N1770" s="4"/>
      <c r="O1770" s="4"/>
      <c r="P1770" s="4"/>
      <c r="Q1770" s="4"/>
      <c r="R1770" s="4"/>
      <c r="S1770" s="4"/>
      <c r="T1770" s="4"/>
      <c r="U1770" s="4"/>
      <c r="V1770" s="4"/>
      <c r="W1770" s="4"/>
      <c r="X1770" s="4"/>
      <c r="Y1770" s="4"/>
      <c r="Z1770" s="4"/>
      <c r="AA1770" s="4"/>
      <c r="AB1770" s="4"/>
      <c r="AC1770" s="4"/>
      <c r="AD1770" s="4"/>
      <c r="AE1770" s="4"/>
      <c r="AF1770" s="4"/>
      <c r="AG1770" s="4"/>
    </row>
    <row r="1771" spans="2:33" x14ac:dyDescent="0.2">
      <c r="B1771" s="48"/>
      <c r="C1771" s="56" t="s">
        <v>1144</v>
      </c>
      <c r="D1771" s="44"/>
      <c r="E1771" s="86" t="s">
        <v>1034</v>
      </c>
      <c r="F1771" s="20"/>
      <c r="G1771" s="19"/>
      <c r="H1771" s="21" t="b">
        <f>IF(D1772="x",H$2,H$1)</f>
        <v>0</v>
      </c>
      <c r="I1771" s="4"/>
      <c r="J1771" s="4"/>
      <c r="K1771" s="4"/>
      <c r="L1771" s="4"/>
      <c r="M1771" s="4"/>
      <c r="N1771" s="4"/>
      <c r="O1771" s="4"/>
      <c r="P1771" s="4"/>
      <c r="Q1771" s="4"/>
      <c r="R1771" s="4"/>
      <c r="S1771" s="4"/>
      <c r="T1771" s="4"/>
      <c r="U1771" s="4"/>
      <c r="V1771" s="4"/>
      <c r="W1771" s="4"/>
      <c r="X1771" s="4"/>
      <c r="Y1771" s="4"/>
      <c r="Z1771" s="4"/>
      <c r="AA1771" s="4"/>
      <c r="AB1771" s="4"/>
      <c r="AC1771" s="4"/>
      <c r="AD1771" s="4"/>
      <c r="AE1771" s="4"/>
      <c r="AF1771" s="4"/>
      <c r="AG1771" s="4"/>
    </row>
    <row r="1772" spans="2:33" x14ac:dyDescent="0.2">
      <c r="B1772" s="52"/>
      <c r="C1772" s="57" t="s">
        <v>1145</v>
      </c>
      <c r="D1772" s="44"/>
      <c r="E1772" s="86" t="s">
        <v>1035</v>
      </c>
      <c r="F1772" s="22" t="str">
        <f>IF(H1773=1,IF(H1771=H$2,H1771,""),"")</f>
        <v/>
      </c>
      <c r="G1772" s="19"/>
      <c r="H1772" s="21" t="str">
        <f t="shared" ref="H1772" si="588">IF(E$1872="comprobar",COUNTIF(D1771:D1775,"x"),"")</f>
        <v/>
      </c>
      <c r="I1772" s="4"/>
      <c r="J1772" s="4"/>
      <c r="K1772" s="4"/>
      <c r="L1772" s="4"/>
      <c r="M1772" s="4"/>
      <c r="N1772" s="4"/>
      <c r="O1772" s="4"/>
      <c r="P1772" s="4"/>
      <c r="Q1772" s="4"/>
      <c r="R1772" s="4"/>
      <c r="S1772" s="4"/>
      <c r="T1772" s="4"/>
      <c r="U1772" s="4"/>
      <c r="V1772" s="4"/>
      <c r="W1772" s="4"/>
      <c r="X1772" s="4"/>
      <c r="Y1772" s="4"/>
      <c r="Z1772" s="4"/>
      <c r="AA1772" s="4"/>
      <c r="AB1772" s="4"/>
      <c r="AC1772" s="4"/>
      <c r="AD1772" s="4"/>
      <c r="AE1772" s="4"/>
      <c r="AF1772" s="4"/>
      <c r="AG1772" s="4"/>
    </row>
    <row r="1773" spans="2:33" x14ac:dyDescent="0.2">
      <c r="B1773" s="48"/>
      <c r="C1773" s="57" t="s">
        <v>1146</v>
      </c>
      <c r="D1773" s="44"/>
      <c r="E1773" s="86" t="s">
        <v>1036</v>
      </c>
      <c r="F1773" s="23" t="str">
        <f>IF(H1773=-0.33,IF(H1771=H$1,H1771,""),"")</f>
        <v/>
      </c>
      <c r="G1773" s="19"/>
      <c r="H1773" s="24">
        <f t="shared" ref="H1773" si="589">IF(H1772=1,IF(H1771=H$2,1,-0.33),0)</f>
        <v>0</v>
      </c>
      <c r="I1773" s="4"/>
      <c r="J1773" s="4"/>
      <c r="K1773" s="4"/>
      <c r="L1773" s="4"/>
      <c r="M1773" s="4"/>
      <c r="N1773" s="4"/>
      <c r="O1773" s="4"/>
      <c r="P1773" s="4"/>
      <c r="Q1773" s="4"/>
      <c r="R1773" s="4"/>
      <c r="S1773" s="4"/>
      <c r="T1773" s="4"/>
      <c r="U1773" s="4"/>
      <c r="V1773" s="4"/>
      <c r="W1773" s="4"/>
      <c r="X1773" s="4"/>
      <c r="Y1773" s="4"/>
      <c r="Z1773" s="4"/>
      <c r="AA1773" s="4"/>
      <c r="AB1773" s="4"/>
      <c r="AC1773" s="4"/>
      <c r="AD1773" s="4"/>
      <c r="AE1773" s="4"/>
      <c r="AF1773" s="4"/>
      <c r="AG1773" s="4"/>
    </row>
    <row r="1774" spans="2:33" x14ac:dyDescent="0.2">
      <c r="B1774" s="48"/>
      <c r="C1774" s="57" t="s">
        <v>1147</v>
      </c>
      <c r="D1774" s="44"/>
      <c r="E1774" s="86" t="s">
        <v>1037</v>
      </c>
      <c r="F1774" s="20"/>
      <c r="G1774" s="19"/>
      <c r="H1774" s="24"/>
      <c r="I1774" s="4"/>
      <c r="J1774" s="4"/>
      <c r="K1774" s="4"/>
      <c r="L1774" s="4"/>
      <c r="M1774" s="4"/>
      <c r="N1774" s="4"/>
      <c r="O1774" s="4"/>
      <c r="P1774" s="4"/>
      <c r="Q1774" s="4"/>
      <c r="R1774" s="4"/>
      <c r="S1774" s="4"/>
      <c r="T1774" s="4"/>
      <c r="U1774" s="4"/>
      <c r="V1774" s="4"/>
      <c r="W1774" s="4"/>
      <c r="X1774" s="4"/>
      <c r="Y1774" s="4"/>
      <c r="Z1774" s="4"/>
      <c r="AA1774" s="4"/>
      <c r="AB1774" s="4"/>
      <c r="AC1774" s="4"/>
      <c r="AD1774" s="4"/>
      <c r="AE1774" s="4"/>
      <c r="AF1774" s="4"/>
      <c r="AG1774" s="4"/>
    </row>
    <row r="1775" spans="2:33" x14ac:dyDescent="0.2">
      <c r="B1775" s="48"/>
      <c r="C1775" s="8"/>
      <c r="D1775" s="44"/>
      <c r="E1775" s="86" t="s">
        <v>1038</v>
      </c>
      <c r="F1775" s="20"/>
      <c r="G1775" s="19"/>
      <c r="H1775" s="24"/>
      <c r="I1775" s="4"/>
      <c r="J1775" s="4"/>
      <c r="K1775" s="4"/>
      <c r="L1775" s="4"/>
      <c r="M1775" s="4"/>
      <c r="N1775" s="4"/>
      <c r="O1775" s="4"/>
      <c r="P1775" s="4"/>
      <c r="Q1775" s="4"/>
      <c r="R1775" s="4"/>
      <c r="S1775" s="4"/>
      <c r="T1775" s="4"/>
      <c r="U1775" s="4"/>
      <c r="V1775" s="4"/>
      <c r="W1775" s="4"/>
      <c r="X1775" s="4"/>
      <c r="Y1775" s="4"/>
      <c r="Z1775" s="4"/>
      <c r="AA1775" s="4"/>
      <c r="AB1775" s="4"/>
      <c r="AC1775" s="4"/>
      <c r="AD1775" s="4"/>
      <c r="AE1775" s="4"/>
      <c r="AF1775" s="4"/>
      <c r="AG1775" s="4"/>
    </row>
    <row r="1776" spans="2:33" x14ac:dyDescent="0.2">
      <c r="B1776" s="49" t="s">
        <v>1148</v>
      </c>
      <c r="C1776" s="36"/>
      <c r="D1776" s="45"/>
      <c r="E1776" s="85"/>
      <c r="F1776" s="16"/>
      <c r="G1776" s="15"/>
      <c r="H1776" s="15"/>
      <c r="I1776" s="4"/>
      <c r="J1776" s="4"/>
      <c r="K1776" s="4"/>
      <c r="L1776" s="4"/>
      <c r="M1776" s="4"/>
      <c r="N1776" s="4"/>
      <c r="O1776" s="4"/>
      <c r="P1776" s="4"/>
      <c r="Q1776" s="4"/>
      <c r="R1776" s="4"/>
      <c r="S1776" s="4"/>
      <c r="T1776" s="4"/>
      <c r="U1776" s="4"/>
      <c r="V1776" s="4"/>
      <c r="W1776" s="4"/>
      <c r="X1776" s="4"/>
      <c r="Y1776" s="4"/>
      <c r="Z1776" s="4"/>
      <c r="AA1776" s="4"/>
      <c r="AB1776" s="4"/>
      <c r="AC1776" s="4"/>
      <c r="AD1776" s="4"/>
      <c r="AE1776" s="4"/>
      <c r="AF1776" s="4"/>
      <c r="AG1776" s="4"/>
    </row>
    <row r="1777" spans="2:33" x14ac:dyDescent="0.2">
      <c r="B1777" s="48"/>
      <c r="C1777" s="60" t="s">
        <v>1149</v>
      </c>
      <c r="D1777" s="44"/>
      <c r="E1777" s="86" t="s">
        <v>1034</v>
      </c>
      <c r="F1777" s="20"/>
      <c r="G1777" s="19"/>
      <c r="H1777" s="21" t="b">
        <f>IF(D1779="x",H$2,H$1)</f>
        <v>0</v>
      </c>
      <c r="I1777" s="4"/>
      <c r="J1777" s="4"/>
      <c r="K1777" s="4"/>
      <c r="L1777" s="4"/>
      <c r="M1777" s="4"/>
      <c r="N1777" s="4"/>
      <c r="O1777" s="4"/>
      <c r="P1777" s="4"/>
      <c r="Q1777" s="4"/>
      <c r="R1777" s="4"/>
      <c r="S1777" s="4"/>
      <c r="T1777" s="4"/>
      <c r="U1777" s="4"/>
      <c r="V1777" s="4"/>
      <c r="W1777" s="4"/>
      <c r="X1777" s="4"/>
      <c r="Y1777" s="4"/>
      <c r="Z1777" s="4"/>
      <c r="AA1777" s="4"/>
      <c r="AB1777" s="4"/>
      <c r="AC1777" s="4"/>
      <c r="AD1777" s="4"/>
      <c r="AE1777" s="4"/>
      <c r="AF1777" s="4"/>
      <c r="AG1777" s="4"/>
    </row>
    <row r="1778" spans="2:33" x14ac:dyDescent="0.2">
      <c r="B1778" s="48"/>
      <c r="C1778" s="57" t="s">
        <v>1150</v>
      </c>
      <c r="D1778" s="44"/>
      <c r="E1778" s="86" t="s">
        <v>1035</v>
      </c>
      <c r="F1778" s="22" t="str">
        <f>IF(H1779=1,IF(H1777=H$2,H1777,""),"")</f>
        <v/>
      </c>
      <c r="G1778" s="19"/>
      <c r="H1778" s="21" t="str">
        <f t="shared" ref="H1778" si="590">IF(E$1872="comprobar",COUNTIF(D1777:D1781,"x"),"")</f>
        <v/>
      </c>
      <c r="I1778" s="4"/>
      <c r="J1778" s="4"/>
      <c r="K1778" s="4"/>
      <c r="L1778" s="4"/>
      <c r="M1778" s="4"/>
      <c r="N1778" s="4"/>
      <c r="O1778" s="4"/>
      <c r="P1778" s="4"/>
      <c r="Q1778" s="4"/>
      <c r="R1778" s="4"/>
      <c r="S1778" s="4"/>
      <c r="T1778" s="4"/>
      <c r="U1778" s="4"/>
      <c r="V1778" s="4"/>
      <c r="W1778" s="4"/>
      <c r="X1778" s="4"/>
      <c r="Y1778" s="4"/>
      <c r="Z1778" s="4"/>
      <c r="AA1778" s="4"/>
      <c r="AB1778" s="4"/>
      <c r="AC1778" s="4"/>
      <c r="AD1778" s="4"/>
      <c r="AE1778" s="4"/>
      <c r="AF1778" s="4"/>
      <c r="AG1778" s="4"/>
    </row>
    <row r="1779" spans="2:33" x14ac:dyDescent="0.2">
      <c r="B1779" s="48"/>
      <c r="C1779" s="57" t="s">
        <v>1151</v>
      </c>
      <c r="D1779" s="44"/>
      <c r="E1779" s="86" t="s">
        <v>1036</v>
      </c>
      <c r="F1779" s="23" t="str">
        <f>IF(H1779=-0.33,IF(H1777=H$1,H1777,""),"")</f>
        <v/>
      </c>
      <c r="G1779" s="19"/>
      <c r="H1779" s="24">
        <f t="shared" ref="H1779" si="591">IF(H1778=1,IF(H1777=H$2,1,-0.33),0)</f>
        <v>0</v>
      </c>
      <c r="I1779" s="4"/>
      <c r="J1779" s="4"/>
      <c r="K1779" s="4"/>
      <c r="L1779" s="4"/>
      <c r="M1779" s="4"/>
      <c r="N1779" s="4"/>
      <c r="O1779" s="4"/>
      <c r="P1779" s="4"/>
      <c r="Q1779" s="4"/>
      <c r="R1779" s="4"/>
      <c r="S1779" s="4"/>
      <c r="T1779" s="4"/>
      <c r="U1779" s="4"/>
      <c r="V1779" s="4"/>
      <c r="W1779" s="4"/>
      <c r="X1779" s="4"/>
      <c r="Y1779" s="4"/>
      <c r="Z1779" s="4"/>
      <c r="AA1779" s="4"/>
      <c r="AB1779" s="4"/>
      <c r="AC1779" s="4"/>
      <c r="AD1779" s="4"/>
      <c r="AE1779" s="4"/>
      <c r="AF1779" s="4"/>
      <c r="AG1779" s="4"/>
    </row>
    <row r="1780" spans="2:33" x14ac:dyDescent="0.2">
      <c r="B1780" s="48"/>
      <c r="C1780" s="57"/>
      <c r="D1780" s="44"/>
      <c r="E1780" s="86" t="s">
        <v>1037</v>
      </c>
      <c r="F1780" s="20"/>
      <c r="G1780" s="19"/>
      <c r="H1780" s="24"/>
      <c r="I1780" s="4"/>
      <c r="J1780" s="4"/>
      <c r="K1780" s="4"/>
      <c r="L1780" s="4"/>
      <c r="M1780" s="4"/>
      <c r="N1780" s="4"/>
      <c r="O1780" s="4"/>
      <c r="P1780" s="4"/>
      <c r="Q1780" s="4"/>
      <c r="R1780" s="4"/>
      <c r="S1780" s="4"/>
      <c r="T1780" s="4"/>
      <c r="U1780" s="4"/>
      <c r="V1780" s="4"/>
      <c r="W1780" s="4"/>
      <c r="X1780" s="4"/>
      <c r="Y1780" s="4"/>
      <c r="Z1780" s="4"/>
      <c r="AA1780" s="4"/>
      <c r="AB1780" s="4"/>
      <c r="AC1780" s="4"/>
      <c r="AD1780" s="4"/>
      <c r="AE1780" s="4"/>
      <c r="AF1780" s="4"/>
      <c r="AG1780" s="4"/>
    </row>
    <row r="1781" spans="2:33" x14ac:dyDescent="0.2">
      <c r="B1781" s="48"/>
      <c r="C1781" s="8"/>
      <c r="D1781" s="44"/>
      <c r="E1781" s="86" t="s">
        <v>1038</v>
      </c>
      <c r="F1781" s="20"/>
      <c r="G1781" s="19"/>
      <c r="H1781" s="24"/>
      <c r="I1781" s="4"/>
      <c r="J1781" s="4"/>
      <c r="K1781" s="4"/>
      <c r="L1781" s="4"/>
      <c r="M1781" s="4"/>
      <c r="N1781" s="4"/>
      <c r="O1781" s="4"/>
      <c r="P1781" s="4"/>
      <c r="Q1781" s="4"/>
      <c r="R1781" s="4"/>
      <c r="S1781" s="4"/>
      <c r="T1781" s="4"/>
      <c r="U1781" s="4"/>
      <c r="V1781" s="4"/>
      <c r="W1781" s="4"/>
      <c r="X1781" s="4"/>
      <c r="Y1781" s="4"/>
      <c r="Z1781" s="4"/>
      <c r="AA1781" s="4"/>
      <c r="AB1781" s="4"/>
      <c r="AC1781" s="4"/>
      <c r="AD1781" s="4"/>
      <c r="AE1781" s="4"/>
      <c r="AF1781" s="4"/>
      <c r="AG1781" s="4"/>
    </row>
    <row r="1782" spans="2:33" x14ac:dyDescent="0.2">
      <c r="B1782" s="49" t="s">
        <v>1152</v>
      </c>
      <c r="C1782" s="13"/>
      <c r="D1782" s="45"/>
      <c r="E1782" s="85"/>
      <c r="F1782" s="16"/>
      <c r="G1782" s="15"/>
      <c r="H1782" s="15"/>
      <c r="I1782" s="4"/>
      <c r="J1782" s="4"/>
      <c r="K1782" s="4"/>
      <c r="L1782" s="4"/>
      <c r="M1782" s="4"/>
      <c r="N1782" s="4"/>
      <c r="O1782" s="4"/>
      <c r="P1782" s="4"/>
      <c r="Q1782" s="4"/>
      <c r="R1782" s="4"/>
      <c r="S1782" s="4"/>
      <c r="T1782" s="4"/>
      <c r="U1782" s="4"/>
      <c r="V1782" s="4"/>
      <c r="W1782" s="4"/>
      <c r="X1782" s="4"/>
      <c r="Y1782" s="4"/>
      <c r="Z1782" s="4"/>
      <c r="AA1782" s="4"/>
      <c r="AB1782" s="4"/>
      <c r="AC1782" s="4"/>
      <c r="AD1782" s="4"/>
      <c r="AE1782" s="4"/>
      <c r="AF1782" s="4"/>
      <c r="AG1782" s="4"/>
    </row>
    <row r="1783" spans="2:33" x14ac:dyDescent="0.2">
      <c r="B1783" s="52"/>
      <c r="C1783" s="56" t="s">
        <v>1153</v>
      </c>
      <c r="D1783" s="44"/>
      <c r="E1783" s="86" t="s">
        <v>1034</v>
      </c>
      <c r="F1783" s="20"/>
      <c r="G1783" s="19"/>
      <c r="H1783" s="21" t="b">
        <f>IF(D1785="x",H$2,H$1)</f>
        <v>0</v>
      </c>
      <c r="I1783" s="4"/>
      <c r="J1783" s="4"/>
      <c r="K1783" s="4"/>
      <c r="L1783" s="4"/>
      <c r="M1783" s="4"/>
      <c r="N1783" s="4"/>
      <c r="O1783" s="4"/>
      <c r="P1783" s="4"/>
      <c r="Q1783" s="4"/>
      <c r="R1783" s="4"/>
      <c r="S1783" s="4"/>
      <c r="T1783" s="4"/>
      <c r="U1783" s="4"/>
      <c r="V1783" s="4"/>
      <c r="W1783" s="4"/>
      <c r="X1783" s="4"/>
      <c r="Y1783" s="4"/>
      <c r="Z1783" s="4"/>
      <c r="AA1783" s="4"/>
      <c r="AB1783" s="4"/>
      <c r="AC1783" s="4"/>
      <c r="AD1783" s="4"/>
      <c r="AE1783" s="4"/>
      <c r="AF1783" s="4"/>
      <c r="AG1783" s="4"/>
    </row>
    <row r="1784" spans="2:33" x14ac:dyDescent="0.2">
      <c r="B1784" s="48"/>
      <c r="C1784" s="57" t="s">
        <v>1154</v>
      </c>
      <c r="D1784" s="44"/>
      <c r="E1784" s="86" t="s">
        <v>1035</v>
      </c>
      <c r="F1784" s="22" t="str">
        <f>IF(H1785=1,IF(H1783=H$2,H1783,""),"")</f>
        <v/>
      </c>
      <c r="G1784" s="19"/>
      <c r="H1784" s="21" t="str">
        <f t="shared" ref="H1784" si="592">IF(E$1872="comprobar",COUNTIF(D1783:D1787,"x"),"")</f>
        <v/>
      </c>
      <c r="I1784" s="4"/>
      <c r="J1784" s="4"/>
      <c r="K1784" s="4"/>
      <c r="L1784" s="4"/>
      <c r="M1784" s="4"/>
      <c r="N1784" s="4"/>
      <c r="O1784" s="4"/>
      <c r="P1784" s="4"/>
      <c r="Q1784" s="4"/>
      <c r="R1784" s="4"/>
      <c r="S1784" s="4"/>
      <c r="T1784" s="4"/>
      <c r="U1784" s="4"/>
      <c r="V1784" s="4"/>
      <c r="W1784" s="4"/>
      <c r="X1784" s="4"/>
      <c r="Y1784" s="4"/>
      <c r="Z1784" s="4"/>
      <c r="AA1784" s="4"/>
      <c r="AB1784" s="4"/>
      <c r="AC1784" s="4"/>
      <c r="AD1784" s="4"/>
      <c r="AE1784" s="4"/>
      <c r="AF1784" s="4"/>
      <c r="AG1784" s="4"/>
    </row>
    <row r="1785" spans="2:33" x14ac:dyDescent="0.2">
      <c r="B1785" s="48"/>
      <c r="C1785" s="57" t="s">
        <v>1155</v>
      </c>
      <c r="D1785" s="44"/>
      <c r="E1785" s="86" t="s">
        <v>1036</v>
      </c>
      <c r="F1785" s="23" t="str">
        <f>IF(H1785=-0.33,IF(H1783=H$1,H1783,""),"")</f>
        <v/>
      </c>
      <c r="G1785" s="19"/>
      <c r="H1785" s="24">
        <f t="shared" ref="H1785" si="593">IF(H1784=1,IF(H1783=H$2,1,-0.33),0)</f>
        <v>0</v>
      </c>
      <c r="I1785" s="4"/>
      <c r="J1785" s="4"/>
      <c r="K1785" s="4"/>
      <c r="L1785" s="4"/>
      <c r="M1785" s="4"/>
      <c r="N1785" s="4"/>
      <c r="O1785" s="4"/>
      <c r="P1785" s="4"/>
      <c r="Q1785" s="4"/>
      <c r="R1785" s="4"/>
      <c r="S1785" s="4"/>
      <c r="T1785" s="4"/>
      <c r="U1785" s="4"/>
      <c r="V1785" s="4"/>
      <c r="W1785" s="4"/>
      <c r="X1785" s="4"/>
      <c r="Y1785" s="4"/>
      <c r="Z1785" s="4"/>
      <c r="AA1785" s="4"/>
      <c r="AB1785" s="4"/>
      <c r="AC1785" s="4"/>
      <c r="AD1785" s="4"/>
      <c r="AE1785" s="4"/>
      <c r="AF1785" s="4"/>
      <c r="AG1785" s="4"/>
    </row>
    <row r="1786" spans="2:33" x14ac:dyDescent="0.2">
      <c r="B1786" s="52"/>
      <c r="C1786" s="57" t="s">
        <v>1156</v>
      </c>
      <c r="D1786" s="44"/>
      <c r="E1786" s="86" t="s">
        <v>1037</v>
      </c>
      <c r="F1786" s="20"/>
      <c r="G1786" s="19"/>
      <c r="H1786" s="24"/>
      <c r="I1786" s="4"/>
      <c r="J1786" s="4"/>
      <c r="K1786" s="4"/>
      <c r="L1786" s="4"/>
      <c r="M1786" s="4"/>
      <c r="N1786" s="4"/>
      <c r="O1786" s="4"/>
      <c r="P1786" s="4"/>
      <c r="Q1786" s="4"/>
      <c r="R1786" s="4"/>
      <c r="S1786" s="4"/>
      <c r="T1786" s="4"/>
      <c r="U1786" s="4"/>
      <c r="V1786" s="4"/>
      <c r="W1786" s="4"/>
      <c r="X1786" s="4"/>
      <c r="Y1786" s="4"/>
      <c r="Z1786" s="4"/>
      <c r="AA1786" s="4"/>
      <c r="AB1786" s="4"/>
      <c r="AC1786" s="4"/>
      <c r="AD1786" s="4"/>
      <c r="AE1786" s="4"/>
      <c r="AF1786" s="4"/>
      <c r="AG1786" s="4"/>
    </row>
    <row r="1787" spans="2:33" x14ac:dyDescent="0.2">
      <c r="B1787" s="48"/>
      <c r="C1787" s="8"/>
      <c r="D1787" s="44"/>
      <c r="E1787" s="86" t="s">
        <v>1038</v>
      </c>
      <c r="F1787" s="20"/>
      <c r="G1787" s="19"/>
      <c r="H1787" s="24"/>
      <c r="I1787" s="4"/>
      <c r="J1787" s="4"/>
      <c r="K1787" s="4"/>
      <c r="L1787" s="4"/>
      <c r="M1787" s="4"/>
      <c r="N1787" s="4"/>
      <c r="O1787" s="4"/>
      <c r="P1787" s="4"/>
      <c r="Q1787" s="4"/>
      <c r="R1787" s="4"/>
      <c r="S1787" s="4"/>
      <c r="T1787" s="4"/>
      <c r="U1787" s="4"/>
      <c r="V1787" s="4"/>
      <c r="W1787" s="4"/>
      <c r="X1787" s="4"/>
      <c r="Y1787" s="4"/>
      <c r="Z1787" s="4"/>
      <c r="AA1787" s="4"/>
      <c r="AB1787" s="4"/>
      <c r="AC1787" s="4"/>
      <c r="AD1787" s="4"/>
      <c r="AE1787" s="4"/>
      <c r="AF1787" s="4"/>
      <c r="AG1787" s="4"/>
    </row>
    <row r="1788" spans="2:33" x14ac:dyDescent="0.2">
      <c r="B1788" s="49" t="s">
        <v>1157</v>
      </c>
      <c r="C1788" s="13"/>
      <c r="D1788" s="45"/>
      <c r="E1788" s="85"/>
      <c r="F1788" s="16"/>
      <c r="G1788" s="15"/>
      <c r="H1788" s="15"/>
      <c r="I1788" s="4"/>
      <c r="J1788" s="4"/>
      <c r="K1788" s="4"/>
      <c r="L1788" s="4"/>
      <c r="M1788" s="4"/>
      <c r="N1788" s="4"/>
      <c r="O1788" s="4"/>
      <c r="P1788" s="4"/>
      <c r="Q1788" s="4"/>
      <c r="R1788" s="4"/>
      <c r="S1788" s="4"/>
      <c r="T1788" s="4"/>
      <c r="U1788" s="4"/>
      <c r="V1788" s="4"/>
      <c r="W1788" s="4"/>
      <c r="X1788" s="4"/>
      <c r="Y1788" s="4"/>
      <c r="Z1788" s="4"/>
      <c r="AA1788" s="4"/>
      <c r="AB1788" s="4"/>
      <c r="AC1788" s="4"/>
      <c r="AD1788" s="4"/>
      <c r="AE1788" s="4"/>
      <c r="AF1788" s="4"/>
      <c r="AG1788" s="4"/>
    </row>
    <row r="1789" spans="2:33" x14ac:dyDescent="0.2">
      <c r="B1789" s="48"/>
      <c r="C1789" s="56" t="s">
        <v>1158</v>
      </c>
      <c r="D1789" s="44"/>
      <c r="E1789" s="86" t="s">
        <v>1034</v>
      </c>
      <c r="F1789" s="20"/>
      <c r="G1789" s="19"/>
      <c r="H1789" s="21" t="b">
        <f>IF(D1792="x",H$2,H$1)</f>
        <v>0</v>
      </c>
      <c r="I1789" s="4"/>
      <c r="J1789" s="4"/>
      <c r="K1789" s="4"/>
      <c r="L1789" s="4"/>
      <c r="M1789" s="4"/>
      <c r="N1789" s="4"/>
      <c r="O1789" s="4"/>
      <c r="P1789" s="4"/>
      <c r="Q1789" s="4"/>
      <c r="R1789" s="4"/>
      <c r="S1789" s="4"/>
      <c r="T1789" s="4"/>
      <c r="U1789" s="4"/>
      <c r="V1789" s="4"/>
      <c r="W1789" s="4"/>
      <c r="X1789" s="4"/>
      <c r="Y1789" s="4"/>
      <c r="Z1789" s="4"/>
      <c r="AA1789" s="4"/>
      <c r="AB1789" s="4"/>
      <c r="AC1789" s="4"/>
      <c r="AD1789" s="4"/>
      <c r="AE1789" s="4"/>
      <c r="AF1789" s="4"/>
      <c r="AG1789" s="4"/>
    </row>
    <row r="1790" spans="2:33" x14ac:dyDescent="0.2">
      <c r="B1790" s="52"/>
      <c r="C1790" s="57" t="s">
        <v>1159</v>
      </c>
      <c r="D1790" s="44"/>
      <c r="E1790" s="86" t="s">
        <v>1035</v>
      </c>
      <c r="F1790" s="22" t="str">
        <f>IF(H1791=1,IF(H1789=H$2,H1789,""),"")</f>
        <v/>
      </c>
      <c r="G1790" s="19"/>
      <c r="H1790" s="21" t="str">
        <f t="shared" ref="H1790" si="594">IF(E$1872="comprobar",COUNTIF(D1789:D1793,"x"),"")</f>
        <v/>
      </c>
      <c r="I1790" s="4"/>
      <c r="J1790" s="4"/>
      <c r="K1790" s="4"/>
      <c r="L1790" s="4"/>
      <c r="M1790" s="4"/>
      <c r="N1790" s="4"/>
      <c r="O1790" s="4"/>
      <c r="P1790" s="4"/>
      <c r="Q1790" s="4"/>
      <c r="R1790" s="4"/>
      <c r="S1790" s="4"/>
      <c r="T1790" s="4"/>
      <c r="U1790" s="4"/>
      <c r="V1790" s="4"/>
      <c r="W1790" s="4"/>
      <c r="X1790" s="4"/>
      <c r="Y1790" s="4"/>
      <c r="Z1790" s="4"/>
      <c r="AA1790" s="4"/>
      <c r="AB1790" s="4"/>
      <c r="AC1790" s="4"/>
      <c r="AD1790" s="4"/>
      <c r="AE1790" s="4"/>
      <c r="AF1790" s="4"/>
      <c r="AG1790" s="4"/>
    </row>
    <row r="1791" spans="2:33" ht="32" x14ac:dyDescent="0.2">
      <c r="B1791" s="52"/>
      <c r="C1791" s="61" t="s">
        <v>1160</v>
      </c>
      <c r="D1791" s="44"/>
      <c r="E1791" s="86" t="s">
        <v>1036</v>
      </c>
      <c r="F1791" s="23" t="str">
        <f>IF(H1791=-0.33,IF(H1789=H$1,H1789,""),"")</f>
        <v/>
      </c>
      <c r="G1791" s="19"/>
      <c r="H1791" s="24">
        <f t="shared" ref="H1791" si="595">IF(H1790=1,IF(H1789=H$2,1,-0.33),0)</f>
        <v>0</v>
      </c>
      <c r="I1791" s="4"/>
      <c r="J1791" s="4"/>
      <c r="K1791" s="4"/>
      <c r="L1791" s="4"/>
      <c r="M1791" s="4"/>
      <c r="N1791" s="4"/>
      <c r="O1791" s="4"/>
      <c r="P1791" s="4"/>
      <c r="Q1791" s="4"/>
      <c r="R1791" s="4"/>
      <c r="S1791" s="4"/>
      <c r="T1791" s="4"/>
      <c r="U1791" s="4"/>
      <c r="V1791" s="4"/>
      <c r="W1791" s="4"/>
      <c r="X1791" s="4"/>
      <c r="Y1791" s="4"/>
      <c r="Z1791" s="4"/>
      <c r="AA1791" s="4"/>
      <c r="AB1791" s="4"/>
      <c r="AC1791" s="4"/>
      <c r="AD1791" s="4"/>
      <c r="AE1791" s="4"/>
      <c r="AF1791" s="4"/>
      <c r="AG1791" s="4"/>
    </row>
    <row r="1792" spans="2:33" x14ac:dyDescent="0.2">
      <c r="B1792" s="48"/>
      <c r="C1792" s="57" t="s">
        <v>1161</v>
      </c>
      <c r="D1792" s="44"/>
      <c r="E1792" s="86" t="s">
        <v>1037</v>
      </c>
      <c r="F1792" s="20"/>
      <c r="G1792" s="19"/>
      <c r="H1792" s="24"/>
      <c r="I1792" s="4"/>
      <c r="J1792" s="4"/>
      <c r="K1792" s="4"/>
      <c r="L1792" s="4"/>
      <c r="M1792" s="4"/>
      <c r="N1792" s="4"/>
      <c r="O1792" s="4"/>
      <c r="P1792" s="4"/>
      <c r="Q1792" s="4"/>
      <c r="R1792" s="4"/>
      <c r="S1792" s="4"/>
      <c r="T1792" s="4"/>
      <c r="U1792" s="4"/>
      <c r="V1792" s="4"/>
      <c r="W1792" s="4"/>
      <c r="X1792" s="4"/>
      <c r="Y1792" s="4"/>
      <c r="Z1792" s="4"/>
      <c r="AA1792" s="4"/>
      <c r="AB1792" s="4"/>
      <c r="AC1792" s="4"/>
      <c r="AD1792" s="4"/>
      <c r="AE1792" s="4"/>
      <c r="AF1792" s="4"/>
      <c r="AG1792" s="4"/>
    </row>
    <row r="1793" spans="2:33" x14ac:dyDescent="0.2">
      <c r="B1793" s="48"/>
      <c r="C1793" s="8"/>
      <c r="D1793" s="44"/>
      <c r="E1793" s="86" t="s">
        <v>1038</v>
      </c>
      <c r="F1793" s="20"/>
      <c r="G1793" s="19"/>
      <c r="H1793" s="24"/>
      <c r="I1793" s="4"/>
      <c r="J1793" s="4"/>
      <c r="K1793" s="4"/>
      <c r="L1793" s="4"/>
      <c r="M1793" s="4"/>
      <c r="N1793" s="4"/>
      <c r="O1793" s="4"/>
      <c r="P1793" s="4"/>
      <c r="Q1793" s="4"/>
      <c r="R1793" s="4"/>
      <c r="S1793" s="4"/>
      <c r="T1793" s="4"/>
      <c r="U1793" s="4"/>
      <c r="V1793" s="4"/>
      <c r="W1793" s="4"/>
      <c r="X1793" s="4"/>
      <c r="Y1793" s="4"/>
      <c r="Z1793" s="4"/>
      <c r="AA1793" s="4"/>
      <c r="AB1793" s="4"/>
      <c r="AC1793" s="4"/>
      <c r="AD1793" s="4"/>
      <c r="AE1793" s="4"/>
      <c r="AF1793" s="4"/>
      <c r="AG1793" s="4"/>
    </row>
    <row r="1794" spans="2:33" x14ac:dyDescent="0.2">
      <c r="B1794" s="49" t="s">
        <v>1162</v>
      </c>
      <c r="C1794" s="13"/>
      <c r="D1794" s="45"/>
      <c r="E1794" s="85"/>
      <c r="F1794" s="16"/>
      <c r="G1794" s="15"/>
      <c r="H1794" s="15"/>
      <c r="I1794" s="4"/>
      <c r="J1794" s="4"/>
      <c r="K1794" s="4"/>
      <c r="L1794" s="4"/>
      <c r="M1794" s="4"/>
      <c r="N1794" s="4"/>
      <c r="O1794" s="4"/>
      <c r="P1794" s="4"/>
      <c r="Q1794" s="4"/>
      <c r="R1794" s="4"/>
      <c r="S1794" s="4"/>
      <c r="T1794" s="4"/>
      <c r="U1794" s="4"/>
      <c r="V1794" s="4"/>
      <c r="W1794" s="4"/>
      <c r="X1794" s="4"/>
      <c r="Y1794" s="4"/>
      <c r="Z1794" s="4"/>
      <c r="AA1794" s="4"/>
      <c r="AB1794" s="4"/>
      <c r="AC1794" s="4"/>
      <c r="AD1794" s="4"/>
      <c r="AE1794" s="4"/>
      <c r="AF1794" s="4"/>
      <c r="AG1794" s="4"/>
    </row>
    <row r="1795" spans="2:33" x14ac:dyDescent="0.2">
      <c r="B1795" s="52"/>
      <c r="C1795" s="56" t="s">
        <v>1163</v>
      </c>
      <c r="D1795" s="44"/>
      <c r="E1795" s="86" t="s">
        <v>1034</v>
      </c>
      <c r="F1795" s="20"/>
      <c r="G1795" s="19"/>
      <c r="H1795" s="21" t="b">
        <f>IF(D1796="x",H$2,H$1)</f>
        <v>0</v>
      </c>
      <c r="I1795" s="4"/>
      <c r="J1795" s="4"/>
      <c r="K1795" s="4"/>
      <c r="L1795" s="4"/>
      <c r="M1795" s="4"/>
      <c r="N1795" s="4"/>
      <c r="O1795" s="4"/>
      <c r="P1795" s="4"/>
      <c r="Q1795" s="4"/>
      <c r="R1795" s="4"/>
      <c r="S1795" s="4"/>
      <c r="T1795" s="4"/>
      <c r="U1795" s="4"/>
      <c r="V1795" s="4"/>
      <c r="W1795" s="4"/>
      <c r="X1795" s="4"/>
      <c r="Y1795" s="4"/>
      <c r="Z1795" s="4"/>
      <c r="AA1795" s="4"/>
      <c r="AB1795" s="4"/>
      <c r="AC1795" s="4"/>
      <c r="AD1795" s="4"/>
      <c r="AE1795" s="4"/>
      <c r="AF1795" s="4"/>
      <c r="AG1795" s="4"/>
    </row>
    <row r="1796" spans="2:33" x14ac:dyDescent="0.2">
      <c r="B1796" s="48"/>
      <c r="C1796" s="57" t="s">
        <v>1164</v>
      </c>
      <c r="D1796" s="44"/>
      <c r="E1796" s="86" t="s">
        <v>1035</v>
      </c>
      <c r="F1796" s="22" t="str">
        <f>IF(H1797=1,IF(H1795=H$2,H1795,""),"")</f>
        <v/>
      </c>
      <c r="G1796" s="19"/>
      <c r="H1796" s="21" t="str">
        <f t="shared" ref="H1796" si="596">IF(E$1872="comprobar",COUNTIF(D1795:D1799,"x"),"")</f>
        <v/>
      </c>
      <c r="I1796" s="4"/>
      <c r="J1796" s="4"/>
      <c r="K1796" s="4"/>
      <c r="L1796" s="4"/>
      <c r="M1796" s="4"/>
      <c r="N1796" s="4"/>
      <c r="O1796" s="4"/>
      <c r="P1796" s="4"/>
      <c r="Q1796" s="4"/>
      <c r="R1796" s="4"/>
      <c r="S1796" s="4"/>
      <c r="T1796" s="4"/>
      <c r="U1796" s="4"/>
      <c r="V1796" s="4"/>
      <c r="W1796" s="4"/>
      <c r="X1796" s="4"/>
      <c r="Y1796" s="4"/>
      <c r="Z1796" s="4"/>
      <c r="AA1796" s="4"/>
      <c r="AB1796" s="4"/>
      <c r="AC1796" s="4"/>
      <c r="AD1796" s="4"/>
      <c r="AE1796" s="4"/>
      <c r="AF1796" s="4"/>
      <c r="AG1796" s="4"/>
    </row>
    <row r="1797" spans="2:33" x14ac:dyDescent="0.2">
      <c r="B1797" s="52"/>
      <c r="C1797" s="57" t="s">
        <v>1165</v>
      </c>
      <c r="D1797" s="44"/>
      <c r="E1797" s="86" t="s">
        <v>1036</v>
      </c>
      <c r="F1797" s="23" t="str">
        <f>IF(H1797=-0.33,IF(H1795=H$1,H1795,""),"")</f>
        <v/>
      </c>
      <c r="G1797" s="19"/>
      <c r="H1797" s="24">
        <f t="shared" ref="H1797" si="597">IF(H1796=1,IF(H1795=H$2,1,-0.33),0)</f>
        <v>0</v>
      </c>
      <c r="I1797" s="4"/>
      <c r="J1797" s="4"/>
      <c r="K1797" s="4"/>
      <c r="L1797" s="4"/>
      <c r="M1797" s="4"/>
      <c r="N1797" s="4"/>
      <c r="O1797" s="4"/>
      <c r="P1797" s="4"/>
      <c r="Q1797" s="4"/>
      <c r="R1797" s="4"/>
      <c r="S1797" s="4"/>
      <c r="T1797" s="4"/>
      <c r="U1797" s="4"/>
      <c r="V1797" s="4"/>
      <c r="W1797" s="4"/>
      <c r="X1797" s="4"/>
      <c r="Y1797" s="4"/>
      <c r="Z1797" s="4"/>
      <c r="AA1797" s="4"/>
      <c r="AB1797" s="4"/>
      <c r="AC1797" s="4"/>
      <c r="AD1797" s="4"/>
      <c r="AE1797" s="4"/>
      <c r="AF1797" s="4"/>
      <c r="AG1797" s="4"/>
    </row>
    <row r="1798" spans="2:33" x14ac:dyDescent="0.2">
      <c r="B1798" s="48"/>
      <c r="C1798" s="57" t="s">
        <v>1166</v>
      </c>
      <c r="D1798" s="44"/>
      <c r="E1798" s="86" t="s">
        <v>1037</v>
      </c>
      <c r="F1798" s="20"/>
      <c r="G1798" s="19"/>
      <c r="H1798" s="24"/>
      <c r="I1798" s="4"/>
      <c r="J1798" s="4"/>
      <c r="K1798" s="4"/>
      <c r="L1798" s="4"/>
      <c r="M1798" s="4"/>
      <c r="N1798" s="4"/>
      <c r="O1798" s="4"/>
      <c r="P1798" s="4"/>
      <c r="Q1798" s="4"/>
      <c r="R1798" s="4"/>
      <c r="S1798" s="4"/>
      <c r="T1798" s="4"/>
      <c r="U1798" s="4"/>
      <c r="V1798" s="4"/>
      <c r="W1798" s="4"/>
      <c r="X1798" s="4"/>
      <c r="Y1798" s="4"/>
      <c r="Z1798" s="4"/>
      <c r="AA1798" s="4"/>
      <c r="AB1798" s="4"/>
      <c r="AC1798" s="4"/>
      <c r="AD1798" s="4"/>
      <c r="AE1798" s="4"/>
      <c r="AF1798" s="4"/>
      <c r="AG1798" s="4"/>
    </row>
    <row r="1799" spans="2:33" x14ac:dyDescent="0.2">
      <c r="B1799" s="48"/>
      <c r="C1799" s="8"/>
      <c r="D1799" s="44"/>
      <c r="E1799" s="86" t="s">
        <v>1038</v>
      </c>
      <c r="F1799" s="20"/>
      <c r="G1799" s="19"/>
      <c r="H1799" s="24"/>
      <c r="I1799" s="4"/>
      <c r="J1799" s="4"/>
      <c r="K1799" s="4"/>
      <c r="L1799" s="4"/>
      <c r="M1799" s="4"/>
      <c r="N1799" s="4"/>
      <c r="O1799" s="4"/>
      <c r="P1799" s="4"/>
      <c r="Q1799" s="4"/>
      <c r="R1799" s="4"/>
      <c r="S1799" s="4"/>
      <c r="T1799" s="4"/>
      <c r="U1799" s="4"/>
      <c r="V1799" s="4"/>
      <c r="W1799" s="4"/>
      <c r="X1799" s="4"/>
      <c r="Y1799" s="4"/>
      <c r="Z1799" s="4"/>
      <c r="AA1799" s="4"/>
      <c r="AB1799" s="4"/>
      <c r="AC1799" s="4"/>
      <c r="AD1799" s="4"/>
      <c r="AE1799" s="4"/>
      <c r="AF1799" s="4"/>
      <c r="AG1799" s="4"/>
    </row>
    <row r="1800" spans="2:33" x14ac:dyDescent="0.2">
      <c r="B1800" s="49" t="s">
        <v>1167</v>
      </c>
      <c r="C1800" s="13"/>
      <c r="D1800" s="45"/>
      <c r="E1800" s="85"/>
      <c r="F1800" s="16"/>
      <c r="G1800" s="15"/>
      <c r="H1800" s="15"/>
      <c r="I1800" s="4"/>
      <c r="J1800" s="4"/>
      <c r="K1800" s="4"/>
      <c r="L1800" s="4"/>
      <c r="M1800" s="4"/>
      <c r="N1800" s="4"/>
      <c r="O1800" s="4"/>
      <c r="P1800" s="4"/>
      <c r="Q1800" s="4"/>
      <c r="R1800" s="4"/>
      <c r="S1800" s="4"/>
      <c r="T1800" s="4"/>
      <c r="U1800" s="4"/>
      <c r="V1800" s="4"/>
      <c r="W1800" s="4"/>
      <c r="X1800" s="4"/>
      <c r="Y1800" s="4"/>
      <c r="Z1800" s="4"/>
      <c r="AA1800" s="4"/>
      <c r="AB1800" s="4"/>
      <c r="AC1800" s="4"/>
      <c r="AD1800" s="4"/>
      <c r="AE1800" s="4"/>
      <c r="AF1800" s="4"/>
      <c r="AG1800" s="4"/>
    </row>
    <row r="1801" spans="2:33" x14ac:dyDescent="0.2">
      <c r="B1801" s="52"/>
      <c r="C1801" s="56" t="s">
        <v>1168</v>
      </c>
      <c r="D1801" s="44"/>
      <c r="E1801" s="86" t="s">
        <v>1034</v>
      </c>
      <c r="F1801" s="20"/>
      <c r="G1801" s="19"/>
      <c r="H1801" s="21" t="b">
        <f>IF(D1802="x",H$2,H$1)</f>
        <v>0</v>
      </c>
      <c r="I1801" s="4"/>
      <c r="J1801" s="4"/>
      <c r="K1801" s="4"/>
      <c r="L1801" s="4"/>
      <c r="M1801" s="4"/>
      <c r="N1801" s="4"/>
      <c r="O1801" s="4"/>
      <c r="P1801" s="4"/>
      <c r="Q1801" s="4"/>
      <c r="R1801" s="4"/>
      <c r="S1801" s="4"/>
      <c r="T1801" s="4"/>
      <c r="U1801" s="4"/>
      <c r="V1801" s="4"/>
      <c r="W1801" s="4"/>
      <c r="X1801" s="4"/>
      <c r="Y1801" s="4"/>
      <c r="Z1801" s="4"/>
      <c r="AA1801" s="4"/>
      <c r="AB1801" s="4"/>
      <c r="AC1801" s="4"/>
      <c r="AD1801" s="4"/>
      <c r="AE1801" s="4"/>
      <c r="AF1801" s="4"/>
      <c r="AG1801" s="4"/>
    </row>
    <row r="1802" spans="2:33" x14ac:dyDescent="0.2">
      <c r="B1802" s="48"/>
      <c r="C1802" s="61" t="s">
        <v>1169</v>
      </c>
      <c r="D1802" s="44"/>
      <c r="E1802" s="86" t="s">
        <v>1035</v>
      </c>
      <c r="F1802" s="22" t="str">
        <f>IF(H1803=1,IF(H1801=H$2,H1801,""),"")</f>
        <v/>
      </c>
      <c r="G1802" s="19"/>
      <c r="H1802" s="21" t="str">
        <f t="shared" ref="H1802" si="598">IF(E$1872="comprobar",COUNTIF(D1801:D1805,"x"),"")</f>
        <v/>
      </c>
      <c r="I1802" s="4"/>
      <c r="J1802" s="4"/>
      <c r="K1802" s="4"/>
      <c r="L1802" s="4"/>
      <c r="M1802" s="4"/>
      <c r="N1802" s="4"/>
      <c r="O1802" s="4"/>
      <c r="P1802" s="4"/>
      <c r="Q1802" s="4"/>
      <c r="R1802" s="4"/>
      <c r="S1802" s="4"/>
      <c r="T1802" s="4"/>
      <c r="U1802" s="4"/>
      <c r="V1802" s="4"/>
      <c r="W1802" s="4"/>
      <c r="X1802" s="4"/>
      <c r="Y1802" s="4"/>
      <c r="Z1802" s="4"/>
      <c r="AA1802" s="4"/>
      <c r="AB1802" s="4"/>
      <c r="AC1802" s="4"/>
      <c r="AD1802" s="4"/>
      <c r="AE1802" s="4"/>
      <c r="AF1802" s="4"/>
      <c r="AG1802" s="4"/>
    </row>
    <row r="1803" spans="2:33" x14ac:dyDescent="0.2">
      <c r="B1803" s="48"/>
      <c r="C1803" s="61" t="s">
        <v>1170</v>
      </c>
      <c r="D1803" s="44"/>
      <c r="E1803" s="86" t="s">
        <v>1036</v>
      </c>
      <c r="F1803" s="23" t="str">
        <f>IF(H1803=-0.33,IF(H1801=H$1,H1801,""),"")</f>
        <v/>
      </c>
      <c r="G1803" s="19"/>
      <c r="H1803" s="24">
        <f t="shared" ref="H1803" si="599">IF(H1802=1,IF(H1801=H$2,1,-0.33),0)</f>
        <v>0</v>
      </c>
      <c r="I1803" s="4"/>
      <c r="J1803" s="4"/>
      <c r="K1803" s="4"/>
      <c r="L1803" s="4"/>
      <c r="M1803" s="4"/>
      <c r="N1803" s="4"/>
      <c r="O1803" s="4"/>
      <c r="P1803" s="4"/>
      <c r="Q1803" s="4"/>
      <c r="R1803" s="4"/>
      <c r="S1803" s="4"/>
      <c r="T1803" s="4"/>
      <c r="U1803" s="4"/>
      <c r="V1803" s="4"/>
      <c r="W1803" s="4"/>
      <c r="X1803" s="4"/>
      <c r="Y1803" s="4"/>
      <c r="Z1803" s="4"/>
      <c r="AA1803" s="4"/>
      <c r="AB1803" s="4"/>
      <c r="AC1803" s="4"/>
      <c r="AD1803" s="4"/>
      <c r="AE1803" s="4"/>
      <c r="AF1803" s="4"/>
      <c r="AG1803" s="4"/>
    </row>
    <row r="1804" spans="2:33" x14ac:dyDescent="0.2">
      <c r="B1804" s="48"/>
      <c r="C1804" s="57"/>
      <c r="D1804" s="44"/>
      <c r="E1804" s="86" t="s">
        <v>1037</v>
      </c>
      <c r="F1804" s="20"/>
      <c r="G1804" s="19"/>
      <c r="H1804" s="24"/>
      <c r="I1804" s="4"/>
      <c r="J1804" s="4"/>
      <c r="K1804" s="4"/>
      <c r="L1804" s="4"/>
      <c r="M1804" s="4"/>
      <c r="N1804" s="4"/>
      <c r="O1804" s="4"/>
      <c r="P1804" s="4"/>
      <c r="Q1804" s="4"/>
      <c r="R1804" s="4"/>
      <c r="S1804" s="4"/>
      <c r="T1804" s="4"/>
      <c r="U1804" s="4"/>
      <c r="V1804" s="4"/>
      <c r="W1804" s="4"/>
      <c r="X1804" s="4"/>
      <c r="Y1804" s="4"/>
      <c r="Z1804" s="4"/>
      <c r="AA1804" s="4"/>
      <c r="AB1804" s="4"/>
      <c r="AC1804" s="4"/>
      <c r="AD1804" s="4"/>
      <c r="AE1804" s="4"/>
      <c r="AF1804" s="4"/>
      <c r="AG1804" s="4"/>
    </row>
    <row r="1805" spans="2:33" x14ac:dyDescent="0.2">
      <c r="B1805" s="48"/>
      <c r="C1805" s="8"/>
      <c r="D1805" s="44"/>
      <c r="E1805" s="86" t="s">
        <v>1038</v>
      </c>
      <c r="F1805" s="12"/>
      <c r="G1805" s="19"/>
      <c r="H1805" s="24"/>
      <c r="I1805" s="4"/>
      <c r="J1805" s="4"/>
      <c r="K1805" s="4"/>
      <c r="L1805" s="4"/>
      <c r="M1805" s="4"/>
      <c r="N1805" s="4"/>
      <c r="O1805" s="4"/>
      <c r="P1805" s="4"/>
      <c r="Q1805" s="4"/>
      <c r="R1805" s="4"/>
      <c r="S1805" s="4"/>
      <c r="T1805" s="4"/>
      <c r="U1805" s="4"/>
      <c r="V1805" s="4"/>
      <c r="W1805" s="4"/>
      <c r="X1805" s="4"/>
      <c r="Y1805" s="4"/>
      <c r="Z1805" s="4"/>
      <c r="AA1805" s="4"/>
      <c r="AB1805" s="4"/>
      <c r="AC1805" s="4"/>
      <c r="AD1805" s="4"/>
      <c r="AE1805" s="4"/>
      <c r="AF1805" s="4"/>
      <c r="AG1805" s="4"/>
    </row>
    <row r="1806" spans="2:33" x14ac:dyDescent="0.2">
      <c r="B1806" s="49" t="s">
        <v>1171</v>
      </c>
      <c r="C1806" s="13"/>
      <c r="D1806" s="45"/>
      <c r="E1806" s="85"/>
      <c r="F1806" s="30"/>
      <c r="G1806" s="29"/>
      <c r="H1806" s="15"/>
      <c r="I1806" s="4"/>
      <c r="J1806" s="4"/>
      <c r="K1806" s="4"/>
      <c r="L1806" s="4"/>
      <c r="M1806" s="4"/>
      <c r="N1806" s="4"/>
      <c r="O1806" s="4"/>
      <c r="P1806" s="4"/>
      <c r="Q1806" s="4"/>
      <c r="R1806" s="4"/>
      <c r="S1806" s="4"/>
      <c r="T1806" s="4"/>
      <c r="U1806" s="4"/>
      <c r="V1806" s="4"/>
      <c r="W1806" s="4"/>
      <c r="X1806" s="4"/>
      <c r="Y1806" s="4"/>
      <c r="Z1806" s="4"/>
      <c r="AA1806" s="4"/>
      <c r="AB1806" s="4"/>
      <c r="AC1806" s="4"/>
      <c r="AD1806" s="4"/>
      <c r="AE1806" s="4"/>
      <c r="AF1806" s="4"/>
      <c r="AG1806" s="4"/>
    </row>
    <row r="1807" spans="2:33" x14ac:dyDescent="0.2">
      <c r="B1807" s="48"/>
      <c r="C1807" s="56" t="s">
        <v>1172</v>
      </c>
      <c r="D1807" s="44"/>
      <c r="E1807" s="86" t="s">
        <v>1034</v>
      </c>
      <c r="F1807" s="27"/>
      <c r="G1807" s="26"/>
      <c r="H1807" s="21" t="b">
        <f>IF(D1808="x",H$2,H$1)</f>
        <v>0</v>
      </c>
      <c r="I1807" s="4"/>
      <c r="J1807" s="4"/>
      <c r="K1807" s="4"/>
      <c r="L1807" s="4"/>
      <c r="M1807" s="4"/>
      <c r="N1807" s="4"/>
      <c r="O1807" s="4"/>
      <c r="P1807" s="4"/>
      <c r="Q1807" s="4"/>
      <c r="R1807" s="4"/>
      <c r="S1807" s="4"/>
      <c r="T1807" s="4"/>
      <c r="U1807" s="4"/>
      <c r="V1807" s="4"/>
      <c r="W1807" s="4"/>
      <c r="X1807" s="4"/>
      <c r="Y1807" s="4"/>
      <c r="Z1807" s="4"/>
      <c r="AA1807" s="4"/>
      <c r="AB1807" s="4"/>
      <c r="AC1807" s="4"/>
      <c r="AD1807" s="4"/>
      <c r="AE1807" s="4"/>
      <c r="AF1807" s="4"/>
      <c r="AG1807" s="4"/>
    </row>
    <row r="1808" spans="2:33" x14ac:dyDescent="0.2">
      <c r="B1808" s="48"/>
      <c r="C1808" s="57" t="s">
        <v>1173</v>
      </c>
      <c r="D1808" s="44"/>
      <c r="E1808" s="86" t="s">
        <v>1035</v>
      </c>
      <c r="F1808" s="22" t="str">
        <f>IF(H1809=1,IF(H1807=H$2,H1807,""),"")</f>
        <v/>
      </c>
      <c r="G1808" s="26"/>
      <c r="H1808" s="21" t="str">
        <f t="shared" ref="H1808" si="600">IF(E$1872="comprobar",COUNTIF(D1807:D1811,"x"),"")</f>
        <v/>
      </c>
      <c r="I1808" s="4"/>
      <c r="J1808" s="4"/>
      <c r="K1808" s="4"/>
      <c r="L1808" s="4"/>
      <c r="M1808" s="4"/>
      <c r="N1808" s="4"/>
      <c r="O1808" s="4"/>
      <c r="P1808" s="4"/>
      <c r="Q1808" s="4"/>
      <c r="R1808" s="4"/>
      <c r="S1808" s="4"/>
      <c r="T1808" s="4"/>
      <c r="U1808" s="4"/>
      <c r="V1808" s="4"/>
      <c r="W1808" s="4"/>
      <c r="X1808" s="4"/>
      <c r="Y1808" s="4"/>
      <c r="Z1808" s="4"/>
      <c r="AA1808" s="4"/>
      <c r="AB1808" s="4"/>
      <c r="AC1808" s="4"/>
      <c r="AD1808" s="4"/>
      <c r="AE1808" s="4"/>
      <c r="AF1808" s="4"/>
      <c r="AG1808" s="4"/>
    </row>
    <row r="1809" spans="2:33" x14ac:dyDescent="0.2">
      <c r="B1809" s="52"/>
      <c r="C1809" s="57" t="s">
        <v>1174</v>
      </c>
      <c r="D1809" s="44"/>
      <c r="E1809" s="86" t="s">
        <v>1036</v>
      </c>
      <c r="F1809" s="23" t="str">
        <f>IF(H1809=-0.33,IF(H1807=H$1,H1807,""),"")</f>
        <v/>
      </c>
      <c r="G1809" s="26"/>
      <c r="H1809" s="24">
        <f t="shared" ref="H1809" si="601">IF(H1808=1,IF(H1807=H$2,1,-0.33),0)</f>
        <v>0</v>
      </c>
      <c r="I1809" s="4"/>
      <c r="J1809" s="4"/>
      <c r="K1809" s="4"/>
      <c r="L1809" s="4"/>
      <c r="M1809" s="4"/>
      <c r="N1809" s="4"/>
      <c r="O1809" s="4"/>
      <c r="P1809" s="4"/>
      <c r="Q1809" s="4"/>
      <c r="R1809" s="4"/>
      <c r="S1809" s="4"/>
      <c r="T1809" s="4"/>
      <c r="U1809" s="4"/>
      <c r="V1809" s="4"/>
      <c r="W1809" s="4"/>
      <c r="X1809" s="4"/>
      <c r="Y1809" s="4"/>
      <c r="Z1809" s="4"/>
      <c r="AA1809" s="4"/>
      <c r="AB1809" s="4"/>
      <c r="AC1809" s="4"/>
      <c r="AD1809" s="4"/>
      <c r="AE1809" s="4"/>
      <c r="AF1809" s="4"/>
      <c r="AG1809" s="4"/>
    </row>
    <row r="1810" spans="2:33" x14ac:dyDescent="0.2">
      <c r="B1810" s="48"/>
      <c r="C1810" s="57" t="s">
        <v>1175</v>
      </c>
      <c r="D1810" s="44"/>
      <c r="E1810" s="86" t="s">
        <v>1037</v>
      </c>
      <c r="F1810" s="28"/>
      <c r="G1810" s="26"/>
      <c r="H1810" s="24"/>
      <c r="I1810" s="4"/>
      <c r="J1810" s="4"/>
      <c r="K1810" s="4"/>
      <c r="L1810" s="4"/>
      <c r="M1810" s="4"/>
      <c r="N1810" s="4"/>
      <c r="O1810" s="4"/>
      <c r="P1810" s="4"/>
      <c r="Q1810" s="4"/>
      <c r="R1810" s="4"/>
      <c r="S1810" s="4"/>
      <c r="T1810" s="4"/>
      <c r="U1810" s="4"/>
      <c r="V1810" s="4"/>
      <c r="W1810" s="4"/>
      <c r="X1810" s="4"/>
      <c r="Y1810" s="4"/>
      <c r="Z1810" s="4"/>
      <c r="AA1810" s="4"/>
      <c r="AB1810" s="4"/>
      <c r="AC1810" s="4"/>
      <c r="AD1810" s="4"/>
      <c r="AE1810" s="4"/>
      <c r="AF1810" s="4"/>
      <c r="AG1810" s="4"/>
    </row>
    <row r="1811" spans="2:33" x14ac:dyDescent="0.2">
      <c r="B1811" s="48"/>
      <c r="C1811" s="8"/>
      <c r="D1811" s="44"/>
      <c r="E1811" s="86" t="s">
        <v>1038</v>
      </c>
      <c r="F1811" s="28"/>
      <c r="G1811" s="26"/>
      <c r="H1811" s="24"/>
      <c r="I1811" s="4"/>
      <c r="J1811" s="4"/>
      <c r="K1811" s="4"/>
      <c r="L1811" s="4"/>
      <c r="M1811" s="4"/>
      <c r="N1811" s="4"/>
      <c r="O1811" s="4"/>
      <c r="P1811" s="4"/>
      <c r="Q1811" s="4"/>
      <c r="R1811" s="4"/>
      <c r="S1811" s="4"/>
      <c r="T1811" s="4"/>
      <c r="U1811" s="4"/>
      <c r="V1811" s="4"/>
      <c r="W1811" s="4"/>
      <c r="X1811" s="4"/>
      <c r="Y1811" s="4"/>
      <c r="Z1811" s="4"/>
      <c r="AA1811" s="4"/>
      <c r="AB1811" s="4"/>
      <c r="AC1811" s="4"/>
      <c r="AD1811" s="4"/>
      <c r="AE1811" s="4"/>
      <c r="AF1811" s="4"/>
      <c r="AG1811" s="4"/>
    </row>
    <row r="1812" spans="2:33" x14ac:dyDescent="0.2">
      <c r="B1812" s="49" t="s">
        <v>1176</v>
      </c>
      <c r="C1812" s="13"/>
      <c r="D1812" s="45"/>
      <c r="E1812" s="85"/>
      <c r="F1812" s="30"/>
      <c r="G1812" s="29"/>
      <c r="H1812" s="15"/>
      <c r="I1812" s="4"/>
      <c r="J1812" s="4"/>
      <c r="K1812" s="4"/>
      <c r="L1812" s="4"/>
      <c r="M1812" s="4"/>
      <c r="N1812" s="4"/>
      <c r="O1812" s="4"/>
      <c r="P1812" s="4"/>
      <c r="Q1812" s="4"/>
      <c r="R1812" s="4"/>
      <c r="S1812" s="4"/>
      <c r="T1812" s="4"/>
      <c r="U1812" s="4"/>
      <c r="V1812" s="4"/>
      <c r="W1812" s="4"/>
      <c r="X1812" s="4"/>
      <c r="Y1812" s="4"/>
      <c r="Z1812" s="4"/>
      <c r="AA1812" s="4"/>
      <c r="AB1812" s="4"/>
      <c r="AC1812" s="4"/>
      <c r="AD1812" s="4"/>
      <c r="AE1812" s="4"/>
      <c r="AF1812" s="4"/>
      <c r="AG1812" s="4"/>
    </row>
    <row r="1813" spans="2:33" x14ac:dyDescent="0.2">
      <c r="B1813" s="48"/>
      <c r="C1813" s="56" t="s">
        <v>1177</v>
      </c>
      <c r="D1813" s="44"/>
      <c r="E1813" s="86" t="s">
        <v>1034</v>
      </c>
      <c r="F1813" s="27"/>
      <c r="G1813" s="26"/>
      <c r="H1813" s="21" t="b">
        <f>IF(D1813="x",H$2,H$1)</f>
        <v>0</v>
      </c>
      <c r="I1813" s="4"/>
      <c r="J1813" s="4"/>
      <c r="K1813" s="4"/>
      <c r="L1813" s="4"/>
      <c r="M1813" s="4"/>
      <c r="N1813" s="4"/>
      <c r="O1813" s="4"/>
      <c r="P1813" s="4"/>
      <c r="Q1813" s="4"/>
      <c r="R1813" s="4"/>
      <c r="S1813" s="4"/>
      <c r="T1813" s="4"/>
      <c r="U1813" s="4"/>
      <c r="V1813" s="4"/>
      <c r="W1813" s="4"/>
      <c r="X1813" s="4"/>
      <c r="Y1813" s="4"/>
      <c r="Z1813" s="4"/>
      <c r="AA1813" s="4"/>
      <c r="AB1813" s="4"/>
      <c r="AC1813" s="4"/>
      <c r="AD1813" s="4"/>
      <c r="AE1813" s="4"/>
      <c r="AF1813" s="4"/>
      <c r="AG1813" s="4"/>
    </row>
    <row r="1814" spans="2:33" x14ac:dyDescent="0.2">
      <c r="B1814" s="48"/>
      <c r="C1814" s="57" t="s">
        <v>1178</v>
      </c>
      <c r="D1814" s="44"/>
      <c r="E1814" s="86" t="s">
        <v>1035</v>
      </c>
      <c r="F1814" s="22" t="str">
        <f>IF(H1815=1,IF(H1813=H$2,H1813,""),"")</f>
        <v/>
      </c>
      <c r="G1814" s="26"/>
      <c r="H1814" s="21" t="str">
        <f t="shared" ref="H1814" si="602">IF(E$1872="comprobar",COUNTIF(D1813:D1817,"x"),"")</f>
        <v/>
      </c>
      <c r="I1814" s="4"/>
      <c r="J1814" s="4"/>
      <c r="K1814" s="4"/>
      <c r="L1814" s="4"/>
      <c r="M1814" s="4"/>
      <c r="N1814" s="4"/>
      <c r="O1814" s="4"/>
      <c r="P1814" s="4"/>
      <c r="Q1814" s="4"/>
      <c r="R1814" s="4"/>
      <c r="S1814" s="4"/>
      <c r="T1814" s="4"/>
      <c r="U1814" s="4"/>
      <c r="V1814" s="4"/>
      <c r="W1814" s="4"/>
      <c r="X1814" s="4"/>
      <c r="Y1814" s="4"/>
      <c r="Z1814" s="4"/>
      <c r="AA1814" s="4"/>
      <c r="AB1814" s="4"/>
      <c r="AC1814" s="4"/>
      <c r="AD1814" s="4"/>
      <c r="AE1814" s="4"/>
      <c r="AF1814" s="4"/>
      <c r="AG1814" s="4"/>
    </row>
    <row r="1815" spans="2:33" x14ac:dyDescent="0.2">
      <c r="B1815" s="52"/>
      <c r="C1815" s="57" t="s">
        <v>1179</v>
      </c>
      <c r="D1815" s="44"/>
      <c r="E1815" s="86" t="s">
        <v>1036</v>
      </c>
      <c r="F1815" s="23" t="str">
        <f>IF(H1815=-0.33,IF(H1813=H$1,H1813,""),"")</f>
        <v/>
      </c>
      <c r="G1815" s="26"/>
      <c r="H1815" s="24">
        <f t="shared" ref="H1815" si="603">IF(H1814=1,IF(H1813=H$2,1,-0.33),0)</f>
        <v>0</v>
      </c>
      <c r="I1815" s="4"/>
      <c r="J1815" s="4"/>
      <c r="K1815" s="4"/>
      <c r="L1815" s="4"/>
      <c r="M1815" s="4"/>
      <c r="N1815" s="4"/>
      <c r="O1815" s="4"/>
      <c r="P1815" s="4"/>
      <c r="Q1815" s="4"/>
      <c r="R1815" s="4"/>
      <c r="S1815" s="4"/>
      <c r="T1815" s="4"/>
      <c r="U1815" s="4"/>
      <c r="V1815" s="4"/>
      <c r="W1815" s="4"/>
      <c r="X1815" s="4"/>
      <c r="Y1815" s="4"/>
      <c r="Z1815" s="4"/>
      <c r="AA1815" s="4"/>
      <c r="AB1815" s="4"/>
      <c r="AC1815" s="4"/>
      <c r="AD1815" s="4"/>
      <c r="AE1815" s="4"/>
      <c r="AF1815" s="4"/>
      <c r="AG1815" s="4"/>
    </row>
    <row r="1816" spans="2:33" x14ac:dyDescent="0.2">
      <c r="B1816" s="48"/>
      <c r="C1816" s="57" t="s">
        <v>1180</v>
      </c>
      <c r="D1816" s="44"/>
      <c r="E1816" s="86" t="s">
        <v>1037</v>
      </c>
      <c r="F1816" s="20"/>
      <c r="G1816" s="55"/>
      <c r="H1816" s="24"/>
      <c r="I1816" s="4"/>
      <c r="J1816" s="4"/>
      <c r="K1816" s="4"/>
      <c r="L1816" s="4"/>
      <c r="M1816" s="4"/>
      <c r="N1816" s="4"/>
      <c r="O1816" s="4"/>
      <c r="P1816" s="4"/>
      <c r="Q1816" s="4"/>
      <c r="R1816" s="4"/>
      <c r="S1816" s="4"/>
      <c r="T1816" s="4"/>
      <c r="U1816" s="4"/>
      <c r="V1816" s="4"/>
      <c r="W1816" s="4"/>
      <c r="X1816" s="4"/>
      <c r="Y1816" s="4"/>
      <c r="Z1816" s="4"/>
      <c r="AA1816" s="4"/>
      <c r="AB1816" s="4"/>
      <c r="AC1816" s="4"/>
      <c r="AD1816" s="4"/>
      <c r="AE1816" s="4"/>
      <c r="AF1816" s="4"/>
      <c r="AG1816" s="4"/>
    </row>
    <row r="1817" spans="2:33" x14ac:dyDescent="0.2">
      <c r="B1817" s="48"/>
      <c r="C1817" s="8"/>
      <c r="D1817" s="44"/>
      <c r="E1817" s="86" t="s">
        <v>1038</v>
      </c>
      <c r="F1817" s="28"/>
      <c r="G1817" s="26"/>
      <c r="H1817" s="24"/>
      <c r="I1817" s="4"/>
      <c r="J1817" s="4"/>
      <c r="K1817" s="4"/>
      <c r="L1817" s="4"/>
      <c r="M1817" s="4"/>
      <c r="N1817" s="4"/>
      <c r="O1817" s="4"/>
      <c r="P1817" s="4"/>
      <c r="Q1817" s="4"/>
      <c r="R1817" s="4"/>
      <c r="S1817" s="4"/>
      <c r="T1817" s="4"/>
      <c r="U1817" s="4"/>
      <c r="V1817" s="4"/>
      <c r="W1817" s="4"/>
      <c r="X1817" s="4"/>
      <c r="Y1817" s="4"/>
      <c r="Z1817" s="4"/>
      <c r="AA1817" s="4"/>
      <c r="AB1817" s="4"/>
      <c r="AC1817" s="4"/>
      <c r="AD1817" s="4"/>
      <c r="AE1817" s="4"/>
      <c r="AF1817" s="4"/>
      <c r="AG1817" s="4"/>
    </row>
    <row r="1818" spans="2:33" x14ac:dyDescent="0.2">
      <c r="B1818" s="49" t="s">
        <v>1181</v>
      </c>
      <c r="C1818" s="13"/>
      <c r="D1818" s="45"/>
      <c r="E1818" s="85"/>
      <c r="F1818" s="30"/>
      <c r="G1818" s="29"/>
      <c r="H1818" s="15"/>
      <c r="I1818" s="4"/>
      <c r="J1818" s="4"/>
      <c r="K1818" s="4"/>
      <c r="L1818" s="4"/>
      <c r="M1818" s="4"/>
      <c r="N1818" s="4"/>
      <c r="O1818" s="4"/>
      <c r="P1818" s="4"/>
      <c r="Q1818" s="4"/>
      <c r="R1818" s="4"/>
      <c r="S1818" s="4"/>
      <c r="T1818" s="4"/>
      <c r="U1818" s="4"/>
      <c r="V1818" s="4"/>
      <c r="W1818" s="4"/>
      <c r="X1818" s="4"/>
      <c r="Y1818" s="4"/>
      <c r="Z1818" s="4"/>
      <c r="AA1818" s="4"/>
      <c r="AB1818" s="4"/>
      <c r="AC1818" s="4"/>
      <c r="AD1818" s="4"/>
      <c r="AE1818" s="4"/>
      <c r="AF1818" s="4"/>
      <c r="AG1818" s="4"/>
    </row>
    <row r="1819" spans="2:33" x14ac:dyDescent="0.2">
      <c r="B1819" s="48"/>
      <c r="C1819" s="60" t="s">
        <v>1182</v>
      </c>
      <c r="D1819" s="44"/>
      <c r="E1819" s="86" t="s">
        <v>1034</v>
      </c>
      <c r="F1819" s="27"/>
      <c r="G1819" s="26"/>
      <c r="H1819" s="21" t="b">
        <f>IF(D1820="x",H$2,H$1)</f>
        <v>0</v>
      </c>
      <c r="I1819" s="4"/>
      <c r="J1819" s="4"/>
      <c r="K1819" s="4"/>
      <c r="L1819" s="4"/>
      <c r="M1819" s="4"/>
      <c r="N1819" s="4"/>
      <c r="O1819" s="4"/>
      <c r="P1819" s="4"/>
      <c r="Q1819" s="4"/>
      <c r="R1819" s="4"/>
      <c r="S1819" s="4"/>
      <c r="T1819" s="4"/>
      <c r="U1819" s="4"/>
      <c r="V1819" s="4"/>
      <c r="W1819" s="4"/>
      <c r="X1819" s="4"/>
      <c r="Y1819" s="4"/>
      <c r="Z1819" s="4"/>
      <c r="AA1819" s="4"/>
      <c r="AB1819" s="4"/>
      <c r="AC1819" s="4"/>
      <c r="AD1819" s="4"/>
      <c r="AE1819" s="4"/>
      <c r="AF1819" s="4"/>
      <c r="AG1819" s="4"/>
    </row>
    <row r="1820" spans="2:33" x14ac:dyDescent="0.2">
      <c r="B1820" s="48"/>
      <c r="C1820" s="57" t="s">
        <v>1183</v>
      </c>
      <c r="D1820" s="44"/>
      <c r="E1820" s="86" t="s">
        <v>1035</v>
      </c>
      <c r="F1820" s="22" t="str">
        <f>IF(H1821=1,IF(H1819=H$2,H1819,""),"")</f>
        <v/>
      </c>
      <c r="G1820" s="26"/>
      <c r="H1820" s="21" t="str">
        <f t="shared" ref="H1820" si="604">IF(E$1872="comprobar",COUNTIF(D1819:D1823,"x"),"")</f>
        <v/>
      </c>
      <c r="I1820" s="4"/>
      <c r="J1820" s="4"/>
      <c r="K1820" s="4"/>
      <c r="L1820" s="4"/>
      <c r="M1820" s="4"/>
      <c r="N1820" s="4"/>
      <c r="O1820" s="4"/>
      <c r="P1820" s="4"/>
      <c r="Q1820" s="4"/>
      <c r="R1820" s="4"/>
      <c r="S1820" s="4"/>
      <c r="T1820" s="4"/>
      <c r="U1820" s="4"/>
      <c r="V1820" s="4"/>
      <c r="W1820" s="4"/>
      <c r="X1820" s="4"/>
      <c r="Y1820" s="4"/>
      <c r="Z1820" s="4"/>
      <c r="AA1820" s="4"/>
      <c r="AB1820" s="4"/>
      <c r="AC1820" s="4"/>
      <c r="AD1820" s="4"/>
      <c r="AE1820" s="4"/>
      <c r="AF1820" s="4"/>
      <c r="AG1820" s="4"/>
    </row>
    <row r="1821" spans="2:33" x14ac:dyDescent="0.2">
      <c r="B1821" s="48"/>
      <c r="C1821" s="61" t="s">
        <v>1184</v>
      </c>
      <c r="D1821" s="44"/>
      <c r="E1821" s="86" t="s">
        <v>1036</v>
      </c>
      <c r="F1821" s="23" t="str">
        <f>IF(H1821=-0.33,IF(H1819=H$1,H1819,""),"")</f>
        <v/>
      </c>
      <c r="G1821" s="26"/>
      <c r="H1821" s="24">
        <f t="shared" ref="H1821" si="605">IF(H1820=1,IF(H1819=H$2,1,-0.33),0)</f>
        <v>0</v>
      </c>
      <c r="I1821" s="4"/>
      <c r="J1821" s="4"/>
      <c r="K1821" s="4"/>
      <c r="L1821" s="4"/>
      <c r="M1821" s="4"/>
      <c r="N1821" s="4"/>
      <c r="O1821" s="4"/>
      <c r="P1821" s="4"/>
      <c r="Q1821" s="4"/>
      <c r="R1821" s="4"/>
      <c r="S1821" s="4"/>
      <c r="T1821" s="4"/>
      <c r="U1821" s="4"/>
      <c r="V1821" s="4"/>
      <c r="W1821" s="4"/>
      <c r="X1821" s="4"/>
      <c r="Y1821" s="4"/>
      <c r="Z1821" s="4"/>
      <c r="AA1821" s="4"/>
      <c r="AB1821" s="4"/>
      <c r="AC1821" s="4"/>
      <c r="AD1821" s="4"/>
      <c r="AE1821" s="4"/>
      <c r="AF1821" s="4"/>
      <c r="AG1821" s="4"/>
    </row>
    <row r="1822" spans="2:33" x14ac:dyDescent="0.2">
      <c r="B1822" s="48"/>
      <c r="C1822" s="57"/>
      <c r="D1822" s="44"/>
      <c r="E1822" s="86" t="s">
        <v>1037</v>
      </c>
      <c r="F1822" s="28"/>
      <c r="G1822" s="26"/>
      <c r="H1822" s="24"/>
      <c r="I1822" s="4"/>
      <c r="J1822" s="4"/>
      <c r="K1822" s="4"/>
      <c r="L1822" s="4"/>
      <c r="M1822" s="4"/>
      <c r="N1822" s="4"/>
      <c r="O1822" s="4"/>
      <c r="P1822" s="4"/>
      <c r="Q1822" s="4"/>
      <c r="R1822" s="4"/>
      <c r="S1822" s="4"/>
      <c r="T1822" s="4"/>
      <c r="U1822" s="4"/>
      <c r="V1822" s="4"/>
      <c r="W1822" s="4"/>
      <c r="X1822" s="4"/>
      <c r="Y1822" s="4"/>
      <c r="Z1822" s="4"/>
      <c r="AA1822" s="4"/>
      <c r="AB1822" s="4"/>
      <c r="AC1822" s="4"/>
      <c r="AD1822" s="4"/>
      <c r="AE1822" s="4"/>
      <c r="AF1822" s="4"/>
      <c r="AG1822" s="4"/>
    </row>
    <row r="1823" spans="2:33" x14ac:dyDescent="0.2">
      <c r="B1823" s="48"/>
      <c r="C1823" s="8"/>
      <c r="D1823" s="44"/>
      <c r="E1823" s="86" t="s">
        <v>1038</v>
      </c>
      <c r="F1823" s="28"/>
      <c r="G1823" s="26"/>
      <c r="H1823" s="24"/>
      <c r="I1823" s="4"/>
      <c r="J1823" s="4"/>
      <c r="K1823" s="4"/>
      <c r="L1823" s="4"/>
      <c r="M1823" s="4"/>
      <c r="N1823" s="4"/>
      <c r="O1823" s="4"/>
      <c r="P1823" s="4"/>
      <c r="Q1823" s="4"/>
      <c r="R1823" s="4"/>
      <c r="S1823" s="4"/>
      <c r="T1823" s="4"/>
      <c r="U1823" s="4"/>
      <c r="V1823" s="4"/>
      <c r="W1823" s="4"/>
      <c r="X1823" s="4"/>
      <c r="Y1823" s="4"/>
      <c r="Z1823" s="4"/>
      <c r="AA1823" s="4"/>
      <c r="AB1823" s="4"/>
      <c r="AC1823" s="4"/>
      <c r="AD1823" s="4"/>
      <c r="AE1823" s="4"/>
      <c r="AF1823" s="4"/>
      <c r="AG1823" s="4"/>
    </row>
    <row r="1824" spans="2:33" x14ac:dyDescent="0.2">
      <c r="B1824" s="49" t="s">
        <v>1185</v>
      </c>
      <c r="C1824" s="13"/>
      <c r="D1824" s="45"/>
      <c r="E1824" s="85"/>
      <c r="F1824" s="16"/>
      <c r="G1824" s="15"/>
      <c r="H1824" s="15"/>
      <c r="I1824" s="4"/>
      <c r="J1824" s="4"/>
      <c r="K1824" s="4"/>
      <c r="L1824" s="4"/>
      <c r="M1824" s="4"/>
      <c r="N1824" s="4"/>
      <c r="O1824" s="4"/>
      <c r="P1824" s="4"/>
      <c r="Q1824" s="4"/>
      <c r="R1824" s="4"/>
      <c r="S1824" s="4"/>
      <c r="T1824" s="4"/>
      <c r="U1824" s="4"/>
      <c r="V1824" s="4"/>
      <c r="W1824" s="4"/>
      <c r="X1824" s="4"/>
      <c r="Y1824" s="4"/>
      <c r="Z1824" s="4"/>
      <c r="AA1824" s="4"/>
      <c r="AB1824" s="4"/>
      <c r="AC1824" s="4"/>
      <c r="AD1824" s="4"/>
      <c r="AE1824" s="4"/>
      <c r="AF1824" s="4"/>
      <c r="AG1824" s="4"/>
    </row>
    <row r="1825" spans="2:33" x14ac:dyDescent="0.2">
      <c r="B1825" s="48"/>
      <c r="C1825" s="56" t="s">
        <v>1186</v>
      </c>
      <c r="D1825" s="44"/>
      <c r="E1825" s="86" t="s">
        <v>1034</v>
      </c>
      <c r="F1825" s="20"/>
      <c r="G1825" s="19"/>
      <c r="H1825" s="21" t="b">
        <f>IF(D1825="x",H$2,H$1)</f>
        <v>0</v>
      </c>
      <c r="I1825" s="4"/>
      <c r="J1825" s="4"/>
      <c r="K1825" s="4"/>
      <c r="L1825" s="4"/>
      <c r="M1825" s="4"/>
      <c r="N1825" s="4"/>
      <c r="O1825" s="4"/>
      <c r="P1825" s="4"/>
      <c r="Q1825" s="4"/>
      <c r="R1825" s="4"/>
      <c r="S1825" s="4"/>
      <c r="T1825" s="4"/>
      <c r="U1825" s="4"/>
      <c r="V1825" s="4"/>
      <c r="W1825" s="4"/>
      <c r="X1825" s="4"/>
      <c r="Y1825" s="4"/>
      <c r="Z1825" s="4"/>
      <c r="AA1825" s="4"/>
      <c r="AB1825" s="4"/>
      <c r="AC1825" s="4"/>
      <c r="AD1825" s="4"/>
      <c r="AE1825" s="4"/>
      <c r="AF1825" s="4"/>
      <c r="AG1825" s="4"/>
    </row>
    <row r="1826" spans="2:33" x14ac:dyDescent="0.2">
      <c r="B1826" s="52"/>
      <c r="C1826" s="57" t="s">
        <v>1187</v>
      </c>
      <c r="D1826" s="44"/>
      <c r="E1826" s="86" t="s">
        <v>1035</v>
      </c>
      <c r="F1826" s="22" t="str">
        <f>IF(H1827=1,IF(H1825=H$2,H1825,""),"")</f>
        <v/>
      </c>
      <c r="G1826" s="19"/>
      <c r="H1826" s="21" t="str">
        <f t="shared" ref="H1826" si="606">IF(E$1872="comprobar",COUNTIF(D1825:D1829,"x"),"")</f>
        <v/>
      </c>
      <c r="I1826" s="4"/>
      <c r="J1826" s="4"/>
      <c r="K1826" s="4"/>
      <c r="L1826" s="4"/>
      <c r="M1826" s="4"/>
      <c r="N1826" s="4"/>
      <c r="O1826" s="4"/>
      <c r="P1826" s="4"/>
      <c r="Q1826" s="4"/>
      <c r="R1826" s="4"/>
      <c r="S1826" s="4"/>
      <c r="T1826" s="4"/>
      <c r="U1826" s="4"/>
      <c r="V1826" s="4"/>
      <c r="W1826" s="4"/>
      <c r="X1826" s="4"/>
      <c r="Y1826" s="4"/>
      <c r="Z1826" s="4"/>
      <c r="AA1826" s="4"/>
      <c r="AB1826" s="4"/>
      <c r="AC1826" s="4"/>
      <c r="AD1826" s="4"/>
      <c r="AE1826" s="4"/>
      <c r="AF1826" s="4"/>
      <c r="AG1826" s="4"/>
    </row>
    <row r="1827" spans="2:33" x14ac:dyDescent="0.2">
      <c r="B1827" s="52"/>
      <c r="C1827" s="57" t="s">
        <v>1188</v>
      </c>
      <c r="D1827" s="44"/>
      <c r="E1827" s="86" t="s">
        <v>1036</v>
      </c>
      <c r="F1827" s="23" t="str">
        <f>IF(H1827=-0.33,IF(H1825=H$1,H1825,""),"")</f>
        <v/>
      </c>
      <c r="G1827" s="19"/>
      <c r="H1827" s="24">
        <f t="shared" ref="H1827" si="607">IF(H1826=1,IF(H1825=H$2,1,-0.33),0)</f>
        <v>0</v>
      </c>
      <c r="I1827" s="4"/>
      <c r="J1827" s="4"/>
      <c r="K1827" s="4"/>
      <c r="L1827" s="4"/>
      <c r="M1827" s="4"/>
      <c r="N1827" s="4"/>
      <c r="O1827" s="4"/>
      <c r="P1827" s="4"/>
      <c r="Q1827" s="4"/>
      <c r="R1827" s="4"/>
      <c r="S1827" s="4"/>
      <c r="T1827" s="4"/>
      <c r="U1827" s="4"/>
      <c r="V1827" s="4"/>
      <c r="W1827" s="4"/>
      <c r="X1827" s="4"/>
      <c r="Y1827" s="4"/>
      <c r="Z1827" s="4"/>
      <c r="AA1827" s="4"/>
      <c r="AB1827" s="4"/>
      <c r="AC1827" s="4"/>
      <c r="AD1827" s="4"/>
      <c r="AE1827" s="4"/>
      <c r="AF1827" s="4"/>
      <c r="AG1827" s="4"/>
    </row>
    <row r="1828" spans="2:33" x14ac:dyDescent="0.2">
      <c r="B1828" s="48"/>
      <c r="C1828" s="57" t="s">
        <v>1189</v>
      </c>
      <c r="D1828" s="44"/>
      <c r="E1828" s="86" t="s">
        <v>1037</v>
      </c>
      <c r="F1828" s="20"/>
      <c r="G1828" s="19"/>
      <c r="H1828" s="24"/>
      <c r="I1828" s="4"/>
      <c r="J1828" s="4"/>
      <c r="K1828" s="4"/>
      <c r="L1828" s="4"/>
      <c r="M1828" s="4"/>
      <c r="N1828" s="4"/>
      <c r="O1828" s="4"/>
      <c r="P1828" s="4"/>
      <c r="Q1828" s="4"/>
      <c r="R1828" s="4"/>
      <c r="S1828" s="4"/>
      <c r="T1828" s="4"/>
      <c r="U1828" s="4"/>
      <c r="V1828" s="4"/>
      <c r="W1828" s="4"/>
      <c r="X1828" s="4"/>
      <c r="Y1828" s="4"/>
      <c r="Z1828" s="4"/>
      <c r="AA1828" s="4"/>
      <c r="AB1828" s="4"/>
      <c r="AC1828" s="4"/>
      <c r="AD1828" s="4"/>
      <c r="AE1828" s="4"/>
      <c r="AF1828" s="4"/>
      <c r="AG1828" s="4"/>
    </row>
    <row r="1829" spans="2:33" x14ac:dyDescent="0.2">
      <c r="B1829" s="48"/>
      <c r="C1829" s="8"/>
      <c r="D1829" s="44"/>
      <c r="E1829" s="86" t="s">
        <v>1038</v>
      </c>
      <c r="F1829" s="20"/>
      <c r="G1829" s="19"/>
      <c r="H1829" s="24"/>
      <c r="I1829" s="4"/>
      <c r="J1829" s="4"/>
      <c r="K1829" s="4"/>
      <c r="L1829" s="4"/>
      <c r="M1829" s="4"/>
      <c r="N1829" s="4"/>
      <c r="O1829" s="4"/>
      <c r="P1829" s="4"/>
      <c r="Q1829" s="4"/>
      <c r="R1829" s="4"/>
      <c r="S1829" s="4"/>
      <c r="T1829" s="4"/>
      <c r="U1829" s="4"/>
      <c r="V1829" s="4"/>
      <c r="W1829" s="4"/>
      <c r="X1829" s="4"/>
      <c r="Y1829" s="4"/>
      <c r="Z1829" s="4"/>
      <c r="AA1829" s="4"/>
      <c r="AB1829" s="4"/>
      <c r="AC1829" s="4"/>
      <c r="AD1829" s="4"/>
      <c r="AE1829" s="4"/>
      <c r="AF1829" s="4"/>
      <c r="AG1829" s="4"/>
    </row>
    <row r="1830" spans="2:33" x14ac:dyDescent="0.2">
      <c r="B1830" s="49" t="s">
        <v>1190</v>
      </c>
      <c r="C1830" s="13"/>
      <c r="D1830" s="45"/>
      <c r="E1830" s="85"/>
      <c r="F1830" s="30"/>
      <c r="G1830" s="29"/>
      <c r="H1830" s="15"/>
      <c r="I1830" s="4"/>
      <c r="J1830" s="4"/>
      <c r="K1830" s="4"/>
      <c r="L1830" s="4"/>
      <c r="M1830" s="4"/>
      <c r="N1830" s="4"/>
      <c r="O1830" s="4"/>
      <c r="P1830" s="4"/>
      <c r="Q1830" s="4"/>
      <c r="R1830" s="4"/>
      <c r="S1830" s="4"/>
      <c r="T1830" s="4"/>
      <c r="U1830" s="4"/>
      <c r="V1830" s="4"/>
      <c r="W1830" s="4"/>
      <c r="X1830" s="4"/>
      <c r="Y1830" s="4"/>
      <c r="Z1830" s="4"/>
      <c r="AA1830" s="4"/>
      <c r="AB1830" s="4"/>
      <c r="AC1830" s="4"/>
      <c r="AD1830" s="4"/>
      <c r="AE1830" s="4"/>
      <c r="AF1830" s="4"/>
      <c r="AG1830" s="4"/>
    </row>
    <row r="1831" spans="2:33" x14ac:dyDescent="0.2">
      <c r="B1831" s="48"/>
      <c r="C1831" s="56" t="s">
        <v>1191</v>
      </c>
      <c r="D1831" s="44"/>
      <c r="E1831" s="86" t="s">
        <v>1034</v>
      </c>
      <c r="F1831" s="27"/>
      <c r="G1831" s="26"/>
      <c r="H1831" s="21" t="b">
        <f>IF(D1832="x",H$2,H$1)</f>
        <v>0</v>
      </c>
      <c r="I1831" s="4"/>
      <c r="J1831" s="4"/>
      <c r="K1831" s="4"/>
      <c r="L1831" s="4"/>
      <c r="M1831" s="4"/>
      <c r="N1831" s="4"/>
      <c r="O1831" s="4"/>
      <c r="P1831" s="4"/>
      <c r="Q1831" s="4"/>
      <c r="R1831" s="4"/>
      <c r="S1831" s="4"/>
      <c r="T1831" s="4"/>
      <c r="U1831" s="4"/>
      <c r="V1831" s="4"/>
      <c r="W1831" s="4"/>
      <c r="X1831" s="4"/>
      <c r="Y1831" s="4"/>
      <c r="Z1831" s="4"/>
      <c r="AA1831" s="4"/>
      <c r="AB1831" s="4"/>
      <c r="AC1831" s="4"/>
      <c r="AD1831" s="4"/>
      <c r="AE1831" s="4"/>
      <c r="AF1831" s="4"/>
      <c r="AG1831" s="4"/>
    </row>
    <row r="1832" spans="2:33" x14ac:dyDescent="0.2">
      <c r="B1832" s="48"/>
      <c r="C1832" s="57" t="s">
        <v>1192</v>
      </c>
      <c r="D1832" s="44"/>
      <c r="E1832" s="86" t="s">
        <v>1035</v>
      </c>
      <c r="F1832" s="22" t="str">
        <f>IF(H1833=1,IF(H1831=H$2,H1831,""),"")</f>
        <v/>
      </c>
      <c r="G1832" s="26"/>
      <c r="H1832" s="21" t="str">
        <f t="shared" ref="H1832" si="608">IF(E$1872="comprobar",COUNTIF(D1831:D1835,"x"),"")</f>
        <v/>
      </c>
      <c r="I1832" s="4"/>
      <c r="J1832" s="4"/>
      <c r="K1832" s="4"/>
      <c r="L1832" s="4"/>
      <c r="M1832" s="4"/>
      <c r="N1832" s="4"/>
      <c r="O1832" s="4"/>
      <c r="P1832" s="4"/>
      <c r="Q1832" s="4"/>
      <c r="R1832" s="4"/>
      <c r="S1832" s="4"/>
      <c r="T1832" s="4"/>
      <c r="U1832" s="4"/>
      <c r="V1832" s="4"/>
      <c r="W1832" s="4"/>
      <c r="X1832" s="4"/>
      <c r="Y1832" s="4"/>
      <c r="Z1832" s="4"/>
      <c r="AA1832" s="4"/>
      <c r="AB1832" s="4"/>
      <c r="AC1832" s="4"/>
      <c r="AD1832" s="4"/>
      <c r="AE1832" s="4"/>
      <c r="AF1832" s="4"/>
      <c r="AG1832" s="4"/>
    </row>
    <row r="1833" spans="2:33" x14ac:dyDescent="0.2">
      <c r="B1833" s="48"/>
      <c r="C1833" s="57" t="s">
        <v>1193</v>
      </c>
      <c r="D1833" s="44"/>
      <c r="E1833" s="86" t="s">
        <v>1036</v>
      </c>
      <c r="F1833" s="23" t="str">
        <f>IF(H1833=-0.33,IF(H1831=H$1,H1831,""),"")</f>
        <v/>
      </c>
      <c r="G1833" s="26"/>
      <c r="H1833" s="24">
        <f t="shared" ref="H1833" si="609">IF(H1832=1,IF(H1831=H$2,1,-0.33),0)</f>
        <v>0</v>
      </c>
      <c r="I1833" s="4"/>
      <c r="J1833" s="4"/>
      <c r="K1833" s="4"/>
      <c r="L1833" s="4"/>
      <c r="M1833" s="4"/>
      <c r="N1833" s="4"/>
      <c r="O1833" s="4"/>
      <c r="P1833" s="4"/>
      <c r="Q1833" s="4"/>
      <c r="R1833" s="4"/>
      <c r="S1833" s="4"/>
      <c r="T1833" s="4"/>
      <c r="U1833" s="4"/>
      <c r="V1833" s="4"/>
      <c r="W1833" s="4"/>
      <c r="X1833" s="4"/>
      <c r="Y1833" s="4"/>
      <c r="Z1833" s="4"/>
      <c r="AA1833" s="4"/>
      <c r="AB1833" s="4"/>
      <c r="AC1833" s="4"/>
      <c r="AD1833" s="4"/>
      <c r="AE1833" s="4"/>
      <c r="AF1833" s="4"/>
      <c r="AG1833" s="4"/>
    </row>
    <row r="1834" spans="2:33" x14ac:dyDescent="0.2">
      <c r="B1834" s="48"/>
      <c r="C1834" s="57" t="s">
        <v>1194</v>
      </c>
      <c r="D1834" s="44"/>
      <c r="E1834" s="86" t="s">
        <v>1037</v>
      </c>
      <c r="F1834" s="28"/>
      <c r="G1834" s="26"/>
      <c r="H1834" s="24"/>
      <c r="I1834" s="4"/>
      <c r="J1834" s="4"/>
      <c r="K1834" s="4"/>
      <c r="L1834" s="4"/>
      <c r="M1834" s="4"/>
      <c r="N1834" s="4"/>
      <c r="O1834" s="4"/>
      <c r="P1834" s="4"/>
      <c r="Q1834" s="4"/>
      <c r="R1834" s="4"/>
      <c r="S1834" s="4"/>
      <c r="T1834" s="4"/>
      <c r="U1834" s="4"/>
      <c r="V1834" s="4"/>
      <c r="W1834" s="4"/>
      <c r="X1834" s="4"/>
      <c r="Y1834" s="4"/>
      <c r="Z1834" s="4"/>
      <c r="AA1834" s="4"/>
      <c r="AB1834" s="4"/>
      <c r="AC1834" s="4"/>
      <c r="AD1834" s="4"/>
      <c r="AE1834" s="4"/>
      <c r="AF1834" s="4"/>
      <c r="AG1834" s="4"/>
    </row>
    <row r="1835" spans="2:33" x14ac:dyDescent="0.2">
      <c r="B1835" s="48"/>
      <c r="C1835" s="8"/>
      <c r="D1835" s="44"/>
      <c r="E1835" s="86" t="s">
        <v>1038</v>
      </c>
      <c r="F1835" s="28"/>
      <c r="G1835" s="26"/>
      <c r="H1835" s="24"/>
      <c r="I1835" s="4"/>
      <c r="J1835" s="4"/>
      <c r="K1835" s="4"/>
      <c r="L1835" s="4"/>
      <c r="M1835" s="4"/>
      <c r="N1835" s="4"/>
      <c r="O1835" s="4"/>
      <c r="P1835" s="4"/>
      <c r="Q1835" s="4"/>
      <c r="R1835" s="4"/>
      <c r="S1835" s="4"/>
      <c r="T1835" s="4"/>
      <c r="U1835" s="4"/>
      <c r="V1835" s="4"/>
      <c r="W1835" s="4"/>
      <c r="X1835" s="4"/>
      <c r="Y1835" s="4"/>
      <c r="Z1835" s="4"/>
      <c r="AA1835" s="4"/>
      <c r="AB1835" s="4"/>
      <c r="AC1835" s="4"/>
      <c r="AD1835" s="4"/>
      <c r="AE1835" s="4"/>
      <c r="AF1835" s="4"/>
      <c r="AG1835" s="4"/>
    </row>
    <row r="1836" spans="2:33" x14ac:dyDescent="0.2">
      <c r="B1836" s="49" t="s">
        <v>1195</v>
      </c>
      <c r="C1836" s="13"/>
      <c r="D1836" s="45"/>
      <c r="E1836" s="85"/>
      <c r="F1836" s="30"/>
      <c r="G1836" s="29"/>
      <c r="H1836" s="15"/>
      <c r="I1836" s="4"/>
      <c r="J1836" s="4"/>
      <c r="K1836" s="4"/>
      <c r="L1836" s="4"/>
      <c r="M1836" s="4"/>
      <c r="N1836" s="4"/>
      <c r="O1836" s="4"/>
      <c r="P1836" s="4"/>
      <c r="Q1836" s="4"/>
      <c r="R1836" s="4"/>
      <c r="S1836" s="4"/>
      <c r="T1836" s="4"/>
      <c r="U1836" s="4"/>
      <c r="V1836" s="4"/>
      <c r="W1836" s="4"/>
      <c r="X1836" s="4"/>
      <c r="Y1836" s="4"/>
      <c r="Z1836" s="4"/>
      <c r="AA1836" s="4"/>
      <c r="AB1836" s="4"/>
      <c r="AC1836" s="4"/>
      <c r="AD1836" s="4"/>
      <c r="AE1836" s="4"/>
      <c r="AF1836" s="4"/>
      <c r="AG1836" s="4"/>
    </row>
    <row r="1837" spans="2:33" x14ac:dyDescent="0.2">
      <c r="B1837" s="48"/>
      <c r="C1837" s="56" t="s">
        <v>1196</v>
      </c>
      <c r="D1837" s="44"/>
      <c r="E1837" s="86" t="s">
        <v>1034</v>
      </c>
      <c r="F1837" s="28"/>
      <c r="G1837" s="55"/>
      <c r="H1837" s="21" t="b">
        <f>IF(D1838="x",H$2,H$1)</f>
        <v>0</v>
      </c>
      <c r="I1837" s="4"/>
      <c r="J1837" s="4"/>
      <c r="K1837" s="4"/>
      <c r="L1837" s="4"/>
      <c r="M1837" s="4"/>
      <c r="N1837" s="4"/>
      <c r="O1837" s="4"/>
      <c r="P1837" s="4"/>
      <c r="Q1837" s="4"/>
      <c r="R1837" s="4"/>
      <c r="S1837" s="4"/>
      <c r="T1837" s="4"/>
      <c r="U1837" s="4"/>
      <c r="V1837" s="4"/>
      <c r="W1837" s="4"/>
      <c r="X1837" s="4"/>
      <c r="Y1837" s="4"/>
      <c r="Z1837" s="4"/>
      <c r="AA1837" s="4"/>
      <c r="AB1837" s="4"/>
      <c r="AC1837" s="4"/>
      <c r="AD1837" s="4"/>
      <c r="AE1837" s="4"/>
      <c r="AF1837" s="4"/>
      <c r="AG1837" s="4"/>
    </row>
    <row r="1838" spans="2:33" x14ac:dyDescent="0.2">
      <c r="B1838" s="52"/>
      <c r="C1838" s="57" t="s">
        <v>1197</v>
      </c>
      <c r="D1838" s="44"/>
      <c r="E1838" s="86" t="s">
        <v>1035</v>
      </c>
      <c r="F1838" s="22" t="str">
        <f>IF(H1839=1,IF(H1837=H$2,H1837,""),"")</f>
        <v/>
      </c>
      <c r="G1838" s="26"/>
      <c r="H1838" s="21" t="str">
        <f t="shared" ref="H1838" si="610">IF(E$1872="comprobar",COUNTIF(D1837:D1841,"x"),"")</f>
        <v/>
      </c>
      <c r="I1838" s="4"/>
      <c r="J1838" s="4"/>
      <c r="K1838" s="4"/>
      <c r="L1838" s="4"/>
      <c r="M1838" s="4"/>
      <c r="N1838" s="4"/>
      <c r="O1838" s="4"/>
      <c r="P1838" s="4"/>
      <c r="Q1838" s="4"/>
      <c r="R1838" s="4"/>
      <c r="S1838" s="4"/>
      <c r="T1838" s="4"/>
      <c r="U1838" s="4"/>
      <c r="V1838" s="4"/>
      <c r="W1838" s="4"/>
      <c r="X1838" s="4"/>
      <c r="Y1838" s="4"/>
      <c r="Z1838" s="4"/>
      <c r="AA1838" s="4"/>
      <c r="AB1838" s="4"/>
      <c r="AC1838" s="4"/>
      <c r="AD1838" s="4"/>
      <c r="AE1838" s="4"/>
      <c r="AF1838" s="4"/>
      <c r="AG1838" s="4"/>
    </row>
    <row r="1839" spans="2:33" x14ac:dyDescent="0.2">
      <c r="B1839" s="48"/>
      <c r="C1839" s="57" t="s">
        <v>1198</v>
      </c>
      <c r="D1839" s="44"/>
      <c r="E1839" s="86" t="s">
        <v>1036</v>
      </c>
      <c r="F1839" s="23" t="str">
        <f>IF(H1839=-0.33,IF(H1837=H$1,H1837,""),"")</f>
        <v/>
      </c>
      <c r="G1839" s="26"/>
      <c r="H1839" s="24">
        <f t="shared" ref="H1839" si="611">IF(H1838=1,IF(H1837=H$2,1,-0.33),0)</f>
        <v>0</v>
      </c>
      <c r="I1839" s="4"/>
      <c r="J1839" s="4"/>
      <c r="K1839" s="4"/>
      <c r="L1839" s="4"/>
      <c r="M1839" s="4"/>
      <c r="N1839" s="4"/>
      <c r="O1839" s="4"/>
      <c r="P1839" s="4"/>
      <c r="Q1839" s="4"/>
      <c r="R1839" s="4"/>
      <c r="S1839" s="4"/>
      <c r="T1839" s="4"/>
      <c r="U1839" s="4"/>
      <c r="V1839" s="4"/>
      <c r="W1839" s="4"/>
      <c r="X1839" s="4"/>
      <c r="Y1839" s="4"/>
      <c r="Z1839" s="4"/>
      <c r="AA1839" s="4"/>
      <c r="AB1839" s="4"/>
      <c r="AC1839" s="4"/>
      <c r="AD1839" s="4"/>
      <c r="AE1839" s="4"/>
      <c r="AF1839" s="4"/>
      <c r="AG1839" s="4"/>
    </row>
    <row r="1840" spans="2:33" x14ac:dyDescent="0.2">
      <c r="B1840" s="48"/>
      <c r="C1840" s="57" t="s">
        <v>1199</v>
      </c>
      <c r="D1840" s="44"/>
      <c r="E1840" s="86" t="s">
        <v>1037</v>
      </c>
      <c r="F1840" s="28"/>
      <c r="G1840" s="26"/>
      <c r="H1840" s="24"/>
      <c r="I1840" s="4"/>
      <c r="J1840" s="4"/>
      <c r="K1840" s="4"/>
      <c r="L1840" s="4"/>
      <c r="M1840" s="4"/>
      <c r="N1840" s="4"/>
      <c r="O1840" s="4"/>
      <c r="P1840" s="4"/>
      <c r="Q1840" s="4"/>
      <c r="R1840" s="4"/>
      <c r="S1840" s="4"/>
      <c r="T1840" s="4"/>
      <c r="U1840" s="4"/>
      <c r="V1840" s="4"/>
      <c r="W1840" s="4"/>
      <c r="X1840" s="4"/>
      <c r="Y1840" s="4"/>
      <c r="Z1840" s="4"/>
      <c r="AA1840" s="4"/>
      <c r="AB1840" s="4"/>
      <c r="AC1840" s="4"/>
      <c r="AD1840" s="4"/>
      <c r="AE1840" s="4"/>
      <c r="AF1840" s="4"/>
      <c r="AG1840" s="4"/>
    </row>
    <row r="1841" spans="2:33" x14ac:dyDescent="0.2">
      <c r="B1841" s="48"/>
      <c r="C1841" s="8"/>
      <c r="D1841" s="44"/>
      <c r="E1841" s="86" t="s">
        <v>1038</v>
      </c>
      <c r="F1841" s="28"/>
      <c r="G1841" s="26"/>
      <c r="H1841" s="24"/>
      <c r="I1841" s="4"/>
      <c r="J1841" s="4"/>
      <c r="K1841" s="4"/>
      <c r="L1841" s="4"/>
      <c r="M1841" s="4"/>
      <c r="N1841" s="4"/>
      <c r="O1841" s="4"/>
      <c r="P1841" s="4"/>
      <c r="Q1841" s="4"/>
      <c r="R1841" s="4"/>
      <c r="S1841" s="4"/>
      <c r="T1841" s="4"/>
      <c r="U1841" s="4"/>
      <c r="V1841" s="4"/>
      <c r="W1841" s="4"/>
      <c r="X1841" s="4"/>
      <c r="Y1841" s="4"/>
      <c r="Z1841" s="4"/>
      <c r="AA1841" s="4"/>
      <c r="AB1841" s="4"/>
      <c r="AC1841" s="4"/>
      <c r="AD1841" s="4"/>
      <c r="AE1841" s="4"/>
      <c r="AF1841" s="4"/>
      <c r="AG1841" s="4"/>
    </row>
    <row r="1842" spans="2:33" x14ac:dyDescent="0.2">
      <c r="B1842" s="49" t="s">
        <v>1200</v>
      </c>
      <c r="C1842" s="13"/>
      <c r="D1842" s="45"/>
      <c r="E1842" s="85"/>
      <c r="F1842" s="30"/>
      <c r="G1842" s="29"/>
      <c r="H1842" s="15"/>
      <c r="I1842" s="4"/>
      <c r="J1842" s="4"/>
      <c r="K1842" s="4"/>
      <c r="L1842" s="4"/>
      <c r="M1842" s="4"/>
      <c r="N1842" s="4"/>
      <c r="O1842" s="4"/>
      <c r="P1842" s="4"/>
      <c r="Q1842" s="4"/>
      <c r="R1842" s="4"/>
      <c r="S1842" s="4"/>
      <c r="T1842" s="4"/>
      <c r="U1842" s="4"/>
      <c r="V1842" s="4"/>
      <c r="W1842" s="4"/>
      <c r="X1842" s="4"/>
      <c r="Y1842" s="4"/>
      <c r="Z1842" s="4"/>
      <c r="AA1842" s="4"/>
      <c r="AB1842" s="4"/>
      <c r="AC1842" s="4"/>
      <c r="AD1842" s="4"/>
      <c r="AE1842" s="4"/>
      <c r="AF1842" s="4"/>
      <c r="AG1842" s="4"/>
    </row>
    <row r="1843" spans="2:33" x14ac:dyDescent="0.2">
      <c r="B1843" s="52"/>
      <c r="C1843" s="56" t="s">
        <v>1201</v>
      </c>
      <c r="D1843" s="44"/>
      <c r="E1843" s="86" t="s">
        <v>1034</v>
      </c>
      <c r="F1843" s="27"/>
      <c r="G1843" s="26"/>
      <c r="H1843" s="21" t="b">
        <f>IF(D1845="x",H$2,H$1)</f>
        <v>0</v>
      </c>
      <c r="I1843" s="4"/>
      <c r="J1843" s="4"/>
      <c r="K1843" s="4"/>
      <c r="L1843" s="4"/>
      <c r="M1843" s="4"/>
      <c r="N1843" s="4"/>
      <c r="O1843" s="4"/>
      <c r="P1843" s="4"/>
      <c r="Q1843" s="4"/>
      <c r="R1843" s="4"/>
      <c r="S1843" s="4"/>
      <c r="T1843" s="4"/>
      <c r="U1843" s="4"/>
      <c r="V1843" s="4"/>
      <c r="W1843" s="4"/>
      <c r="X1843" s="4"/>
      <c r="Y1843" s="4"/>
      <c r="Z1843" s="4"/>
      <c r="AA1843" s="4"/>
      <c r="AB1843" s="4"/>
      <c r="AC1843" s="4"/>
      <c r="AD1843" s="4"/>
      <c r="AE1843" s="4"/>
      <c r="AF1843" s="4"/>
      <c r="AG1843" s="4"/>
    </row>
    <row r="1844" spans="2:33" x14ac:dyDescent="0.2">
      <c r="B1844" s="48"/>
      <c r="C1844" s="57" t="s">
        <v>1202</v>
      </c>
      <c r="D1844" s="44"/>
      <c r="E1844" s="86" t="s">
        <v>1035</v>
      </c>
      <c r="F1844" s="22" t="str">
        <f>IF(H1845=1,IF(H1843=H$2,H1843,""),"")</f>
        <v/>
      </c>
      <c r="G1844" s="26"/>
      <c r="H1844" s="21" t="str">
        <f t="shared" ref="H1844" si="612">IF(E$1872="comprobar",COUNTIF(D1843:D1847,"x"),"")</f>
        <v/>
      </c>
      <c r="I1844" s="4"/>
      <c r="J1844" s="4"/>
      <c r="K1844" s="4"/>
      <c r="L1844" s="4"/>
      <c r="M1844" s="4"/>
      <c r="N1844" s="4"/>
      <c r="O1844" s="4"/>
      <c r="P1844" s="4"/>
      <c r="Q1844" s="4"/>
      <c r="R1844" s="4"/>
      <c r="S1844" s="4"/>
      <c r="T1844" s="4"/>
      <c r="U1844" s="4"/>
      <c r="V1844" s="4"/>
      <c r="W1844" s="4"/>
      <c r="X1844" s="4"/>
      <c r="Y1844" s="4"/>
      <c r="Z1844" s="4"/>
      <c r="AA1844" s="4"/>
      <c r="AB1844" s="4"/>
      <c r="AC1844" s="4"/>
      <c r="AD1844" s="4"/>
      <c r="AE1844" s="4"/>
      <c r="AF1844" s="4"/>
      <c r="AG1844" s="4"/>
    </row>
    <row r="1845" spans="2:33" x14ac:dyDescent="0.2">
      <c r="B1845" s="48"/>
      <c r="C1845" s="57" t="s">
        <v>1203</v>
      </c>
      <c r="D1845" s="44"/>
      <c r="E1845" s="86" t="s">
        <v>1036</v>
      </c>
      <c r="F1845" s="23" t="str">
        <f>IF(H1845=-0.33,IF(H1843=H$1,H1843,""),"")</f>
        <v/>
      </c>
      <c r="G1845" s="26"/>
      <c r="H1845" s="24">
        <f t="shared" ref="H1845" si="613">IF(H1844=1,IF(H1843=H$2,1,-0.33),0)</f>
        <v>0</v>
      </c>
      <c r="I1845" s="4"/>
      <c r="J1845" s="4"/>
      <c r="K1845" s="4"/>
      <c r="L1845" s="4"/>
      <c r="M1845" s="4"/>
      <c r="N1845" s="4"/>
      <c r="O1845" s="4"/>
      <c r="P1845" s="4"/>
      <c r="Q1845" s="4"/>
      <c r="R1845" s="4"/>
      <c r="S1845" s="4"/>
      <c r="T1845" s="4"/>
      <c r="U1845" s="4"/>
      <c r="V1845" s="4"/>
      <c r="W1845" s="4"/>
      <c r="X1845" s="4"/>
      <c r="Y1845" s="4"/>
      <c r="Z1845" s="4"/>
      <c r="AA1845" s="4"/>
      <c r="AB1845" s="4"/>
      <c r="AC1845" s="4"/>
      <c r="AD1845" s="4"/>
      <c r="AE1845" s="4"/>
      <c r="AF1845" s="4"/>
      <c r="AG1845" s="4"/>
    </row>
    <row r="1846" spans="2:33" x14ac:dyDescent="0.2">
      <c r="B1846" s="52"/>
      <c r="C1846" s="57"/>
      <c r="D1846" s="44"/>
      <c r="E1846" s="86" t="s">
        <v>1037</v>
      </c>
      <c r="F1846" s="28"/>
      <c r="G1846" s="26"/>
      <c r="H1846" s="24"/>
      <c r="I1846" s="4"/>
      <c r="J1846" s="4"/>
      <c r="K1846" s="4"/>
      <c r="L1846" s="4"/>
      <c r="M1846" s="4"/>
      <c r="N1846" s="4"/>
      <c r="O1846" s="4"/>
      <c r="P1846" s="4"/>
      <c r="Q1846" s="4"/>
      <c r="R1846" s="4"/>
      <c r="S1846" s="4"/>
      <c r="T1846" s="4"/>
      <c r="U1846" s="4"/>
      <c r="V1846" s="4"/>
      <c r="W1846" s="4"/>
      <c r="X1846" s="4"/>
      <c r="Y1846" s="4"/>
      <c r="Z1846" s="4"/>
      <c r="AA1846" s="4"/>
      <c r="AB1846" s="4"/>
      <c r="AC1846" s="4"/>
      <c r="AD1846" s="4"/>
      <c r="AE1846" s="4"/>
      <c r="AF1846" s="4"/>
      <c r="AG1846" s="4"/>
    </row>
    <row r="1847" spans="2:33" x14ac:dyDescent="0.2">
      <c r="B1847" s="48"/>
      <c r="C1847" s="8"/>
      <c r="D1847" s="44"/>
      <c r="E1847" s="86" t="s">
        <v>1038</v>
      </c>
      <c r="F1847" s="28"/>
      <c r="G1847" s="26"/>
      <c r="H1847" s="24"/>
      <c r="I1847" s="4"/>
      <c r="J1847" s="4"/>
      <c r="K1847" s="4"/>
      <c r="L1847" s="4"/>
      <c r="M1847" s="4"/>
      <c r="N1847" s="4"/>
      <c r="O1847" s="4"/>
      <c r="P1847" s="4"/>
      <c r="Q1847" s="4"/>
      <c r="R1847" s="4"/>
      <c r="S1847" s="4"/>
      <c r="T1847" s="4"/>
      <c r="U1847" s="4"/>
      <c r="V1847" s="4"/>
      <c r="W1847" s="4"/>
      <c r="X1847" s="4"/>
      <c r="Y1847" s="4"/>
      <c r="Z1847" s="4"/>
      <c r="AA1847" s="4"/>
      <c r="AB1847" s="4"/>
      <c r="AC1847" s="4"/>
      <c r="AD1847" s="4"/>
      <c r="AE1847" s="4"/>
      <c r="AF1847" s="4"/>
      <c r="AG1847" s="4"/>
    </row>
    <row r="1848" spans="2:33" x14ac:dyDescent="0.2">
      <c r="B1848" s="49" t="s">
        <v>1204</v>
      </c>
      <c r="C1848" s="13"/>
      <c r="D1848" s="45"/>
      <c r="E1848" s="85"/>
      <c r="F1848" s="30"/>
      <c r="G1848" s="29"/>
      <c r="H1848" s="15"/>
      <c r="I1848" s="4"/>
      <c r="J1848" s="4"/>
      <c r="K1848" s="4"/>
      <c r="L1848" s="4"/>
      <c r="M1848" s="4"/>
      <c r="N1848" s="4"/>
      <c r="O1848" s="4"/>
      <c r="P1848" s="4"/>
      <c r="Q1848" s="4"/>
      <c r="R1848" s="4"/>
      <c r="S1848" s="4"/>
      <c r="T1848" s="4"/>
      <c r="U1848" s="4"/>
      <c r="V1848" s="4"/>
      <c r="W1848" s="4"/>
      <c r="X1848" s="4"/>
      <c r="Y1848" s="4"/>
      <c r="Z1848" s="4"/>
      <c r="AA1848" s="4"/>
      <c r="AB1848" s="4"/>
      <c r="AC1848" s="4"/>
      <c r="AD1848" s="4"/>
      <c r="AE1848" s="4"/>
      <c r="AF1848" s="4"/>
      <c r="AG1848" s="4"/>
    </row>
    <row r="1849" spans="2:33" x14ac:dyDescent="0.2">
      <c r="B1849" s="52"/>
      <c r="C1849" s="56" t="s">
        <v>1205</v>
      </c>
      <c r="D1849" s="44"/>
      <c r="E1849" s="86" t="s">
        <v>1034</v>
      </c>
      <c r="F1849" s="28"/>
      <c r="G1849" s="55"/>
      <c r="H1849" s="21" t="b">
        <f>IF(D1850="x",H$2,H$1)</f>
        <v>0</v>
      </c>
      <c r="I1849" s="4"/>
      <c r="J1849" s="4"/>
      <c r="K1849" s="4"/>
      <c r="L1849" s="4"/>
      <c r="M1849" s="4"/>
      <c r="N1849" s="4"/>
      <c r="O1849" s="4"/>
      <c r="P1849" s="4"/>
      <c r="Q1849" s="4"/>
      <c r="R1849" s="4"/>
      <c r="S1849" s="4"/>
      <c r="T1849" s="4"/>
      <c r="U1849" s="4"/>
      <c r="V1849" s="4"/>
      <c r="W1849" s="4"/>
      <c r="X1849" s="4"/>
      <c r="Y1849" s="4"/>
      <c r="Z1849" s="4"/>
      <c r="AA1849" s="4"/>
      <c r="AB1849" s="4"/>
      <c r="AC1849" s="4"/>
      <c r="AD1849" s="4"/>
      <c r="AE1849" s="4"/>
      <c r="AF1849" s="4"/>
      <c r="AG1849" s="4"/>
    </row>
    <row r="1850" spans="2:33" x14ac:dyDescent="0.2">
      <c r="B1850" s="48"/>
      <c r="C1850" s="61" t="s">
        <v>1206</v>
      </c>
      <c r="D1850" s="44"/>
      <c r="E1850" s="86" t="s">
        <v>1035</v>
      </c>
      <c r="F1850" s="22" t="str">
        <f>IF(H1851=1,IF(H1849=H$2,H1849,""),"")</f>
        <v/>
      </c>
      <c r="G1850" s="26"/>
      <c r="H1850" s="21" t="str">
        <f t="shared" ref="H1850" si="614">IF(E$1872="comprobar",COUNTIF(D1849:D1853,"x"),"")</f>
        <v/>
      </c>
      <c r="I1850" s="4"/>
      <c r="J1850" s="4"/>
      <c r="K1850" s="4"/>
      <c r="L1850" s="4"/>
      <c r="M1850" s="4"/>
      <c r="N1850" s="4"/>
      <c r="O1850" s="4"/>
      <c r="P1850" s="4"/>
      <c r="Q1850" s="4"/>
      <c r="R1850" s="4"/>
      <c r="S1850" s="4"/>
      <c r="T1850" s="4"/>
      <c r="U1850" s="4"/>
      <c r="V1850" s="4"/>
      <c r="W1850" s="4"/>
      <c r="X1850" s="4"/>
      <c r="Y1850" s="4"/>
      <c r="Z1850" s="4"/>
      <c r="AA1850" s="4"/>
      <c r="AB1850" s="4"/>
      <c r="AC1850" s="4"/>
      <c r="AD1850" s="4"/>
      <c r="AE1850" s="4"/>
      <c r="AF1850" s="4"/>
      <c r="AG1850" s="4"/>
    </row>
    <row r="1851" spans="2:33" ht="32" x14ac:dyDescent="0.2">
      <c r="B1851" s="48"/>
      <c r="C1851" s="61" t="s">
        <v>1207</v>
      </c>
      <c r="D1851" s="44"/>
      <c r="E1851" s="86" t="s">
        <v>1036</v>
      </c>
      <c r="F1851" s="23" t="str">
        <f>IF(H1851=-0.33,IF(H1849=H$1,H1849,""),"")</f>
        <v/>
      </c>
      <c r="G1851" s="26"/>
      <c r="H1851" s="24">
        <f t="shared" ref="H1851" si="615">IF(H1850=1,IF(H1849=H$2,1,-0.33),0)</f>
        <v>0</v>
      </c>
      <c r="I1851" s="4"/>
      <c r="J1851" s="4"/>
      <c r="K1851" s="4"/>
      <c r="L1851" s="4"/>
      <c r="M1851" s="4"/>
      <c r="N1851" s="4"/>
      <c r="O1851" s="4"/>
      <c r="P1851" s="4"/>
      <c r="Q1851" s="4"/>
      <c r="R1851" s="4"/>
      <c r="S1851" s="4"/>
      <c r="T1851" s="4"/>
      <c r="U1851" s="4"/>
      <c r="V1851" s="4"/>
      <c r="W1851" s="4"/>
      <c r="X1851" s="4"/>
      <c r="Y1851" s="4"/>
      <c r="Z1851" s="4"/>
      <c r="AA1851" s="4"/>
      <c r="AB1851" s="4"/>
      <c r="AC1851" s="4"/>
      <c r="AD1851" s="4"/>
      <c r="AE1851" s="4"/>
      <c r="AF1851" s="4"/>
      <c r="AG1851" s="4"/>
    </row>
    <row r="1852" spans="2:33" x14ac:dyDescent="0.2">
      <c r="B1852" s="48"/>
      <c r="C1852" s="57" t="s">
        <v>1208</v>
      </c>
      <c r="D1852" s="44"/>
      <c r="E1852" s="86" t="s">
        <v>1037</v>
      </c>
      <c r="F1852" s="28"/>
      <c r="G1852" s="26"/>
      <c r="H1852" s="24"/>
      <c r="I1852" s="4"/>
      <c r="J1852" s="4"/>
      <c r="K1852" s="4"/>
      <c r="L1852" s="4"/>
      <c r="M1852" s="4"/>
      <c r="N1852" s="4"/>
      <c r="O1852" s="4"/>
      <c r="P1852" s="4"/>
      <c r="Q1852" s="4"/>
      <c r="R1852" s="4"/>
      <c r="S1852" s="4"/>
      <c r="T1852" s="4"/>
      <c r="U1852" s="4"/>
      <c r="V1852" s="4"/>
      <c r="W1852" s="4"/>
      <c r="X1852" s="4"/>
      <c r="Y1852" s="4"/>
      <c r="Z1852" s="4"/>
      <c r="AA1852" s="4"/>
      <c r="AB1852" s="4"/>
      <c r="AC1852" s="4"/>
      <c r="AD1852" s="4"/>
      <c r="AE1852" s="4"/>
      <c r="AF1852" s="4"/>
      <c r="AG1852" s="4"/>
    </row>
    <row r="1853" spans="2:33" x14ac:dyDescent="0.2">
      <c r="B1853" s="48"/>
      <c r="C1853" s="8"/>
      <c r="D1853" s="44"/>
      <c r="E1853" s="86" t="s">
        <v>1038</v>
      </c>
      <c r="F1853" s="28"/>
      <c r="G1853" s="26"/>
      <c r="H1853" s="24"/>
      <c r="I1853" s="4"/>
      <c r="J1853" s="4"/>
      <c r="K1853" s="4"/>
      <c r="L1853" s="4"/>
      <c r="M1853" s="4"/>
      <c r="N1853" s="4"/>
      <c r="O1853" s="4"/>
      <c r="P1853" s="4"/>
      <c r="Q1853" s="4"/>
      <c r="R1853" s="4"/>
      <c r="S1853" s="4"/>
      <c r="T1853" s="4"/>
      <c r="U1853" s="4"/>
      <c r="V1853" s="4"/>
      <c r="W1853" s="4"/>
      <c r="X1853" s="4"/>
      <c r="Y1853" s="4"/>
      <c r="Z1853" s="4"/>
      <c r="AA1853" s="4"/>
      <c r="AB1853" s="4"/>
      <c r="AC1853" s="4"/>
      <c r="AD1853" s="4"/>
      <c r="AE1853" s="4"/>
      <c r="AF1853" s="4"/>
      <c r="AG1853" s="4"/>
    </row>
    <row r="1854" spans="2:33" x14ac:dyDescent="0.2">
      <c r="B1854" s="49" t="s">
        <v>1209</v>
      </c>
      <c r="C1854" s="13"/>
      <c r="D1854" s="45"/>
      <c r="E1854" s="85"/>
      <c r="F1854" s="30"/>
      <c r="G1854" s="29"/>
      <c r="H1854" s="15"/>
      <c r="I1854" s="4"/>
      <c r="J1854" s="4"/>
      <c r="K1854" s="4"/>
      <c r="L1854" s="4"/>
      <c r="M1854" s="4"/>
      <c r="N1854" s="4"/>
      <c r="O1854" s="4"/>
      <c r="P1854" s="4"/>
      <c r="Q1854" s="4"/>
      <c r="R1854" s="4"/>
      <c r="S1854" s="4"/>
      <c r="T1854" s="4"/>
      <c r="U1854" s="4"/>
      <c r="V1854" s="4"/>
      <c r="W1854" s="4"/>
      <c r="X1854" s="4"/>
      <c r="Y1854" s="4"/>
      <c r="Z1854" s="4"/>
      <c r="AA1854" s="4"/>
      <c r="AB1854" s="4"/>
      <c r="AC1854" s="4"/>
      <c r="AD1854" s="4"/>
      <c r="AE1854" s="4"/>
      <c r="AF1854" s="4"/>
      <c r="AG1854" s="4"/>
    </row>
    <row r="1855" spans="2:33" ht="32" x14ac:dyDescent="0.2">
      <c r="B1855" s="48"/>
      <c r="C1855" s="60" t="s">
        <v>1210</v>
      </c>
      <c r="D1855" s="44"/>
      <c r="E1855" s="86" t="s">
        <v>1034</v>
      </c>
      <c r="F1855" s="27"/>
      <c r="G1855" s="26"/>
      <c r="H1855" s="21" t="b">
        <f>IF(D1856="x",H$2,H$1)</f>
        <v>0</v>
      </c>
      <c r="I1855" s="4"/>
      <c r="J1855" s="4"/>
      <c r="K1855" s="4"/>
      <c r="L1855" s="4"/>
      <c r="M1855" s="4"/>
      <c r="N1855" s="4"/>
      <c r="O1855" s="4"/>
      <c r="P1855" s="4"/>
      <c r="Q1855" s="4"/>
      <c r="R1855" s="4"/>
      <c r="S1855" s="4"/>
      <c r="T1855" s="4"/>
      <c r="U1855" s="4"/>
      <c r="V1855" s="4"/>
      <c r="W1855" s="4"/>
      <c r="X1855" s="4"/>
      <c r="Y1855" s="4"/>
      <c r="Z1855" s="4"/>
      <c r="AA1855" s="4"/>
      <c r="AB1855" s="4"/>
      <c r="AC1855" s="4"/>
      <c r="AD1855" s="4"/>
      <c r="AE1855" s="4"/>
      <c r="AF1855" s="4"/>
      <c r="AG1855" s="4"/>
    </row>
    <row r="1856" spans="2:33" x14ac:dyDescent="0.2">
      <c r="B1856" s="52"/>
      <c r="C1856" s="57" t="s">
        <v>1211</v>
      </c>
      <c r="D1856" s="44"/>
      <c r="E1856" s="86" t="s">
        <v>1035</v>
      </c>
      <c r="F1856" s="22" t="str">
        <f>IF(H1857=1,IF(H1855=H$2,H1855,""),"")</f>
        <v/>
      </c>
      <c r="G1856" s="26"/>
      <c r="H1856" s="21" t="str">
        <f t="shared" ref="H1856" si="616">IF(E$1872="comprobar",COUNTIF(D1855:D1859,"x"),"")</f>
        <v/>
      </c>
      <c r="I1856" s="4"/>
      <c r="J1856" s="4"/>
      <c r="K1856" s="4"/>
      <c r="L1856" s="4"/>
      <c r="M1856" s="4"/>
      <c r="N1856" s="4"/>
      <c r="O1856" s="4"/>
      <c r="P1856" s="4"/>
      <c r="Q1856" s="4"/>
      <c r="R1856" s="4"/>
      <c r="S1856" s="4"/>
      <c r="T1856" s="4"/>
      <c r="U1856" s="4"/>
      <c r="V1856" s="4"/>
      <c r="W1856" s="4"/>
      <c r="X1856" s="4"/>
      <c r="Y1856" s="4"/>
      <c r="Z1856" s="4"/>
      <c r="AA1856" s="4"/>
      <c r="AB1856" s="4"/>
      <c r="AC1856" s="4"/>
      <c r="AD1856" s="4"/>
      <c r="AE1856" s="4"/>
      <c r="AF1856" s="4"/>
      <c r="AG1856" s="4"/>
    </row>
    <row r="1857" spans="2:33" x14ac:dyDescent="0.2">
      <c r="B1857" s="48"/>
      <c r="C1857" s="57" t="s">
        <v>1212</v>
      </c>
      <c r="D1857" s="44"/>
      <c r="E1857" s="86" t="s">
        <v>1036</v>
      </c>
      <c r="F1857" s="23" t="str">
        <f>IF(H1857=-0.33,IF(H1855=H$1,H1855,""),"")</f>
        <v/>
      </c>
      <c r="G1857" s="26"/>
      <c r="H1857" s="24">
        <f t="shared" ref="H1857" si="617">IF(H1856=1,IF(H1855=H$2,1,-0.33),0)</f>
        <v>0</v>
      </c>
      <c r="I1857" s="4"/>
      <c r="J1857" s="4"/>
      <c r="K1857" s="4"/>
      <c r="L1857" s="4"/>
      <c r="M1857" s="4"/>
      <c r="N1857" s="4"/>
      <c r="O1857" s="4"/>
      <c r="P1857" s="4"/>
      <c r="Q1857" s="4"/>
      <c r="R1857" s="4"/>
      <c r="S1857" s="4"/>
      <c r="T1857" s="4"/>
      <c r="U1857" s="4"/>
      <c r="V1857" s="4"/>
      <c r="W1857" s="4"/>
      <c r="X1857" s="4"/>
      <c r="Y1857" s="4"/>
      <c r="Z1857" s="4"/>
      <c r="AA1857" s="4"/>
      <c r="AB1857" s="4"/>
      <c r="AC1857" s="4"/>
      <c r="AD1857" s="4"/>
      <c r="AE1857" s="4"/>
      <c r="AF1857" s="4"/>
      <c r="AG1857" s="4"/>
    </row>
    <row r="1858" spans="2:33" x14ac:dyDescent="0.2">
      <c r="B1858" s="48"/>
      <c r="C1858" s="57" t="s">
        <v>1133</v>
      </c>
      <c r="D1858" s="44"/>
      <c r="E1858" s="86" t="s">
        <v>1037</v>
      </c>
      <c r="F1858" s="28"/>
      <c r="G1858" s="55"/>
      <c r="H1858" s="24"/>
      <c r="I1858" s="4"/>
      <c r="J1858" s="4"/>
      <c r="K1858" s="4"/>
      <c r="L1858" s="4"/>
      <c r="M1858" s="4"/>
      <c r="N1858" s="4"/>
      <c r="O1858" s="4"/>
      <c r="P1858" s="4"/>
      <c r="Q1858" s="4"/>
      <c r="R1858" s="4"/>
      <c r="S1858" s="4"/>
      <c r="T1858" s="4"/>
      <c r="U1858" s="4"/>
      <c r="V1858" s="4"/>
      <c r="W1858" s="4"/>
      <c r="X1858" s="4"/>
      <c r="Y1858" s="4"/>
      <c r="Z1858" s="4"/>
      <c r="AA1858" s="4"/>
      <c r="AB1858" s="4"/>
      <c r="AC1858" s="4"/>
      <c r="AD1858" s="4"/>
      <c r="AE1858" s="4"/>
      <c r="AF1858" s="4"/>
      <c r="AG1858" s="4"/>
    </row>
    <row r="1859" spans="2:33" x14ac:dyDescent="0.2">
      <c r="B1859" s="48"/>
      <c r="C1859" s="8"/>
      <c r="D1859" s="44"/>
      <c r="E1859" s="86" t="s">
        <v>1038</v>
      </c>
      <c r="F1859" s="28"/>
      <c r="G1859" s="26"/>
      <c r="H1859" s="24"/>
      <c r="I1859" s="4"/>
      <c r="J1859" s="4"/>
      <c r="K1859" s="4"/>
      <c r="L1859" s="4"/>
      <c r="M1859" s="4"/>
      <c r="N1859" s="4"/>
      <c r="O1859" s="4"/>
      <c r="P1859" s="4"/>
      <c r="Q1859" s="4"/>
      <c r="R1859" s="4"/>
      <c r="S1859" s="4"/>
      <c r="T1859" s="4"/>
      <c r="U1859" s="4"/>
      <c r="V1859" s="4"/>
      <c r="W1859" s="4"/>
      <c r="X1859" s="4"/>
      <c r="Y1859" s="4"/>
      <c r="Z1859" s="4"/>
      <c r="AA1859" s="4"/>
      <c r="AB1859" s="4"/>
      <c r="AC1859" s="4"/>
      <c r="AD1859" s="4"/>
      <c r="AE1859" s="4"/>
      <c r="AF1859" s="4"/>
      <c r="AG1859" s="4"/>
    </row>
    <row r="1860" spans="2:33" x14ac:dyDescent="0.2">
      <c r="B1860" s="49" t="s">
        <v>1213</v>
      </c>
      <c r="C1860" s="36"/>
      <c r="D1860" s="45"/>
      <c r="E1860" s="85"/>
      <c r="F1860" s="30"/>
      <c r="G1860" s="29"/>
      <c r="H1860" s="15"/>
      <c r="I1860" s="4"/>
      <c r="J1860" s="4"/>
      <c r="K1860" s="4"/>
      <c r="L1860" s="4"/>
      <c r="M1860" s="4"/>
      <c r="N1860" s="4"/>
      <c r="O1860" s="4"/>
      <c r="P1860" s="4"/>
      <c r="Q1860" s="4"/>
      <c r="R1860" s="4"/>
      <c r="S1860" s="4"/>
      <c r="T1860" s="4"/>
      <c r="U1860" s="4"/>
      <c r="V1860" s="4"/>
      <c r="W1860" s="4"/>
      <c r="X1860" s="4"/>
      <c r="Y1860" s="4"/>
      <c r="Z1860" s="4"/>
      <c r="AA1860" s="4"/>
      <c r="AB1860" s="4"/>
      <c r="AC1860" s="4"/>
      <c r="AD1860" s="4"/>
      <c r="AE1860" s="4"/>
      <c r="AF1860" s="4"/>
      <c r="AG1860" s="4"/>
    </row>
    <row r="1861" spans="2:33" x14ac:dyDescent="0.2">
      <c r="B1861" s="48"/>
      <c r="C1861" s="56" t="s">
        <v>1214</v>
      </c>
      <c r="D1861" s="44"/>
      <c r="E1861" s="86" t="s">
        <v>1034</v>
      </c>
      <c r="F1861" s="27"/>
      <c r="G1861" s="26"/>
      <c r="H1861" s="21" t="b">
        <f>IF(D1862="x",H$2,H$1)</f>
        <v>0</v>
      </c>
      <c r="I1861" s="4"/>
      <c r="J1861" s="4"/>
      <c r="K1861" s="4"/>
      <c r="L1861" s="4"/>
      <c r="M1861" s="4"/>
      <c r="N1861" s="4"/>
      <c r="O1861" s="4"/>
      <c r="P1861" s="4"/>
      <c r="Q1861" s="4"/>
      <c r="R1861" s="4"/>
      <c r="S1861" s="4"/>
      <c r="T1861" s="4"/>
      <c r="U1861" s="4"/>
      <c r="V1861" s="4"/>
      <c r="W1861" s="4"/>
      <c r="X1861" s="4"/>
      <c r="Y1861" s="4"/>
      <c r="Z1861" s="4"/>
      <c r="AA1861" s="4"/>
      <c r="AB1861" s="4"/>
      <c r="AC1861" s="4"/>
      <c r="AD1861" s="4"/>
      <c r="AE1861" s="4"/>
      <c r="AF1861" s="4"/>
      <c r="AG1861" s="4"/>
    </row>
    <row r="1862" spans="2:33" x14ac:dyDescent="0.2">
      <c r="B1862" s="48"/>
      <c r="C1862" s="57" t="s">
        <v>1215</v>
      </c>
      <c r="D1862" s="44"/>
      <c r="E1862" s="86" t="s">
        <v>1035</v>
      </c>
      <c r="F1862" s="22" t="str">
        <f>IF(H1863=1,IF(H1861=H$2,H1861,""),"")</f>
        <v/>
      </c>
      <c r="G1862" s="26"/>
      <c r="H1862" s="21" t="str">
        <f t="shared" ref="H1862" si="618">IF(E$1872="comprobar",COUNTIF(D1861:D1865,"x"),"")</f>
        <v/>
      </c>
      <c r="I1862" s="4"/>
      <c r="J1862" s="4"/>
      <c r="K1862" s="4"/>
      <c r="L1862" s="4"/>
      <c r="M1862" s="4"/>
      <c r="N1862" s="4"/>
      <c r="O1862" s="4"/>
      <c r="P1862" s="4"/>
      <c r="Q1862" s="4"/>
      <c r="R1862" s="4"/>
      <c r="S1862" s="4"/>
      <c r="T1862" s="4"/>
      <c r="U1862" s="4"/>
      <c r="V1862" s="4"/>
      <c r="W1862" s="4"/>
      <c r="X1862" s="4"/>
      <c r="Y1862" s="4"/>
      <c r="Z1862" s="4"/>
      <c r="AA1862" s="4"/>
      <c r="AB1862" s="4"/>
      <c r="AC1862" s="4"/>
      <c r="AD1862" s="4"/>
      <c r="AE1862" s="4"/>
      <c r="AF1862" s="4"/>
      <c r="AG1862" s="4"/>
    </row>
    <row r="1863" spans="2:33" x14ac:dyDescent="0.2">
      <c r="B1863" s="52"/>
      <c r="C1863" s="57" t="s">
        <v>1216</v>
      </c>
      <c r="D1863" s="44"/>
      <c r="E1863" s="86" t="s">
        <v>1036</v>
      </c>
      <c r="F1863" s="23" t="str">
        <f>IF(H1863=-0.33,IF(H1861=H$1,H1861,""),"")</f>
        <v/>
      </c>
      <c r="G1863" s="26"/>
      <c r="H1863" s="24">
        <f t="shared" ref="H1863" si="619">IF(H1862=1,IF(H1861=H$2,1,-0.33),0)</f>
        <v>0</v>
      </c>
      <c r="I1863" s="4"/>
      <c r="J1863" s="4"/>
      <c r="K1863" s="4"/>
      <c r="L1863" s="4"/>
      <c r="M1863" s="4"/>
      <c r="N1863" s="4"/>
      <c r="O1863" s="4"/>
      <c r="P1863" s="4"/>
      <c r="Q1863" s="4"/>
      <c r="R1863" s="4"/>
      <c r="S1863" s="4"/>
      <c r="T1863" s="4"/>
      <c r="U1863" s="4"/>
      <c r="V1863" s="4"/>
      <c r="W1863" s="4"/>
      <c r="X1863" s="4"/>
      <c r="Y1863" s="4"/>
      <c r="Z1863" s="4"/>
      <c r="AA1863" s="4"/>
      <c r="AB1863" s="4"/>
      <c r="AC1863" s="4"/>
      <c r="AD1863" s="4"/>
      <c r="AE1863" s="4"/>
      <c r="AF1863" s="4"/>
      <c r="AG1863" s="4"/>
    </row>
    <row r="1864" spans="2:33" x14ac:dyDescent="0.2">
      <c r="B1864" s="48"/>
      <c r="C1864" s="57" t="s">
        <v>1217</v>
      </c>
      <c r="D1864" s="44"/>
      <c r="E1864" s="86" t="s">
        <v>1037</v>
      </c>
      <c r="F1864" s="28"/>
      <c r="G1864" s="26"/>
      <c r="H1864" s="24"/>
      <c r="I1864" s="4"/>
      <c r="J1864" s="4"/>
      <c r="K1864" s="4"/>
      <c r="L1864" s="4"/>
      <c r="M1864" s="4"/>
      <c r="N1864" s="4"/>
      <c r="O1864" s="4"/>
      <c r="P1864" s="4"/>
      <c r="Q1864" s="4"/>
      <c r="R1864" s="4"/>
      <c r="S1864" s="4"/>
      <c r="T1864" s="4"/>
      <c r="U1864" s="4"/>
      <c r="V1864" s="4"/>
      <c r="W1864" s="4"/>
      <c r="X1864" s="4"/>
      <c r="Y1864" s="4"/>
      <c r="Z1864" s="4"/>
      <c r="AA1864" s="4"/>
      <c r="AB1864" s="4"/>
      <c r="AC1864" s="4"/>
      <c r="AD1864" s="4"/>
      <c r="AE1864" s="4"/>
      <c r="AF1864" s="4"/>
      <c r="AG1864" s="4"/>
    </row>
    <row r="1865" spans="2:33" x14ac:dyDescent="0.2">
      <c r="B1865" s="48"/>
      <c r="C1865" s="8"/>
      <c r="D1865" s="44"/>
      <c r="E1865" s="86" t="s">
        <v>1038</v>
      </c>
      <c r="F1865" s="28"/>
      <c r="G1865" s="26"/>
      <c r="H1865" s="24"/>
      <c r="I1865" s="4"/>
      <c r="J1865" s="4"/>
      <c r="K1865" s="4"/>
      <c r="L1865" s="4"/>
      <c r="M1865" s="4"/>
      <c r="N1865" s="4"/>
      <c r="O1865" s="4"/>
      <c r="P1865" s="4"/>
      <c r="Q1865" s="4"/>
      <c r="R1865" s="4"/>
      <c r="S1865" s="4"/>
      <c r="T1865" s="4"/>
      <c r="U1865" s="4"/>
      <c r="V1865" s="4"/>
      <c r="W1865" s="4"/>
      <c r="X1865" s="4"/>
      <c r="Y1865" s="4"/>
      <c r="Z1865" s="4"/>
      <c r="AA1865" s="4"/>
      <c r="AB1865" s="4"/>
      <c r="AC1865" s="4"/>
      <c r="AD1865" s="4"/>
      <c r="AE1865" s="4"/>
      <c r="AF1865" s="4"/>
      <c r="AG1865" s="4"/>
    </row>
    <row r="1866" spans="2:33" x14ac:dyDescent="0.2">
      <c r="B1866" s="49" t="s">
        <v>1218</v>
      </c>
      <c r="C1866" s="13"/>
      <c r="D1866" s="45"/>
      <c r="E1866" s="85"/>
      <c r="F1866" s="30"/>
      <c r="G1866" s="29"/>
      <c r="H1866" s="15"/>
      <c r="I1866" s="4"/>
      <c r="J1866" s="4"/>
      <c r="K1866" s="4"/>
      <c r="L1866" s="4"/>
      <c r="M1866" s="4"/>
      <c r="N1866" s="4"/>
      <c r="O1866" s="4"/>
      <c r="P1866" s="4"/>
      <c r="Q1866" s="4"/>
      <c r="R1866" s="4"/>
      <c r="S1866" s="4"/>
      <c r="T1866" s="4"/>
      <c r="U1866" s="4"/>
      <c r="V1866" s="4"/>
      <c r="W1866" s="4"/>
      <c r="X1866" s="4"/>
      <c r="Y1866" s="4"/>
      <c r="Z1866" s="4"/>
      <c r="AA1866" s="4"/>
      <c r="AB1866" s="4"/>
      <c r="AC1866" s="4"/>
      <c r="AD1866" s="4"/>
      <c r="AE1866" s="4"/>
      <c r="AF1866" s="4"/>
      <c r="AG1866" s="4"/>
    </row>
    <row r="1867" spans="2:33" x14ac:dyDescent="0.2">
      <c r="B1867" s="52"/>
      <c r="C1867" s="56" t="s">
        <v>1219</v>
      </c>
      <c r="D1867" s="44"/>
      <c r="E1867" s="86" t="s">
        <v>1034</v>
      </c>
      <c r="F1867" s="28"/>
      <c r="G1867" s="55"/>
      <c r="H1867" s="21" t="b">
        <f>IF(D1868="x",H$2,H$1)</f>
        <v>0</v>
      </c>
      <c r="I1867" s="4"/>
      <c r="J1867" s="4"/>
      <c r="K1867" s="4"/>
      <c r="L1867" s="4"/>
      <c r="M1867" s="4"/>
      <c r="N1867" s="4"/>
      <c r="O1867" s="4"/>
      <c r="P1867" s="4"/>
      <c r="Q1867" s="4"/>
      <c r="R1867" s="4"/>
      <c r="S1867" s="4"/>
      <c r="T1867" s="4"/>
      <c r="U1867" s="4"/>
      <c r="V1867" s="4"/>
      <c r="W1867" s="4"/>
      <c r="X1867" s="4"/>
      <c r="Y1867" s="4"/>
      <c r="Z1867" s="4"/>
      <c r="AA1867" s="4"/>
      <c r="AB1867" s="4"/>
      <c r="AC1867" s="4"/>
      <c r="AD1867" s="4"/>
      <c r="AE1867" s="4"/>
      <c r="AF1867" s="4"/>
      <c r="AG1867" s="4"/>
    </row>
    <row r="1868" spans="2:33" x14ac:dyDescent="0.2">
      <c r="B1868" s="48"/>
      <c r="C1868" s="57" t="s">
        <v>1220</v>
      </c>
      <c r="D1868" s="44"/>
      <c r="E1868" s="86" t="s">
        <v>1035</v>
      </c>
      <c r="F1868" s="22" t="str">
        <f>IF(H1869=1,IF(H1867=H$2,H1867,""),"")</f>
        <v/>
      </c>
      <c r="G1868" s="26"/>
      <c r="H1868" s="21" t="str">
        <f t="shared" ref="H1868" si="620">IF(E$1872="comprobar",COUNTIF(D1867:D1871,"x"),"")</f>
        <v/>
      </c>
      <c r="I1868" s="4"/>
      <c r="J1868" s="4"/>
      <c r="K1868" s="4"/>
      <c r="L1868" s="4"/>
      <c r="M1868" s="4"/>
      <c r="N1868" s="4"/>
      <c r="O1868" s="4"/>
      <c r="P1868" s="4"/>
      <c r="Q1868" s="4"/>
      <c r="R1868" s="4"/>
      <c r="S1868" s="4"/>
      <c r="T1868" s="4"/>
      <c r="U1868" s="4"/>
      <c r="V1868" s="4"/>
      <c r="W1868" s="4"/>
      <c r="X1868" s="4"/>
      <c r="Y1868" s="4"/>
      <c r="Z1868" s="4"/>
      <c r="AA1868" s="4"/>
      <c r="AB1868" s="4"/>
      <c r="AC1868" s="4"/>
      <c r="AD1868" s="4"/>
      <c r="AE1868" s="4"/>
      <c r="AF1868" s="4"/>
      <c r="AG1868" s="4"/>
    </row>
    <row r="1869" spans="2:33" x14ac:dyDescent="0.2">
      <c r="B1869" s="48"/>
      <c r="C1869" s="57" t="s">
        <v>1221</v>
      </c>
      <c r="D1869" s="44"/>
      <c r="E1869" s="86" t="s">
        <v>1036</v>
      </c>
      <c r="F1869" s="23" t="str">
        <f>IF(H1869=-0.33,IF(H1867=H$1,H1867,""),"")</f>
        <v/>
      </c>
      <c r="G1869" s="26"/>
      <c r="H1869" s="24">
        <f t="shared" ref="H1869" si="621">IF(H1868=1,IF(H1867=H$2,1,-0.33),0)</f>
        <v>0</v>
      </c>
      <c r="I1869" s="4"/>
      <c r="J1869" s="4"/>
      <c r="K1869" s="4"/>
      <c r="L1869" s="4"/>
      <c r="M1869" s="4"/>
      <c r="N1869" s="4"/>
      <c r="O1869" s="4"/>
      <c r="P1869" s="4"/>
      <c r="Q1869" s="4"/>
      <c r="R1869" s="4"/>
      <c r="S1869" s="4"/>
      <c r="T1869" s="4"/>
      <c r="U1869" s="4"/>
      <c r="V1869" s="4"/>
      <c r="W1869" s="4"/>
      <c r="X1869" s="4"/>
      <c r="Y1869" s="4"/>
      <c r="Z1869" s="4"/>
      <c r="AA1869" s="4"/>
      <c r="AB1869" s="4"/>
      <c r="AC1869" s="4"/>
      <c r="AD1869" s="4"/>
      <c r="AE1869" s="4"/>
      <c r="AF1869" s="4"/>
      <c r="AG1869" s="4"/>
    </row>
    <row r="1870" spans="2:33" x14ac:dyDescent="0.2">
      <c r="B1870" s="48"/>
      <c r="C1870" s="57"/>
      <c r="D1870" s="44"/>
      <c r="E1870" s="86" t="s">
        <v>1037</v>
      </c>
      <c r="F1870" s="28"/>
      <c r="G1870" s="26"/>
      <c r="H1870" s="24"/>
      <c r="I1870" s="4"/>
      <c r="J1870" s="4"/>
      <c r="K1870" s="4"/>
      <c r="L1870" s="4"/>
      <c r="M1870" s="4"/>
      <c r="N1870" s="4"/>
      <c r="O1870" s="4"/>
      <c r="P1870" s="4"/>
      <c r="Q1870" s="4"/>
      <c r="R1870" s="4"/>
      <c r="S1870" s="4"/>
      <c r="T1870" s="4"/>
      <c r="U1870" s="4"/>
      <c r="V1870" s="4"/>
      <c r="W1870" s="4"/>
      <c r="X1870" s="4"/>
      <c r="Y1870" s="4"/>
      <c r="Z1870" s="4"/>
      <c r="AA1870" s="4"/>
      <c r="AB1870" s="4"/>
      <c r="AC1870" s="4"/>
      <c r="AD1870" s="4"/>
      <c r="AE1870" s="4"/>
      <c r="AF1870" s="4"/>
      <c r="AG1870" s="4"/>
    </row>
    <row r="1871" spans="2:33" x14ac:dyDescent="0.2">
      <c r="B1871" s="48"/>
      <c r="C1871" s="8"/>
      <c r="D1871" s="44"/>
      <c r="E1871" s="86" t="s">
        <v>1038</v>
      </c>
      <c r="F1871" s="20"/>
      <c r="G1871" s="19"/>
      <c r="H1871" s="24"/>
      <c r="I1871" s="4"/>
      <c r="J1871" s="4"/>
      <c r="K1871" s="4"/>
      <c r="L1871" s="4"/>
      <c r="M1871" s="4"/>
      <c r="N1871" s="4"/>
      <c r="O1871" s="4"/>
      <c r="P1871" s="4"/>
      <c r="Q1871" s="4"/>
      <c r="R1871" s="4"/>
      <c r="S1871" s="4"/>
      <c r="T1871" s="4"/>
      <c r="U1871" s="4"/>
      <c r="V1871" s="4"/>
      <c r="W1871" s="4"/>
      <c r="X1871" s="4"/>
      <c r="Y1871" s="4"/>
      <c r="Z1871" s="4"/>
      <c r="AA1871" s="4"/>
      <c r="AB1871" s="4"/>
      <c r="AC1871" s="4"/>
      <c r="AD1871" s="4"/>
      <c r="AE1871" s="4"/>
      <c r="AF1871" s="4"/>
      <c r="AG1871" s="4"/>
    </row>
    <row r="1872" spans="2:33" x14ac:dyDescent="0.2">
      <c r="B1872" s="52"/>
      <c r="C1872" s="47"/>
      <c r="D1872" s="73"/>
      <c r="E1872" s="87"/>
      <c r="F1872" s="20"/>
      <c r="G1872" s="19"/>
      <c r="H1872" s="19"/>
      <c r="I1872" s="4"/>
      <c r="J1872" s="4"/>
      <c r="K1872" s="4"/>
      <c r="L1872" s="4"/>
      <c r="M1872" s="4"/>
      <c r="N1872" s="4"/>
      <c r="O1872" s="4"/>
      <c r="P1872" s="4"/>
      <c r="Q1872" s="4"/>
      <c r="R1872" s="4"/>
      <c r="S1872" s="4"/>
      <c r="T1872" s="4"/>
      <c r="U1872" s="4"/>
      <c r="V1872" s="4"/>
      <c r="W1872" s="4"/>
      <c r="X1872" s="4"/>
      <c r="Y1872" s="4"/>
      <c r="Z1872" s="4"/>
      <c r="AA1872" s="4"/>
      <c r="AB1872" s="4"/>
      <c r="AC1872" s="4"/>
      <c r="AD1872" s="4"/>
      <c r="AE1872" s="4"/>
      <c r="AF1872" s="4"/>
      <c r="AG1872" s="4"/>
    </row>
    <row r="1873" spans="1:33" x14ac:dyDescent="0.2">
      <c r="B1873" s="52"/>
      <c r="C1873" s="18"/>
      <c r="D1873" s="73"/>
      <c r="E1873" s="93"/>
      <c r="F1873" s="31" t="s">
        <v>93</v>
      </c>
      <c r="G1873" s="19" t="s">
        <v>91</v>
      </c>
      <c r="H1873" s="19" t="s">
        <v>92</v>
      </c>
      <c r="I1873" s="4"/>
      <c r="J1873" s="4"/>
      <c r="K1873" s="4"/>
      <c r="L1873" s="4"/>
      <c r="M1873" s="4"/>
      <c r="N1873" s="4"/>
      <c r="O1873" s="4"/>
      <c r="P1873" s="4"/>
      <c r="Q1873" s="4"/>
      <c r="R1873" s="4"/>
      <c r="S1873" s="4"/>
      <c r="T1873" s="4"/>
      <c r="U1873" s="4"/>
      <c r="V1873" s="4"/>
      <c r="W1873" s="4"/>
      <c r="X1873" s="4"/>
      <c r="Y1873" s="4"/>
      <c r="Z1873" s="4"/>
      <c r="AA1873" s="4"/>
      <c r="AB1873" s="4"/>
      <c r="AC1873" s="4"/>
      <c r="AD1873" s="4"/>
      <c r="AE1873" s="4"/>
      <c r="AF1873" s="4"/>
      <c r="AG1873" s="4"/>
    </row>
    <row r="1874" spans="1:33" ht="20" x14ac:dyDescent="0.2">
      <c r="B1874" s="52"/>
      <c r="C1874" s="18"/>
      <c r="D1874" s="69"/>
      <c r="E1874" s="84"/>
      <c r="F1874" s="32" t="str">
        <f>IF(E1872="comprobar",H1809+H1803+H1797+H1791+H1785+H1779+H1773+H1767+H1761+H1755+H1815+H1821+H1827+H1833+H1839+H1845+H1851+H1857+H1863+H1869,"")</f>
        <v/>
      </c>
      <c r="G1874" s="19">
        <f>20/2</f>
        <v>10</v>
      </c>
      <c r="H1874" s="19"/>
      <c r="I1874" s="4"/>
      <c r="J1874" s="4"/>
      <c r="K1874" s="4"/>
      <c r="L1874" s="4"/>
      <c r="M1874" s="4"/>
      <c r="N1874" s="4"/>
      <c r="O1874" s="4"/>
      <c r="P1874" s="4"/>
      <c r="Q1874" s="4"/>
      <c r="R1874" s="4"/>
      <c r="S1874" s="4"/>
      <c r="T1874" s="4"/>
      <c r="U1874" s="4"/>
      <c r="V1874" s="4"/>
      <c r="W1874" s="4"/>
      <c r="X1874" s="4"/>
      <c r="Y1874" s="4"/>
      <c r="Z1874" s="4"/>
      <c r="AA1874" s="4"/>
      <c r="AB1874" s="4"/>
      <c r="AC1874" s="4"/>
      <c r="AD1874" s="4"/>
      <c r="AE1874" s="4"/>
      <c r="AF1874" s="4"/>
      <c r="AG1874" s="4"/>
    </row>
    <row r="1875" spans="1:33" ht="17" thickBot="1" x14ac:dyDescent="0.25">
      <c r="B1875" s="53"/>
      <c r="C1875" s="33"/>
      <c r="D1875" s="34"/>
      <c r="E1875" s="88"/>
      <c r="F1875" s="35" t="str">
        <f>IF(F1874&gt;G1874,G1873,H1873)</f>
        <v>APROBADO</v>
      </c>
      <c r="G1875" s="19"/>
      <c r="H1875" s="19"/>
      <c r="I1875" s="4"/>
      <c r="J1875" s="4"/>
      <c r="K1875" s="4"/>
      <c r="L1875" s="4"/>
      <c r="M1875" s="4"/>
      <c r="N1875" s="4"/>
      <c r="O1875" s="4"/>
      <c r="P1875" s="4"/>
      <c r="Q1875" s="4"/>
      <c r="R1875" s="4"/>
      <c r="S1875" s="4"/>
      <c r="T1875" s="4"/>
      <c r="U1875" s="4"/>
      <c r="V1875" s="4"/>
      <c r="W1875" s="4"/>
      <c r="X1875" s="4"/>
      <c r="Y1875" s="4"/>
      <c r="Z1875" s="4"/>
      <c r="AA1875" s="4"/>
      <c r="AB1875" s="4"/>
      <c r="AC1875" s="4"/>
      <c r="AD1875" s="4"/>
      <c r="AE1875" s="4"/>
      <c r="AF1875" s="4"/>
      <c r="AG1875" s="4"/>
    </row>
    <row r="1876" spans="1:33" ht="29" x14ac:dyDescent="0.35">
      <c r="B1876" s="54" t="s">
        <v>0</v>
      </c>
      <c r="C1876" s="113" t="s">
        <v>1222</v>
      </c>
      <c r="D1876" s="113"/>
      <c r="E1876" s="113"/>
      <c r="F1876" s="114"/>
      <c r="I1876" s="4"/>
      <c r="J1876" s="4"/>
      <c r="K1876" s="4"/>
      <c r="L1876" s="4"/>
      <c r="M1876" s="4"/>
      <c r="N1876" s="4"/>
      <c r="O1876" s="4"/>
      <c r="P1876" s="4"/>
      <c r="Q1876" s="4"/>
      <c r="R1876" s="4"/>
      <c r="S1876" s="4"/>
      <c r="T1876" s="4"/>
      <c r="U1876" s="4"/>
      <c r="V1876" s="4"/>
      <c r="W1876" s="4"/>
      <c r="X1876" s="4"/>
      <c r="Y1876" s="4"/>
      <c r="Z1876" s="4"/>
      <c r="AA1876" s="4"/>
      <c r="AB1876" s="4"/>
      <c r="AC1876" s="4"/>
      <c r="AD1876" s="4"/>
      <c r="AE1876" s="4"/>
      <c r="AF1876" s="4"/>
      <c r="AG1876" s="4"/>
    </row>
    <row r="1877" spans="1:33" s="17" customFormat="1" x14ac:dyDescent="0.2">
      <c r="A1877" s="4"/>
      <c r="B1877" s="49" t="s">
        <v>1223</v>
      </c>
      <c r="C1877" s="36"/>
      <c r="D1877" s="14"/>
      <c r="E1877" s="85"/>
      <c r="F1877" s="16"/>
      <c r="G1877" s="29"/>
      <c r="H1877" s="15"/>
    </row>
    <row r="1878" spans="1:33" x14ac:dyDescent="0.2">
      <c r="B1878" s="48"/>
      <c r="C1878" s="60" t="s">
        <v>1224</v>
      </c>
      <c r="D1878" s="44"/>
      <c r="E1878" s="86" t="s">
        <v>1034</v>
      </c>
      <c r="F1878" s="20"/>
      <c r="G1878" s="26"/>
      <c r="H1878" s="21" t="b">
        <f>IF(D1878="x",H$2,H$1)</f>
        <v>0</v>
      </c>
      <c r="I1878" s="4"/>
      <c r="J1878" s="4"/>
      <c r="K1878" s="4"/>
      <c r="L1878" s="4"/>
      <c r="M1878" s="4"/>
      <c r="N1878" s="4"/>
      <c r="O1878" s="4"/>
      <c r="P1878" s="4"/>
      <c r="Q1878" s="4"/>
      <c r="R1878" s="4"/>
      <c r="S1878" s="4"/>
      <c r="T1878" s="4"/>
      <c r="U1878" s="4"/>
      <c r="V1878" s="4"/>
      <c r="W1878" s="4"/>
      <c r="X1878" s="4"/>
      <c r="Y1878" s="4"/>
      <c r="Z1878" s="4"/>
      <c r="AA1878" s="4"/>
      <c r="AB1878" s="4"/>
      <c r="AC1878" s="4"/>
      <c r="AD1878" s="4"/>
      <c r="AE1878" s="4"/>
      <c r="AF1878" s="4"/>
      <c r="AG1878" s="4"/>
    </row>
    <row r="1879" spans="1:33" x14ac:dyDescent="0.2">
      <c r="B1879" s="48"/>
      <c r="C1879" s="61" t="s">
        <v>1225</v>
      </c>
      <c r="D1879" s="44"/>
      <c r="E1879" s="86" t="s">
        <v>1035</v>
      </c>
      <c r="F1879" s="22" t="str">
        <f>IF(H1880=1,IF(H1878=H$2,H1878,""),"")</f>
        <v/>
      </c>
      <c r="G1879" s="26"/>
      <c r="H1879" s="21" t="str">
        <f>IF(E$2117="comprobar",COUNTIF(D1878:D1882,"x"),"")</f>
        <v/>
      </c>
      <c r="I1879" s="4"/>
      <c r="J1879" s="4"/>
      <c r="K1879" s="4"/>
      <c r="L1879" s="4"/>
      <c r="M1879" s="4"/>
      <c r="N1879" s="4"/>
      <c r="O1879" s="4"/>
      <c r="P1879" s="4"/>
      <c r="Q1879" s="4"/>
      <c r="R1879" s="4"/>
      <c r="S1879" s="4"/>
      <c r="T1879" s="4"/>
      <c r="U1879" s="4"/>
      <c r="V1879" s="4"/>
      <c r="W1879" s="4"/>
      <c r="X1879" s="4"/>
      <c r="Y1879" s="4"/>
      <c r="Z1879" s="4"/>
      <c r="AA1879" s="4"/>
      <c r="AB1879" s="4"/>
      <c r="AC1879" s="4"/>
      <c r="AD1879" s="4"/>
      <c r="AE1879" s="4"/>
      <c r="AF1879" s="4"/>
      <c r="AG1879" s="4"/>
    </row>
    <row r="1880" spans="1:33" x14ac:dyDescent="0.2">
      <c r="B1880" s="48"/>
      <c r="C1880" s="61" t="s">
        <v>1226</v>
      </c>
      <c r="D1880" s="44"/>
      <c r="E1880" s="86" t="s">
        <v>1036</v>
      </c>
      <c r="F1880" s="23" t="str">
        <f>IF(H1880=-0.33,IF(H1878=H$1,H1878,""),"")</f>
        <v/>
      </c>
      <c r="G1880" s="26"/>
      <c r="H1880" s="24">
        <f>IF(H1879=1,IF(H1878=H$2,1,-0.33),0)</f>
        <v>0</v>
      </c>
      <c r="I1880" s="4"/>
      <c r="J1880" s="4"/>
      <c r="K1880" s="4"/>
      <c r="L1880" s="4"/>
      <c r="M1880" s="4"/>
      <c r="N1880" s="4"/>
      <c r="O1880" s="4"/>
      <c r="P1880" s="4"/>
      <c r="Q1880" s="4"/>
      <c r="R1880" s="4"/>
      <c r="S1880" s="4"/>
      <c r="T1880" s="4"/>
      <c r="U1880" s="4"/>
      <c r="V1880" s="4"/>
      <c r="W1880" s="4"/>
      <c r="X1880" s="4"/>
      <c r="Y1880" s="4"/>
      <c r="Z1880" s="4"/>
      <c r="AA1880" s="4"/>
      <c r="AB1880" s="4"/>
      <c r="AC1880" s="4"/>
      <c r="AD1880" s="4"/>
      <c r="AE1880" s="4"/>
      <c r="AF1880" s="4"/>
      <c r="AG1880" s="4"/>
    </row>
    <row r="1881" spans="1:33" x14ac:dyDescent="0.2">
      <c r="B1881" s="48"/>
      <c r="C1881" s="61" t="s">
        <v>1227</v>
      </c>
      <c r="D1881" s="44"/>
      <c r="E1881" s="86" t="s">
        <v>1037</v>
      </c>
      <c r="F1881" s="20"/>
      <c r="G1881" s="26"/>
      <c r="H1881" s="24"/>
      <c r="I1881" s="4"/>
      <c r="J1881" s="4"/>
      <c r="K1881" s="4"/>
      <c r="L1881" s="4"/>
      <c r="M1881" s="4"/>
      <c r="N1881" s="4"/>
      <c r="O1881" s="4"/>
      <c r="P1881" s="4"/>
      <c r="Q1881" s="4"/>
      <c r="R1881" s="4"/>
      <c r="S1881" s="4"/>
      <c r="T1881" s="4"/>
      <c r="U1881" s="4"/>
      <c r="V1881" s="4"/>
      <c r="W1881" s="4"/>
      <c r="X1881" s="4"/>
      <c r="Y1881" s="4"/>
      <c r="Z1881" s="4"/>
      <c r="AA1881" s="4"/>
      <c r="AB1881" s="4"/>
      <c r="AC1881" s="4"/>
      <c r="AD1881" s="4"/>
      <c r="AE1881" s="4"/>
      <c r="AF1881" s="4"/>
      <c r="AG1881" s="4"/>
    </row>
    <row r="1882" spans="1:33" x14ac:dyDescent="0.2">
      <c r="B1882" s="48"/>
      <c r="C1882" s="39"/>
      <c r="D1882" s="44"/>
      <c r="E1882" s="86" t="s">
        <v>1038</v>
      </c>
      <c r="F1882" s="20"/>
      <c r="G1882" s="19"/>
      <c r="H1882" s="24"/>
      <c r="I1882" s="4"/>
      <c r="J1882" s="4"/>
      <c r="K1882" s="4"/>
      <c r="L1882" s="4"/>
      <c r="M1882" s="4"/>
      <c r="N1882" s="4"/>
      <c r="O1882" s="4"/>
      <c r="P1882" s="4"/>
      <c r="Q1882" s="4"/>
      <c r="R1882" s="4"/>
      <c r="S1882" s="4"/>
      <c r="T1882" s="4"/>
      <c r="U1882" s="4"/>
      <c r="V1882" s="4"/>
      <c r="W1882" s="4"/>
      <c r="X1882" s="4"/>
      <c r="Y1882" s="4"/>
      <c r="Z1882" s="4"/>
      <c r="AA1882" s="4"/>
      <c r="AB1882" s="4"/>
      <c r="AC1882" s="4"/>
      <c r="AD1882" s="4"/>
      <c r="AE1882" s="4"/>
      <c r="AF1882" s="4"/>
      <c r="AG1882" s="4"/>
    </row>
    <row r="1883" spans="1:33" s="17" customFormat="1" x14ac:dyDescent="0.2">
      <c r="A1883" s="4"/>
      <c r="B1883" s="49" t="s">
        <v>1228</v>
      </c>
      <c r="C1883" s="36"/>
      <c r="D1883" s="45"/>
      <c r="E1883" s="85"/>
      <c r="F1883" s="16"/>
      <c r="G1883" s="29"/>
      <c r="H1883" s="15"/>
    </row>
    <row r="1884" spans="1:33" ht="32" x14ac:dyDescent="0.2">
      <c r="B1884" s="48"/>
      <c r="C1884" s="60" t="s">
        <v>1229</v>
      </c>
      <c r="D1884" s="44"/>
      <c r="E1884" s="86" t="s">
        <v>1034</v>
      </c>
      <c r="F1884" s="20"/>
      <c r="G1884" s="26"/>
      <c r="H1884" s="21" t="b">
        <f>IF(D1887="x",H$2,H$1)</f>
        <v>0</v>
      </c>
      <c r="I1884" s="4"/>
      <c r="J1884" s="4"/>
      <c r="K1884" s="4"/>
      <c r="L1884" s="4"/>
      <c r="M1884" s="4"/>
      <c r="N1884" s="4"/>
      <c r="O1884" s="4"/>
      <c r="P1884" s="4"/>
      <c r="Q1884" s="4"/>
      <c r="R1884" s="4"/>
      <c r="S1884" s="4"/>
      <c r="T1884" s="4"/>
      <c r="U1884" s="4"/>
      <c r="V1884" s="4"/>
      <c r="W1884" s="4"/>
      <c r="X1884" s="4"/>
      <c r="Y1884" s="4"/>
      <c r="Z1884" s="4"/>
      <c r="AA1884" s="4"/>
      <c r="AB1884" s="4"/>
      <c r="AC1884" s="4"/>
      <c r="AD1884" s="4"/>
      <c r="AE1884" s="4"/>
      <c r="AF1884" s="4"/>
      <c r="AG1884" s="4"/>
    </row>
    <row r="1885" spans="1:33" x14ac:dyDescent="0.2">
      <c r="B1885" s="52"/>
      <c r="C1885" s="61" t="s">
        <v>1230</v>
      </c>
      <c r="D1885" s="44"/>
      <c r="E1885" s="86" t="s">
        <v>1035</v>
      </c>
      <c r="F1885" s="22" t="str">
        <f>IF(H1886=1,IF(H1884=H$2,H1884,""),"")</f>
        <v/>
      </c>
      <c r="G1885" s="26"/>
      <c r="H1885" s="21" t="str">
        <f t="shared" ref="H1885" si="622">IF(E$2117="comprobar",COUNTIF(D1884:D1888,"x"),"")</f>
        <v/>
      </c>
      <c r="I1885" s="4"/>
      <c r="J1885" s="4"/>
      <c r="K1885" s="4"/>
      <c r="L1885" s="4"/>
      <c r="M1885" s="4"/>
      <c r="N1885" s="4"/>
      <c r="O1885" s="4"/>
      <c r="P1885" s="4"/>
      <c r="Q1885" s="4"/>
      <c r="R1885" s="4"/>
      <c r="S1885" s="4"/>
      <c r="T1885" s="4"/>
      <c r="U1885" s="4"/>
      <c r="V1885" s="4"/>
      <c r="W1885" s="4"/>
      <c r="X1885" s="4"/>
      <c r="Y1885" s="4"/>
      <c r="Z1885" s="4"/>
      <c r="AA1885" s="4"/>
      <c r="AB1885" s="4"/>
      <c r="AC1885" s="4"/>
      <c r="AD1885" s="4"/>
      <c r="AE1885" s="4"/>
      <c r="AF1885" s="4"/>
      <c r="AG1885" s="4"/>
    </row>
    <row r="1886" spans="1:33" x14ac:dyDescent="0.2">
      <c r="B1886" s="48"/>
      <c r="C1886" s="61" t="s">
        <v>1231</v>
      </c>
      <c r="D1886" s="44"/>
      <c r="E1886" s="86" t="s">
        <v>1036</v>
      </c>
      <c r="F1886" s="23" t="str">
        <f>IF(H1886=-0.33,IF(H1884=H$1,H1884,""),"")</f>
        <v/>
      </c>
      <c r="G1886" s="26"/>
      <c r="H1886" s="24">
        <f t="shared" ref="H1886" si="623">IF(H1885=1,IF(H1884=H$2,1,-0.33),0)</f>
        <v>0</v>
      </c>
      <c r="I1886" s="4"/>
      <c r="J1886" s="4"/>
      <c r="K1886" s="4"/>
      <c r="L1886" s="4"/>
      <c r="M1886" s="4"/>
      <c r="N1886" s="4"/>
      <c r="O1886" s="4"/>
      <c r="P1886" s="4"/>
      <c r="Q1886" s="4"/>
      <c r="R1886" s="4"/>
      <c r="S1886" s="4"/>
      <c r="T1886" s="4"/>
      <c r="U1886" s="4"/>
      <c r="V1886" s="4"/>
      <c r="W1886" s="4"/>
      <c r="X1886" s="4"/>
      <c r="Y1886" s="4"/>
      <c r="Z1886" s="4"/>
      <c r="AA1886" s="4"/>
      <c r="AB1886" s="4"/>
      <c r="AC1886" s="4"/>
      <c r="AD1886" s="4"/>
      <c r="AE1886" s="4"/>
      <c r="AF1886" s="4"/>
      <c r="AG1886" s="4"/>
    </row>
    <row r="1887" spans="1:33" x14ac:dyDescent="0.2">
      <c r="B1887" s="48"/>
      <c r="C1887" s="61" t="s">
        <v>622</v>
      </c>
      <c r="D1887" s="44"/>
      <c r="E1887" s="86" t="s">
        <v>1037</v>
      </c>
      <c r="F1887" s="20"/>
      <c r="G1887" s="26"/>
      <c r="H1887" s="24"/>
      <c r="I1887" s="4"/>
      <c r="J1887" s="4"/>
      <c r="K1887" s="4"/>
      <c r="L1887" s="4"/>
      <c r="M1887" s="4"/>
      <c r="N1887" s="4"/>
      <c r="O1887" s="4"/>
      <c r="P1887" s="4"/>
      <c r="Q1887" s="4"/>
      <c r="R1887" s="4"/>
      <c r="S1887" s="4"/>
      <c r="T1887" s="4"/>
      <c r="U1887" s="4"/>
      <c r="V1887" s="4"/>
      <c r="W1887" s="4"/>
      <c r="X1887" s="4"/>
      <c r="Y1887" s="4"/>
      <c r="Z1887" s="4"/>
      <c r="AA1887" s="4"/>
      <c r="AB1887" s="4"/>
      <c r="AC1887" s="4"/>
      <c r="AD1887" s="4"/>
      <c r="AE1887" s="4"/>
      <c r="AF1887" s="4"/>
      <c r="AG1887" s="4"/>
    </row>
    <row r="1888" spans="1:33" x14ac:dyDescent="0.2">
      <c r="B1888" s="48"/>
      <c r="C1888" s="39"/>
      <c r="D1888" s="44"/>
      <c r="E1888" s="86" t="s">
        <v>1038</v>
      </c>
      <c r="F1888" s="20"/>
      <c r="G1888" s="19"/>
      <c r="H1888" s="24"/>
      <c r="I1888" s="4"/>
      <c r="J1888" s="4"/>
      <c r="K1888" s="4"/>
      <c r="L1888" s="4"/>
      <c r="M1888" s="4"/>
      <c r="N1888" s="4"/>
      <c r="O1888" s="4"/>
      <c r="P1888" s="4"/>
      <c r="Q1888" s="4"/>
      <c r="R1888" s="4"/>
      <c r="S1888" s="4"/>
      <c r="T1888" s="4"/>
      <c r="U1888" s="4"/>
      <c r="V1888" s="4"/>
      <c r="W1888" s="4"/>
      <c r="X1888" s="4"/>
      <c r="Y1888" s="4"/>
      <c r="Z1888" s="4"/>
      <c r="AA1888" s="4"/>
      <c r="AB1888" s="4"/>
      <c r="AC1888" s="4"/>
      <c r="AD1888" s="4"/>
      <c r="AE1888" s="4"/>
      <c r="AF1888" s="4"/>
      <c r="AG1888" s="4"/>
    </row>
    <row r="1889" spans="1:33" s="17" customFormat="1" x14ac:dyDescent="0.2">
      <c r="A1889" s="4"/>
      <c r="B1889" s="49" t="s">
        <v>1232</v>
      </c>
      <c r="C1889" s="36"/>
      <c r="D1889" s="45"/>
      <c r="E1889" s="85"/>
      <c r="F1889" s="16"/>
      <c r="G1889" s="29"/>
      <c r="H1889" s="15"/>
    </row>
    <row r="1890" spans="1:33" x14ac:dyDescent="0.2">
      <c r="B1890" s="52"/>
      <c r="C1890" s="60" t="s">
        <v>1233</v>
      </c>
      <c r="D1890" s="44"/>
      <c r="E1890" s="86" t="s">
        <v>1034</v>
      </c>
      <c r="F1890" s="20"/>
      <c r="G1890" s="26"/>
      <c r="H1890" s="21" t="b">
        <f>IF(D1892="x",H$2,H$1)</f>
        <v>0</v>
      </c>
      <c r="I1890" s="4"/>
      <c r="J1890" s="4"/>
      <c r="K1890" s="4"/>
      <c r="L1890" s="4"/>
      <c r="M1890" s="4"/>
      <c r="N1890" s="4"/>
      <c r="O1890" s="4"/>
      <c r="P1890" s="4"/>
      <c r="Q1890" s="4"/>
      <c r="R1890" s="4"/>
      <c r="S1890" s="4"/>
      <c r="T1890" s="4"/>
      <c r="U1890" s="4"/>
      <c r="V1890" s="4"/>
      <c r="W1890" s="4"/>
      <c r="X1890" s="4"/>
      <c r="Y1890" s="4"/>
      <c r="Z1890" s="4"/>
      <c r="AA1890" s="4"/>
      <c r="AB1890" s="4"/>
      <c r="AC1890" s="4"/>
      <c r="AD1890" s="4"/>
      <c r="AE1890" s="4"/>
      <c r="AF1890" s="4"/>
      <c r="AG1890" s="4"/>
    </row>
    <row r="1891" spans="1:33" x14ac:dyDescent="0.2">
      <c r="B1891" s="48"/>
      <c r="C1891" s="61" t="s">
        <v>1234</v>
      </c>
      <c r="D1891" s="44"/>
      <c r="E1891" s="86" t="s">
        <v>1035</v>
      </c>
      <c r="F1891" s="22" t="str">
        <f>IF(H1892=1,IF(H1890=H$2,H1890,""),"")</f>
        <v/>
      </c>
      <c r="G1891" s="26"/>
      <c r="H1891" s="21" t="str">
        <f t="shared" ref="H1891" si="624">IF(E$2117="comprobar",COUNTIF(D1890:D1894,"x"),"")</f>
        <v/>
      </c>
      <c r="I1891" s="4"/>
      <c r="J1891" s="4"/>
      <c r="K1891" s="4"/>
      <c r="L1891" s="4"/>
      <c r="M1891" s="4"/>
      <c r="N1891" s="4"/>
      <c r="O1891" s="4"/>
      <c r="P1891" s="4"/>
      <c r="Q1891" s="4"/>
      <c r="R1891" s="4"/>
      <c r="S1891" s="4"/>
      <c r="T1891" s="4"/>
      <c r="U1891" s="4"/>
      <c r="V1891" s="4"/>
      <c r="W1891" s="4"/>
      <c r="X1891" s="4"/>
      <c r="Y1891" s="4"/>
      <c r="Z1891" s="4"/>
      <c r="AA1891" s="4"/>
      <c r="AB1891" s="4"/>
      <c r="AC1891" s="4"/>
      <c r="AD1891" s="4"/>
      <c r="AE1891" s="4"/>
      <c r="AF1891" s="4"/>
      <c r="AG1891" s="4"/>
    </row>
    <row r="1892" spans="1:33" x14ac:dyDescent="0.2">
      <c r="B1892" s="48"/>
      <c r="C1892" s="61" t="s">
        <v>1235</v>
      </c>
      <c r="D1892" s="44"/>
      <c r="E1892" s="86" t="s">
        <v>1036</v>
      </c>
      <c r="F1892" s="23" t="str">
        <f>IF(H1892=-0.33,IF(H1890=H$1,H1890,""),"")</f>
        <v/>
      </c>
      <c r="G1892" s="26"/>
      <c r="H1892" s="24">
        <f t="shared" ref="H1892" si="625">IF(H1891=1,IF(H1890=H$2,1,-0.33),0)</f>
        <v>0</v>
      </c>
      <c r="I1892" s="4"/>
      <c r="J1892" s="4"/>
      <c r="K1892" s="4"/>
      <c r="L1892" s="4"/>
      <c r="M1892" s="4"/>
      <c r="N1892" s="4"/>
      <c r="O1892" s="4"/>
      <c r="P1892" s="4"/>
      <c r="Q1892" s="4"/>
      <c r="R1892" s="4"/>
      <c r="S1892" s="4"/>
      <c r="T1892" s="4"/>
      <c r="U1892" s="4"/>
      <c r="V1892" s="4"/>
      <c r="W1892" s="4"/>
      <c r="X1892" s="4"/>
      <c r="Y1892" s="4"/>
      <c r="Z1892" s="4"/>
      <c r="AA1892" s="4"/>
      <c r="AB1892" s="4"/>
      <c r="AC1892" s="4"/>
      <c r="AD1892" s="4"/>
      <c r="AE1892" s="4"/>
      <c r="AF1892" s="4"/>
      <c r="AG1892" s="4"/>
    </row>
    <row r="1893" spans="1:33" x14ac:dyDescent="0.2">
      <c r="B1893" s="52"/>
      <c r="C1893" s="61" t="s">
        <v>841</v>
      </c>
      <c r="D1893" s="44"/>
      <c r="E1893" s="86" t="s">
        <v>1037</v>
      </c>
      <c r="F1893" s="20"/>
      <c r="G1893" s="26"/>
      <c r="H1893" s="24"/>
      <c r="I1893" s="4"/>
      <c r="J1893" s="4"/>
      <c r="K1893" s="4"/>
      <c r="L1893" s="4"/>
      <c r="M1893" s="4"/>
      <c r="N1893" s="4"/>
      <c r="O1893" s="4"/>
      <c r="P1893" s="4"/>
      <c r="Q1893" s="4"/>
      <c r="R1893" s="4"/>
      <c r="S1893" s="4"/>
      <c r="T1893" s="4"/>
      <c r="U1893" s="4"/>
      <c r="V1893" s="4"/>
      <c r="W1893" s="4"/>
      <c r="X1893" s="4"/>
      <c r="Y1893" s="4"/>
      <c r="Z1893" s="4"/>
      <c r="AA1893" s="4"/>
      <c r="AB1893" s="4"/>
      <c r="AC1893" s="4"/>
      <c r="AD1893" s="4"/>
      <c r="AE1893" s="4"/>
      <c r="AF1893" s="4"/>
      <c r="AG1893" s="4"/>
    </row>
    <row r="1894" spans="1:33" x14ac:dyDescent="0.2">
      <c r="B1894" s="48"/>
      <c r="C1894" s="39"/>
      <c r="D1894" s="44"/>
      <c r="E1894" s="86" t="s">
        <v>1038</v>
      </c>
      <c r="F1894" s="20"/>
      <c r="G1894" s="19"/>
      <c r="H1894" s="24"/>
      <c r="I1894" s="4"/>
      <c r="J1894" s="4"/>
      <c r="K1894" s="4"/>
      <c r="L1894" s="4"/>
      <c r="M1894" s="4"/>
      <c r="N1894" s="4"/>
      <c r="O1894" s="4"/>
      <c r="P1894" s="4"/>
      <c r="Q1894" s="4"/>
      <c r="R1894" s="4"/>
      <c r="S1894" s="4"/>
      <c r="T1894" s="4"/>
      <c r="U1894" s="4"/>
      <c r="V1894" s="4"/>
      <c r="W1894" s="4"/>
      <c r="X1894" s="4"/>
      <c r="Y1894" s="4"/>
      <c r="Z1894" s="4"/>
      <c r="AA1894" s="4"/>
      <c r="AB1894" s="4"/>
      <c r="AC1894" s="4"/>
      <c r="AD1894" s="4"/>
      <c r="AE1894" s="4"/>
      <c r="AF1894" s="4"/>
      <c r="AG1894" s="4"/>
    </row>
    <row r="1895" spans="1:33" s="17" customFormat="1" x14ac:dyDescent="0.2">
      <c r="A1895" s="4"/>
      <c r="B1895" s="49" t="s">
        <v>1236</v>
      </c>
      <c r="C1895" s="36"/>
      <c r="D1895" s="45"/>
      <c r="E1895" s="85"/>
      <c r="F1895" s="16"/>
      <c r="G1895" s="29"/>
      <c r="H1895" s="15"/>
    </row>
    <row r="1896" spans="1:33" x14ac:dyDescent="0.2">
      <c r="B1896" s="48"/>
      <c r="C1896" s="60" t="s">
        <v>1237</v>
      </c>
      <c r="D1896" s="44"/>
      <c r="E1896" s="86" t="s">
        <v>1034</v>
      </c>
      <c r="F1896" s="20"/>
      <c r="G1896" s="26"/>
      <c r="H1896" s="21" t="b">
        <f>IF(D1897="x",H$2,H$1)</f>
        <v>0</v>
      </c>
      <c r="I1896" s="4"/>
      <c r="J1896" s="4"/>
      <c r="K1896" s="4"/>
      <c r="L1896" s="4"/>
      <c r="M1896" s="4"/>
      <c r="N1896" s="4"/>
      <c r="O1896" s="4"/>
      <c r="P1896" s="4"/>
      <c r="Q1896" s="4"/>
      <c r="R1896" s="4"/>
      <c r="S1896" s="4"/>
      <c r="T1896" s="4"/>
      <c r="U1896" s="4"/>
      <c r="V1896" s="4"/>
      <c r="W1896" s="4"/>
      <c r="X1896" s="4"/>
      <c r="Y1896" s="4"/>
      <c r="Z1896" s="4"/>
      <c r="AA1896" s="4"/>
      <c r="AB1896" s="4"/>
      <c r="AC1896" s="4"/>
      <c r="AD1896" s="4"/>
      <c r="AE1896" s="4"/>
      <c r="AF1896" s="4"/>
      <c r="AG1896" s="4"/>
    </row>
    <row r="1897" spans="1:33" ht="32" x14ac:dyDescent="0.2">
      <c r="B1897" s="52"/>
      <c r="C1897" s="61" t="s">
        <v>1238</v>
      </c>
      <c r="D1897" s="44"/>
      <c r="E1897" s="86" t="s">
        <v>1035</v>
      </c>
      <c r="F1897" s="22" t="str">
        <f>IF(H1898=1,IF(H1896=H$2,H1896,""),"")</f>
        <v/>
      </c>
      <c r="G1897" s="26"/>
      <c r="H1897" s="21" t="str">
        <f t="shared" ref="H1897" si="626">IF(E$2117="comprobar",COUNTIF(D1896:D1900,"x"),"")</f>
        <v/>
      </c>
      <c r="I1897" s="4"/>
      <c r="J1897" s="4"/>
      <c r="K1897" s="4"/>
      <c r="L1897" s="4"/>
      <c r="M1897" s="4"/>
      <c r="N1897" s="4"/>
      <c r="O1897" s="4"/>
      <c r="P1897" s="4"/>
      <c r="Q1897" s="4"/>
      <c r="R1897" s="4"/>
      <c r="S1897" s="4"/>
      <c r="T1897" s="4"/>
      <c r="U1897" s="4"/>
      <c r="V1897" s="4"/>
      <c r="W1897" s="4"/>
      <c r="X1897" s="4"/>
      <c r="Y1897" s="4"/>
      <c r="Z1897" s="4"/>
      <c r="AA1897" s="4"/>
      <c r="AB1897" s="4"/>
      <c r="AC1897" s="4"/>
      <c r="AD1897" s="4"/>
      <c r="AE1897" s="4"/>
      <c r="AF1897" s="4"/>
      <c r="AG1897" s="4"/>
    </row>
    <row r="1898" spans="1:33" x14ac:dyDescent="0.2">
      <c r="B1898" s="48"/>
      <c r="C1898" s="61" t="s">
        <v>1239</v>
      </c>
      <c r="D1898" s="44"/>
      <c r="E1898" s="86" t="s">
        <v>1036</v>
      </c>
      <c r="F1898" s="23" t="str">
        <f>IF(H1898=-0.33,IF(H1896=H$1,H1896,""),"")</f>
        <v/>
      </c>
      <c r="G1898" s="26"/>
      <c r="H1898" s="24">
        <f t="shared" ref="H1898" si="627">IF(H1897=1,IF(H1896=H$2,1,-0.33),0)</f>
        <v>0</v>
      </c>
      <c r="I1898" s="4"/>
      <c r="J1898" s="4"/>
      <c r="K1898" s="4"/>
      <c r="L1898" s="4"/>
      <c r="M1898" s="4"/>
      <c r="N1898" s="4"/>
      <c r="O1898" s="4"/>
      <c r="P1898" s="4"/>
      <c r="Q1898" s="4"/>
      <c r="R1898" s="4"/>
      <c r="S1898" s="4"/>
      <c r="T1898" s="4"/>
      <c r="U1898" s="4"/>
      <c r="V1898" s="4"/>
      <c r="W1898" s="4"/>
      <c r="X1898" s="4"/>
      <c r="Y1898" s="4"/>
      <c r="Z1898" s="4"/>
      <c r="AA1898" s="4"/>
      <c r="AB1898" s="4"/>
      <c r="AC1898" s="4"/>
      <c r="AD1898" s="4"/>
      <c r="AE1898" s="4"/>
      <c r="AF1898" s="4"/>
      <c r="AG1898" s="4"/>
    </row>
    <row r="1899" spans="1:33" x14ac:dyDescent="0.2">
      <c r="B1899" s="48"/>
      <c r="C1899" s="61" t="s">
        <v>1240</v>
      </c>
      <c r="D1899" s="44"/>
      <c r="E1899" s="86" t="s">
        <v>1037</v>
      </c>
      <c r="F1899" s="20"/>
      <c r="G1899" s="26"/>
      <c r="H1899" s="24"/>
      <c r="I1899" s="4"/>
      <c r="J1899" s="4"/>
      <c r="K1899" s="4"/>
      <c r="L1899" s="4"/>
      <c r="M1899" s="4"/>
      <c r="N1899" s="4"/>
      <c r="O1899" s="4"/>
      <c r="P1899" s="4"/>
      <c r="Q1899" s="4"/>
      <c r="R1899" s="4"/>
      <c r="S1899" s="4"/>
      <c r="T1899" s="4"/>
      <c r="U1899" s="4"/>
      <c r="V1899" s="4"/>
      <c r="W1899" s="4"/>
      <c r="X1899" s="4"/>
      <c r="Y1899" s="4"/>
      <c r="Z1899" s="4"/>
      <c r="AA1899" s="4"/>
      <c r="AB1899" s="4"/>
      <c r="AC1899" s="4"/>
      <c r="AD1899" s="4"/>
      <c r="AE1899" s="4"/>
      <c r="AF1899" s="4"/>
      <c r="AG1899" s="4"/>
    </row>
    <row r="1900" spans="1:33" x14ac:dyDescent="0.2">
      <c r="B1900" s="48"/>
      <c r="C1900" s="39"/>
      <c r="D1900" s="44"/>
      <c r="E1900" s="86" t="s">
        <v>1038</v>
      </c>
      <c r="F1900" s="20"/>
      <c r="G1900" s="19"/>
      <c r="H1900" s="24"/>
      <c r="I1900" s="4"/>
      <c r="J1900" s="4"/>
      <c r="K1900" s="4"/>
      <c r="L1900" s="4"/>
      <c r="M1900" s="4"/>
      <c r="N1900" s="4"/>
      <c r="O1900" s="4"/>
      <c r="P1900" s="4"/>
      <c r="Q1900" s="4"/>
      <c r="R1900" s="4"/>
      <c r="S1900" s="4"/>
      <c r="T1900" s="4"/>
      <c r="U1900" s="4"/>
      <c r="V1900" s="4"/>
      <c r="W1900" s="4"/>
      <c r="X1900" s="4"/>
      <c r="Y1900" s="4"/>
      <c r="Z1900" s="4"/>
      <c r="AA1900" s="4"/>
      <c r="AB1900" s="4"/>
      <c r="AC1900" s="4"/>
      <c r="AD1900" s="4"/>
      <c r="AE1900" s="4"/>
      <c r="AF1900" s="4"/>
      <c r="AG1900" s="4"/>
    </row>
    <row r="1901" spans="1:33" s="17" customFormat="1" x14ac:dyDescent="0.2">
      <c r="A1901" s="4"/>
      <c r="B1901" s="49" t="s">
        <v>1241</v>
      </c>
      <c r="C1901" s="36"/>
      <c r="D1901" s="45"/>
      <c r="E1901" s="85"/>
      <c r="F1901" s="16"/>
      <c r="G1901" s="29"/>
      <c r="H1901" s="15"/>
    </row>
    <row r="1902" spans="1:33" ht="32" x14ac:dyDescent="0.2">
      <c r="B1902" s="48"/>
      <c r="C1902" s="60" t="s">
        <v>1242</v>
      </c>
      <c r="D1902" s="44"/>
      <c r="E1902" s="86" t="s">
        <v>1034</v>
      </c>
      <c r="F1902" s="20"/>
      <c r="G1902" s="26"/>
      <c r="H1902" s="21" t="b">
        <f>IF(D1905="x",H$2,H$1)</f>
        <v>0</v>
      </c>
      <c r="I1902" s="4"/>
      <c r="J1902" s="4"/>
      <c r="K1902" s="4"/>
      <c r="L1902" s="4"/>
      <c r="M1902" s="4"/>
      <c r="N1902" s="4"/>
      <c r="O1902" s="4"/>
      <c r="P1902" s="4"/>
      <c r="Q1902" s="4"/>
      <c r="R1902" s="4"/>
      <c r="S1902" s="4"/>
      <c r="T1902" s="4"/>
      <c r="U1902" s="4"/>
      <c r="V1902" s="4"/>
      <c r="W1902" s="4"/>
      <c r="X1902" s="4"/>
      <c r="Y1902" s="4"/>
      <c r="Z1902" s="4"/>
      <c r="AA1902" s="4"/>
      <c r="AB1902" s="4"/>
      <c r="AC1902" s="4"/>
      <c r="AD1902" s="4"/>
      <c r="AE1902" s="4"/>
      <c r="AF1902" s="4"/>
      <c r="AG1902" s="4"/>
    </row>
    <row r="1903" spans="1:33" x14ac:dyDescent="0.2">
      <c r="B1903" s="48"/>
      <c r="C1903" s="61" t="s">
        <v>1243</v>
      </c>
      <c r="D1903" s="44"/>
      <c r="E1903" s="86" t="s">
        <v>1035</v>
      </c>
      <c r="F1903" s="22" t="str">
        <f>IF(H1904=1,IF(H1902=H$2,H1902,""),"")</f>
        <v/>
      </c>
      <c r="G1903" s="26"/>
      <c r="H1903" s="21" t="str">
        <f t="shared" ref="H1903" si="628">IF(E$2117="comprobar",COUNTIF(D1902:D1906,"x"),"")</f>
        <v/>
      </c>
      <c r="I1903" s="4"/>
      <c r="J1903" s="4"/>
      <c r="K1903" s="4"/>
      <c r="L1903" s="4"/>
      <c r="M1903" s="4"/>
      <c r="N1903" s="4"/>
      <c r="O1903" s="4"/>
      <c r="P1903" s="4"/>
      <c r="Q1903" s="4"/>
      <c r="R1903" s="4"/>
      <c r="S1903" s="4"/>
      <c r="T1903" s="4"/>
      <c r="U1903" s="4"/>
      <c r="V1903" s="4"/>
      <c r="W1903" s="4"/>
      <c r="X1903" s="4"/>
      <c r="Y1903" s="4"/>
      <c r="Z1903" s="4"/>
      <c r="AA1903" s="4"/>
      <c r="AB1903" s="4"/>
      <c r="AC1903" s="4"/>
      <c r="AD1903" s="4"/>
      <c r="AE1903" s="4"/>
      <c r="AF1903" s="4"/>
      <c r="AG1903" s="4"/>
    </row>
    <row r="1904" spans="1:33" x14ac:dyDescent="0.2">
      <c r="B1904" s="48"/>
      <c r="C1904" s="61" t="s">
        <v>1244</v>
      </c>
      <c r="D1904" s="44"/>
      <c r="E1904" s="86" t="s">
        <v>1036</v>
      </c>
      <c r="F1904" s="23" t="str">
        <f>IF(H1904=-0.33,IF(H1902=H$1,H1902,""),"")</f>
        <v/>
      </c>
      <c r="G1904" s="26"/>
      <c r="H1904" s="24">
        <f t="shared" ref="H1904" si="629">IF(H1903=1,IF(H1902=H$2,1,-0.33),0)</f>
        <v>0</v>
      </c>
      <c r="I1904" s="4"/>
      <c r="J1904" s="4"/>
      <c r="K1904" s="4"/>
      <c r="L1904" s="4"/>
      <c r="M1904" s="4"/>
      <c r="N1904" s="4"/>
      <c r="O1904" s="4"/>
      <c r="P1904" s="4"/>
      <c r="Q1904" s="4"/>
      <c r="R1904" s="4"/>
      <c r="S1904" s="4"/>
      <c r="T1904" s="4"/>
      <c r="U1904" s="4"/>
      <c r="V1904" s="4"/>
      <c r="W1904" s="4"/>
      <c r="X1904" s="4"/>
      <c r="Y1904" s="4"/>
      <c r="Z1904" s="4"/>
      <c r="AA1904" s="4"/>
      <c r="AB1904" s="4"/>
      <c r="AC1904" s="4"/>
      <c r="AD1904" s="4"/>
      <c r="AE1904" s="4"/>
      <c r="AF1904" s="4"/>
      <c r="AG1904" s="4"/>
    </row>
    <row r="1905" spans="1:33" x14ac:dyDescent="0.2">
      <c r="B1905" s="48"/>
      <c r="C1905" s="61" t="s">
        <v>622</v>
      </c>
      <c r="D1905" s="44"/>
      <c r="E1905" s="86" t="s">
        <v>1037</v>
      </c>
      <c r="F1905" s="20"/>
      <c r="G1905" s="26"/>
      <c r="H1905" s="24"/>
      <c r="I1905" s="4"/>
      <c r="J1905" s="4"/>
      <c r="K1905" s="4"/>
      <c r="L1905" s="4"/>
      <c r="M1905" s="4"/>
      <c r="N1905" s="4"/>
      <c r="O1905" s="4"/>
      <c r="P1905" s="4"/>
      <c r="Q1905" s="4"/>
      <c r="R1905" s="4"/>
      <c r="S1905" s="4"/>
      <c r="T1905" s="4"/>
      <c r="U1905" s="4"/>
      <c r="V1905" s="4"/>
      <c r="W1905" s="4"/>
      <c r="X1905" s="4"/>
      <c r="Y1905" s="4"/>
      <c r="Z1905" s="4"/>
      <c r="AA1905" s="4"/>
      <c r="AB1905" s="4"/>
      <c r="AC1905" s="4"/>
      <c r="AD1905" s="4"/>
      <c r="AE1905" s="4"/>
      <c r="AF1905" s="4"/>
      <c r="AG1905" s="4"/>
    </row>
    <row r="1906" spans="1:33" x14ac:dyDescent="0.2">
      <c r="B1906" s="48"/>
      <c r="C1906" s="39"/>
      <c r="D1906" s="44"/>
      <c r="E1906" s="86" t="s">
        <v>1038</v>
      </c>
      <c r="F1906" s="20"/>
      <c r="G1906" s="19"/>
      <c r="H1906" s="24"/>
      <c r="I1906" s="4"/>
      <c r="J1906" s="4"/>
      <c r="K1906" s="4"/>
      <c r="L1906" s="4"/>
      <c r="M1906" s="4"/>
      <c r="N1906" s="4"/>
      <c r="O1906" s="4"/>
      <c r="P1906" s="4"/>
      <c r="Q1906" s="4"/>
      <c r="R1906" s="4"/>
      <c r="S1906" s="4"/>
      <c r="T1906" s="4"/>
      <c r="U1906" s="4"/>
      <c r="V1906" s="4"/>
      <c r="W1906" s="4"/>
      <c r="X1906" s="4"/>
      <c r="Y1906" s="4"/>
      <c r="Z1906" s="4"/>
      <c r="AA1906" s="4"/>
      <c r="AB1906" s="4"/>
      <c r="AC1906" s="4"/>
      <c r="AD1906" s="4"/>
      <c r="AE1906" s="4"/>
      <c r="AF1906" s="4"/>
      <c r="AG1906" s="4"/>
    </row>
    <row r="1907" spans="1:33" s="17" customFormat="1" x14ac:dyDescent="0.2">
      <c r="A1907" s="4"/>
      <c r="B1907" s="49" t="s">
        <v>1245</v>
      </c>
      <c r="C1907" s="36"/>
      <c r="D1907" s="45"/>
      <c r="E1907" s="85"/>
      <c r="F1907" s="16"/>
      <c r="G1907" s="29"/>
      <c r="H1907" s="15"/>
    </row>
    <row r="1908" spans="1:33" x14ac:dyDescent="0.2">
      <c r="B1908" s="52"/>
      <c r="C1908" s="60" t="s">
        <v>1246</v>
      </c>
      <c r="D1908" s="44"/>
      <c r="E1908" s="86" t="s">
        <v>1034</v>
      </c>
      <c r="F1908" s="20"/>
      <c r="G1908" s="26"/>
      <c r="H1908" s="21" t="b">
        <f>IF(D1909="x",H$2,H$1)</f>
        <v>0</v>
      </c>
      <c r="I1908" s="4"/>
      <c r="J1908" s="4"/>
      <c r="K1908" s="4"/>
      <c r="L1908" s="4"/>
      <c r="M1908" s="4"/>
      <c r="N1908" s="4"/>
      <c r="O1908" s="4"/>
      <c r="P1908" s="4"/>
      <c r="Q1908" s="4"/>
      <c r="R1908" s="4"/>
      <c r="S1908" s="4"/>
      <c r="T1908" s="4"/>
      <c r="U1908" s="4"/>
      <c r="V1908" s="4"/>
      <c r="W1908" s="4"/>
      <c r="X1908" s="4"/>
      <c r="Y1908" s="4"/>
      <c r="Z1908" s="4"/>
      <c r="AA1908" s="4"/>
      <c r="AB1908" s="4"/>
      <c r="AC1908" s="4"/>
      <c r="AD1908" s="4"/>
      <c r="AE1908" s="4"/>
      <c r="AF1908" s="4"/>
      <c r="AG1908" s="4"/>
    </row>
    <row r="1909" spans="1:33" x14ac:dyDescent="0.2">
      <c r="B1909" s="48"/>
      <c r="C1909" s="61" t="s">
        <v>1247</v>
      </c>
      <c r="D1909" s="44"/>
      <c r="E1909" s="86" t="s">
        <v>1035</v>
      </c>
      <c r="F1909" s="22" t="str">
        <f>IF(H1910=1,IF(H1908=H$2,H1908,""),"")</f>
        <v/>
      </c>
      <c r="G1909" s="26"/>
      <c r="H1909" s="21" t="str">
        <f t="shared" ref="H1909" si="630">IF(E$2117="comprobar",COUNTIF(D1908:D1912,"x"),"")</f>
        <v/>
      </c>
      <c r="I1909" s="4"/>
      <c r="J1909" s="4"/>
      <c r="K1909" s="4"/>
      <c r="L1909" s="4"/>
      <c r="M1909" s="4"/>
      <c r="N1909" s="4"/>
      <c r="O1909" s="4"/>
      <c r="P1909" s="4"/>
      <c r="Q1909" s="4"/>
      <c r="R1909" s="4"/>
      <c r="S1909" s="4"/>
      <c r="T1909" s="4"/>
      <c r="U1909" s="4"/>
      <c r="V1909" s="4"/>
      <c r="W1909" s="4"/>
      <c r="X1909" s="4"/>
      <c r="Y1909" s="4"/>
      <c r="Z1909" s="4"/>
      <c r="AA1909" s="4"/>
      <c r="AB1909" s="4"/>
      <c r="AC1909" s="4"/>
      <c r="AD1909" s="4"/>
      <c r="AE1909" s="4"/>
      <c r="AF1909" s="4"/>
      <c r="AG1909" s="4"/>
    </row>
    <row r="1910" spans="1:33" x14ac:dyDescent="0.2">
      <c r="B1910" s="48"/>
      <c r="C1910" s="61" t="s">
        <v>1248</v>
      </c>
      <c r="D1910" s="44"/>
      <c r="E1910" s="86" t="s">
        <v>1036</v>
      </c>
      <c r="F1910" s="23" t="str">
        <f>IF(H1910=-0.33,IF(H1908=H$1,H1908,""),"")</f>
        <v/>
      </c>
      <c r="G1910" s="26"/>
      <c r="H1910" s="24">
        <f t="shared" ref="H1910" si="631">IF(H1909=1,IF(H1908=H$2,1,-0.33),0)</f>
        <v>0</v>
      </c>
      <c r="I1910" s="4"/>
      <c r="J1910" s="4"/>
      <c r="K1910" s="4"/>
      <c r="L1910" s="4"/>
      <c r="M1910" s="4"/>
      <c r="N1910" s="4"/>
      <c r="O1910" s="4"/>
      <c r="P1910" s="4"/>
      <c r="Q1910" s="4"/>
      <c r="R1910" s="4"/>
      <c r="S1910" s="4"/>
      <c r="T1910" s="4"/>
      <c r="U1910" s="4"/>
      <c r="V1910" s="4"/>
      <c r="W1910" s="4"/>
      <c r="X1910" s="4"/>
      <c r="Y1910" s="4"/>
      <c r="Z1910" s="4"/>
      <c r="AA1910" s="4"/>
      <c r="AB1910" s="4"/>
      <c r="AC1910" s="4"/>
      <c r="AD1910" s="4"/>
      <c r="AE1910" s="4"/>
      <c r="AF1910" s="4"/>
      <c r="AG1910" s="4"/>
    </row>
    <row r="1911" spans="1:33" x14ac:dyDescent="0.2">
      <c r="B1911" s="52"/>
      <c r="C1911" s="61" t="s">
        <v>759</v>
      </c>
      <c r="D1911" s="44"/>
      <c r="E1911" s="86" t="s">
        <v>1037</v>
      </c>
      <c r="F1911" s="20"/>
      <c r="G1911" s="26"/>
      <c r="H1911" s="24"/>
      <c r="I1911" s="4"/>
      <c r="J1911" s="4"/>
      <c r="K1911" s="4"/>
      <c r="L1911" s="4"/>
      <c r="M1911" s="4"/>
      <c r="N1911" s="4"/>
      <c r="O1911" s="4"/>
      <c r="P1911" s="4"/>
      <c r="Q1911" s="4"/>
      <c r="R1911" s="4"/>
      <c r="S1911" s="4"/>
      <c r="T1911" s="4"/>
      <c r="U1911" s="4"/>
      <c r="V1911" s="4"/>
      <c r="W1911" s="4"/>
      <c r="X1911" s="4"/>
      <c r="Y1911" s="4"/>
      <c r="Z1911" s="4"/>
      <c r="AA1911" s="4"/>
      <c r="AB1911" s="4"/>
      <c r="AC1911" s="4"/>
      <c r="AD1911" s="4"/>
      <c r="AE1911" s="4"/>
      <c r="AF1911" s="4"/>
      <c r="AG1911" s="4"/>
    </row>
    <row r="1912" spans="1:33" x14ac:dyDescent="0.2">
      <c r="B1912" s="48"/>
      <c r="C1912" s="39"/>
      <c r="D1912" s="44"/>
      <c r="E1912" s="86" t="s">
        <v>1038</v>
      </c>
      <c r="F1912" s="20"/>
      <c r="G1912" s="19"/>
      <c r="H1912" s="24"/>
      <c r="I1912" s="4"/>
      <c r="J1912" s="4"/>
      <c r="K1912" s="4"/>
      <c r="L1912" s="4"/>
      <c r="M1912" s="4"/>
      <c r="N1912" s="4"/>
      <c r="O1912" s="4"/>
      <c r="P1912" s="4"/>
      <c r="Q1912" s="4"/>
      <c r="R1912" s="4"/>
      <c r="S1912" s="4"/>
      <c r="T1912" s="4"/>
      <c r="U1912" s="4"/>
      <c r="V1912" s="4"/>
      <c r="W1912" s="4"/>
      <c r="X1912" s="4"/>
      <c r="Y1912" s="4"/>
      <c r="Z1912" s="4"/>
      <c r="AA1912" s="4"/>
      <c r="AB1912" s="4"/>
      <c r="AC1912" s="4"/>
      <c r="AD1912" s="4"/>
      <c r="AE1912" s="4"/>
      <c r="AF1912" s="4"/>
      <c r="AG1912" s="4"/>
    </row>
    <row r="1913" spans="1:33" s="17" customFormat="1" x14ac:dyDescent="0.2">
      <c r="A1913" s="4"/>
      <c r="B1913" s="49" t="s">
        <v>1249</v>
      </c>
      <c r="C1913" s="36"/>
      <c r="D1913" s="45"/>
      <c r="E1913" s="85"/>
      <c r="F1913" s="16"/>
      <c r="G1913" s="29"/>
      <c r="H1913" s="15"/>
    </row>
    <row r="1914" spans="1:33" x14ac:dyDescent="0.2">
      <c r="B1914" s="48"/>
      <c r="C1914" s="60" t="s">
        <v>1250</v>
      </c>
      <c r="D1914" s="44"/>
      <c r="E1914" s="86" t="s">
        <v>1034</v>
      </c>
      <c r="F1914" s="20"/>
      <c r="G1914" s="26"/>
      <c r="H1914" s="21" t="b">
        <f>IF(D1914="x",H$2,H$1)</f>
        <v>0</v>
      </c>
      <c r="I1914" s="4"/>
      <c r="J1914" s="4"/>
      <c r="K1914" s="4"/>
      <c r="L1914" s="4"/>
      <c r="M1914" s="4"/>
      <c r="N1914" s="4"/>
      <c r="O1914" s="4"/>
      <c r="P1914" s="4"/>
      <c r="Q1914" s="4"/>
      <c r="R1914" s="4"/>
      <c r="S1914" s="4"/>
      <c r="T1914" s="4"/>
      <c r="U1914" s="4"/>
      <c r="V1914" s="4"/>
      <c r="W1914" s="4"/>
      <c r="X1914" s="4"/>
      <c r="Y1914" s="4"/>
      <c r="Z1914" s="4"/>
      <c r="AA1914" s="4"/>
      <c r="AB1914" s="4"/>
      <c r="AC1914" s="4"/>
      <c r="AD1914" s="4"/>
      <c r="AE1914" s="4"/>
      <c r="AF1914" s="4"/>
      <c r="AG1914" s="4"/>
    </row>
    <row r="1915" spans="1:33" x14ac:dyDescent="0.2">
      <c r="B1915" s="52"/>
      <c r="C1915" s="61" t="s">
        <v>1251</v>
      </c>
      <c r="D1915" s="44"/>
      <c r="E1915" s="86" t="s">
        <v>1035</v>
      </c>
      <c r="F1915" s="22" t="str">
        <f>IF(H1916=1,IF(H1914=H$2,H1914,""),"")</f>
        <v/>
      </c>
      <c r="G1915" s="26"/>
      <c r="H1915" s="21" t="str">
        <f t="shared" ref="H1915" si="632">IF(E$2117="comprobar",COUNTIF(D1914:D1918,"x"),"")</f>
        <v/>
      </c>
      <c r="I1915" s="4"/>
      <c r="J1915" s="4"/>
      <c r="K1915" s="4"/>
      <c r="L1915" s="4"/>
      <c r="M1915" s="4"/>
      <c r="N1915" s="4"/>
      <c r="O1915" s="4"/>
      <c r="P1915" s="4"/>
      <c r="Q1915" s="4"/>
      <c r="R1915" s="4"/>
      <c r="S1915" s="4"/>
      <c r="T1915" s="4"/>
      <c r="U1915" s="4"/>
      <c r="V1915" s="4"/>
      <c r="W1915" s="4"/>
      <c r="X1915" s="4"/>
      <c r="Y1915" s="4"/>
      <c r="Z1915" s="4"/>
      <c r="AA1915" s="4"/>
      <c r="AB1915" s="4"/>
      <c r="AC1915" s="4"/>
      <c r="AD1915" s="4"/>
      <c r="AE1915" s="4"/>
      <c r="AF1915" s="4"/>
      <c r="AG1915" s="4"/>
    </row>
    <row r="1916" spans="1:33" x14ac:dyDescent="0.2">
      <c r="B1916" s="52"/>
      <c r="C1916" s="61" t="s">
        <v>1252</v>
      </c>
      <c r="D1916" s="44"/>
      <c r="E1916" s="86" t="s">
        <v>1036</v>
      </c>
      <c r="F1916" s="23" t="str">
        <f>IF(H1916=-0.33,IF(H1914=H$1,H1914,""),"")</f>
        <v/>
      </c>
      <c r="G1916" s="26"/>
      <c r="H1916" s="24">
        <f t="shared" ref="H1916" si="633">IF(H1915=1,IF(H1914=H$2,1,-0.33),0)</f>
        <v>0</v>
      </c>
      <c r="I1916" s="4"/>
      <c r="J1916" s="4"/>
      <c r="K1916" s="4"/>
      <c r="L1916" s="4"/>
      <c r="M1916" s="4"/>
      <c r="N1916" s="4"/>
      <c r="O1916" s="4"/>
      <c r="P1916" s="4"/>
      <c r="Q1916" s="4"/>
      <c r="R1916" s="4"/>
      <c r="S1916" s="4"/>
      <c r="T1916" s="4"/>
      <c r="U1916" s="4"/>
      <c r="V1916" s="4"/>
      <c r="W1916" s="4"/>
      <c r="X1916" s="4"/>
      <c r="Y1916" s="4"/>
      <c r="Z1916" s="4"/>
      <c r="AA1916" s="4"/>
      <c r="AB1916" s="4"/>
      <c r="AC1916" s="4"/>
      <c r="AD1916" s="4"/>
      <c r="AE1916" s="4"/>
      <c r="AF1916" s="4"/>
      <c r="AG1916" s="4"/>
    </row>
    <row r="1917" spans="1:33" x14ac:dyDescent="0.2">
      <c r="B1917" s="48"/>
      <c r="C1917" s="61" t="s">
        <v>1253</v>
      </c>
      <c r="D1917" s="44"/>
      <c r="E1917" s="86" t="s">
        <v>1037</v>
      </c>
      <c r="F1917" s="20"/>
      <c r="G1917" s="26"/>
      <c r="H1917" s="24"/>
      <c r="I1917" s="4"/>
      <c r="J1917" s="4"/>
      <c r="K1917" s="4"/>
      <c r="L1917" s="4"/>
      <c r="M1917" s="4"/>
      <c r="N1917" s="4"/>
      <c r="O1917" s="4"/>
      <c r="P1917" s="4"/>
      <c r="Q1917" s="4"/>
      <c r="R1917" s="4"/>
      <c r="S1917" s="4"/>
      <c r="T1917" s="4"/>
      <c r="U1917" s="4"/>
      <c r="V1917" s="4"/>
      <c r="W1917" s="4"/>
      <c r="X1917" s="4"/>
      <c r="Y1917" s="4"/>
      <c r="Z1917" s="4"/>
      <c r="AA1917" s="4"/>
      <c r="AB1917" s="4"/>
      <c r="AC1917" s="4"/>
      <c r="AD1917" s="4"/>
      <c r="AE1917" s="4"/>
      <c r="AF1917" s="4"/>
      <c r="AG1917" s="4"/>
    </row>
    <row r="1918" spans="1:33" x14ac:dyDescent="0.2">
      <c r="B1918" s="48"/>
      <c r="C1918" s="39"/>
      <c r="D1918" s="44"/>
      <c r="E1918" s="86" t="s">
        <v>1038</v>
      </c>
      <c r="F1918" s="20"/>
      <c r="G1918" s="19"/>
      <c r="H1918" s="24"/>
      <c r="I1918" s="4"/>
      <c r="J1918" s="4"/>
      <c r="K1918" s="4"/>
      <c r="L1918" s="4"/>
      <c r="M1918" s="4"/>
      <c r="N1918" s="4"/>
      <c r="O1918" s="4"/>
      <c r="P1918" s="4"/>
      <c r="Q1918" s="4"/>
      <c r="R1918" s="4"/>
      <c r="S1918" s="4"/>
      <c r="T1918" s="4"/>
      <c r="U1918" s="4"/>
      <c r="V1918" s="4"/>
      <c r="W1918" s="4"/>
      <c r="X1918" s="4"/>
      <c r="Y1918" s="4"/>
      <c r="Z1918" s="4"/>
      <c r="AA1918" s="4"/>
      <c r="AB1918" s="4"/>
      <c r="AC1918" s="4"/>
      <c r="AD1918" s="4"/>
      <c r="AE1918" s="4"/>
      <c r="AF1918" s="4"/>
      <c r="AG1918" s="4"/>
    </row>
    <row r="1919" spans="1:33" s="17" customFormat="1" x14ac:dyDescent="0.2">
      <c r="A1919" s="4"/>
      <c r="B1919" s="49" t="s">
        <v>1254</v>
      </c>
      <c r="C1919" s="36"/>
      <c r="D1919" s="45"/>
      <c r="E1919" s="85"/>
      <c r="F1919" s="16"/>
      <c r="G1919" s="29"/>
      <c r="H1919" s="15"/>
    </row>
    <row r="1920" spans="1:33" x14ac:dyDescent="0.2">
      <c r="B1920" s="52"/>
      <c r="C1920" s="60" t="s">
        <v>795</v>
      </c>
      <c r="D1920" s="44"/>
      <c r="E1920" s="86" t="s">
        <v>1034</v>
      </c>
      <c r="F1920" s="20"/>
      <c r="G1920" s="26"/>
      <c r="H1920" s="21" t="b">
        <f>IF(D1922="x",H$2,H$1)</f>
        <v>0</v>
      </c>
      <c r="I1920" s="4"/>
      <c r="J1920" s="4"/>
      <c r="K1920" s="4"/>
      <c r="L1920" s="4"/>
      <c r="M1920" s="4"/>
      <c r="N1920" s="4"/>
      <c r="O1920" s="4"/>
      <c r="P1920" s="4"/>
      <c r="Q1920" s="4"/>
      <c r="R1920" s="4"/>
      <c r="S1920" s="4"/>
      <c r="T1920" s="4"/>
      <c r="U1920" s="4"/>
      <c r="V1920" s="4"/>
      <c r="W1920" s="4"/>
      <c r="X1920" s="4"/>
      <c r="Y1920" s="4"/>
      <c r="Z1920" s="4"/>
      <c r="AA1920" s="4"/>
      <c r="AB1920" s="4"/>
      <c r="AC1920" s="4"/>
      <c r="AD1920" s="4"/>
      <c r="AE1920" s="4"/>
      <c r="AF1920" s="4"/>
      <c r="AG1920" s="4"/>
    </row>
    <row r="1921" spans="1:33" x14ac:dyDescent="0.2">
      <c r="B1921" s="48"/>
      <c r="C1921" s="61" t="s">
        <v>1255</v>
      </c>
      <c r="D1921" s="44"/>
      <c r="E1921" s="86" t="s">
        <v>1035</v>
      </c>
      <c r="F1921" s="22" t="str">
        <f>IF(H1922=1,IF(H1920=H$2,H1920,""),"")</f>
        <v/>
      </c>
      <c r="G1921" s="26"/>
      <c r="H1921" s="21" t="str">
        <f t="shared" ref="H1921" si="634">IF(E$2117="comprobar",COUNTIF(D1920:D1924,"x"),"")</f>
        <v/>
      </c>
      <c r="I1921" s="4"/>
      <c r="J1921" s="4"/>
      <c r="K1921" s="4"/>
      <c r="L1921" s="4"/>
      <c r="M1921" s="4"/>
      <c r="N1921" s="4"/>
      <c r="O1921" s="4"/>
      <c r="P1921" s="4"/>
      <c r="Q1921" s="4"/>
      <c r="R1921" s="4"/>
      <c r="S1921" s="4"/>
      <c r="T1921" s="4"/>
      <c r="U1921" s="4"/>
      <c r="V1921" s="4"/>
      <c r="W1921" s="4"/>
      <c r="X1921" s="4"/>
      <c r="Y1921" s="4"/>
      <c r="Z1921" s="4"/>
      <c r="AA1921" s="4"/>
      <c r="AB1921" s="4"/>
      <c r="AC1921" s="4"/>
      <c r="AD1921" s="4"/>
      <c r="AE1921" s="4"/>
      <c r="AF1921" s="4"/>
      <c r="AG1921" s="4"/>
    </row>
    <row r="1922" spans="1:33" x14ac:dyDescent="0.2">
      <c r="B1922" s="52"/>
      <c r="C1922" s="61" t="s">
        <v>1256</v>
      </c>
      <c r="D1922" s="44"/>
      <c r="E1922" s="86" t="s">
        <v>1036</v>
      </c>
      <c r="F1922" s="23" t="str">
        <f>IF(H1922=-0.33,IF(H1920=H$1,H1920,""),"")</f>
        <v/>
      </c>
      <c r="G1922" s="26"/>
      <c r="H1922" s="24">
        <f t="shared" ref="H1922" si="635">IF(H1921=1,IF(H1920=H$2,1,-0.33),0)</f>
        <v>0</v>
      </c>
      <c r="I1922" s="4"/>
      <c r="J1922" s="4"/>
      <c r="K1922" s="4"/>
      <c r="L1922" s="4"/>
      <c r="M1922" s="4"/>
      <c r="N1922" s="4"/>
      <c r="O1922" s="4"/>
      <c r="P1922" s="4"/>
      <c r="Q1922" s="4"/>
      <c r="R1922" s="4"/>
      <c r="S1922" s="4"/>
      <c r="T1922" s="4"/>
      <c r="U1922" s="4"/>
      <c r="V1922" s="4"/>
      <c r="W1922" s="4"/>
      <c r="X1922" s="4"/>
      <c r="Y1922" s="4"/>
      <c r="Z1922" s="4"/>
      <c r="AA1922" s="4"/>
      <c r="AB1922" s="4"/>
      <c r="AC1922" s="4"/>
      <c r="AD1922" s="4"/>
      <c r="AE1922" s="4"/>
      <c r="AF1922" s="4"/>
      <c r="AG1922" s="4"/>
    </row>
    <row r="1923" spans="1:33" x14ac:dyDescent="0.2">
      <c r="B1923" s="48"/>
      <c r="C1923" s="61" t="s">
        <v>1253</v>
      </c>
      <c r="D1923" s="44"/>
      <c r="E1923" s="86" t="s">
        <v>1037</v>
      </c>
      <c r="F1923" s="20"/>
      <c r="G1923" s="26"/>
      <c r="H1923" s="24"/>
      <c r="I1923" s="4"/>
      <c r="J1923" s="4"/>
      <c r="K1923" s="4"/>
      <c r="L1923" s="4"/>
      <c r="M1923" s="4"/>
      <c r="N1923" s="4"/>
      <c r="O1923" s="4"/>
      <c r="P1923" s="4"/>
      <c r="Q1923" s="4"/>
      <c r="R1923" s="4"/>
      <c r="S1923" s="4"/>
      <c r="T1923" s="4"/>
      <c r="U1923" s="4"/>
      <c r="V1923" s="4"/>
      <c r="W1923" s="4"/>
      <c r="X1923" s="4"/>
      <c r="Y1923" s="4"/>
      <c r="Z1923" s="4"/>
      <c r="AA1923" s="4"/>
      <c r="AB1923" s="4"/>
      <c r="AC1923" s="4"/>
      <c r="AD1923" s="4"/>
      <c r="AE1923" s="4"/>
      <c r="AF1923" s="4"/>
      <c r="AG1923" s="4"/>
    </row>
    <row r="1924" spans="1:33" x14ac:dyDescent="0.2">
      <c r="B1924" s="48"/>
      <c r="C1924" s="39"/>
      <c r="D1924" s="44"/>
      <c r="E1924" s="86" t="s">
        <v>1038</v>
      </c>
      <c r="F1924" s="20"/>
      <c r="G1924" s="19"/>
      <c r="H1924" s="24"/>
      <c r="I1924" s="4"/>
      <c r="J1924" s="4"/>
      <c r="K1924" s="4"/>
      <c r="L1924" s="4"/>
      <c r="M1924" s="4"/>
      <c r="N1924" s="4"/>
      <c r="O1924" s="4"/>
      <c r="P1924" s="4"/>
      <c r="Q1924" s="4"/>
      <c r="R1924" s="4"/>
      <c r="S1924" s="4"/>
      <c r="T1924" s="4"/>
      <c r="U1924" s="4"/>
      <c r="V1924" s="4"/>
      <c r="W1924" s="4"/>
      <c r="X1924" s="4"/>
      <c r="Y1924" s="4"/>
      <c r="Z1924" s="4"/>
      <c r="AA1924" s="4"/>
      <c r="AB1924" s="4"/>
      <c r="AC1924" s="4"/>
      <c r="AD1924" s="4"/>
      <c r="AE1924" s="4"/>
      <c r="AF1924" s="4"/>
      <c r="AG1924" s="4"/>
    </row>
    <row r="1925" spans="1:33" s="17" customFormat="1" x14ac:dyDescent="0.2">
      <c r="A1925" s="4"/>
      <c r="B1925" s="49" t="s">
        <v>1257</v>
      </c>
      <c r="C1925" s="36"/>
      <c r="D1925" s="45"/>
      <c r="E1925" s="85"/>
      <c r="F1925" s="16"/>
      <c r="G1925" s="29"/>
      <c r="H1925" s="15"/>
    </row>
    <row r="1926" spans="1:33" x14ac:dyDescent="0.2">
      <c r="B1926" s="52"/>
      <c r="C1926" s="60" t="s">
        <v>1258</v>
      </c>
      <c r="D1926" s="44"/>
      <c r="E1926" s="86" t="s">
        <v>1034</v>
      </c>
      <c r="F1926" s="20"/>
      <c r="G1926" s="26"/>
      <c r="H1926" s="21" t="b">
        <f>IF(D1929="x",H$2,H$1)</f>
        <v>0</v>
      </c>
      <c r="I1926" s="4"/>
      <c r="J1926" s="4"/>
      <c r="K1926" s="4"/>
      <c r="L1926" s="4"/>
      <c r="M1926" s="4"/>
      <c r="N1926" s="4"/>
      <c r="O1926" s="4"/>
      <c r="P1926" s="4"/>
      <c r="Q1926" s="4"/>
      <c r="R1926" s="4"/>
      <c r="S1926" s="4"/>
      <c r="T1926" s="4"/>
      <c r="U1926" s="4"/>
      <c r="V1926" s="4"/>
      <c r="W1926" s="4"/>
      <c r="X1926" s="4"/>
      <c r="Y1926" s="4"/>
      <c r="Z1926" s="4"/>
      <c r="AA1926" s="4"/>
      <c r="AB1926" s="4"/>
      <c r="AC1926" s="4"/>
      <c r="AD1926" s="4"/>
      <c r="AE1926" s="4"/>
      <c r="AF1926" s="4"/>
      <c r="AG1926" s="4"/>
    </row>
    <row r="1927" spans="1:33" x14ac:dyDescent="0.2">
      <c r="B1927" s="48"/>
      <c r="C1927" s="61" t="s">
        <v>1259</v>
      </c>
      <c r="D1927" s="44"/>
      <c r="E1927" s="86" t="s">
        <v>1035</v>
      </c>
      <c r="F1927" s="22" t="str">
        <f>IF(H1928=1,IF(H1926=H$2,H1926,""),"")</f>
        <v/>
      </c>
      <c r="G1927" s="26"/>
      <c r="H1927" s="21" t="str">
        <f t="shared" ref="H1927" si="636">IF(E$2117="comprobar",COUNTIF(D1926:D1930,"x"),"")</f>
        <v/>
      </c>
      <c r="I1927" s="4"/>
      <c r="J1927" s="4"/>
      <c r="K1927" s="4"/>
      <c r="L1927" s="4"/>
      <c r="M1927" s="4"/>
      <c r="N1927" s="4"/>
      <c r="O1927" s="4"/>
      <c r="P1927" s="4"/>
      <c r="Q1927" s="4"/>
      <c r="R1927" s="4"/>
      <c r="S1927" s="4"/>
      <c r="T1927" s="4"/>
      <c r="U1927" s="4"/>
      <c r="V1927" s="4"/>
      <c r="W1927" s="4"/>
      <c r="X1927" s="4"/>
      <c r="Y1927" s="4"/>
      <c r="Z1927" s="4"/>
      <c r="AA1927" s="4"/>
      <c r="AB1927" s="4"/>
      <c r="AC1927" s="4"/>
      <c r="AD1927" s="4"/>
      <c r="AE1927" s="4"/>
      <c r="AF1927" s="4"/>
      <c r="AG1927" s="4"/>
    </row>
    <row r="1928" spans="1:33" x14ac:dyDescent="0.2">
      <c r="B1928" s="48"/>
      <c r="C1928" s="61" t="s">
        <v>1260</v>
      </c>
      <c r="D1928" s="44"/>
      <c r="E1928" s="86" t="s">
        <v>1036</v>
      </c>
      <c r="F1928" s="23" t="str">
        <f>IF(H1928=-0.33,IF(H1926=H$1,H1926,""),"")</f>
        <v/>
      </c>
      <c r="G1928" s="26"/>
      <c r="H1928" s="24">
        <f t="shared" ref="H1928" si="637">IF(H1927=1,IF(H1926=H$2,1,-0.33),0)</f>
        <v>0</v>
      </c>
      <c r="I1928" s="4"/>
      <c r="J1928" s="4"/>
      <c r="K1928" s="4"/>
      <c r="L1928" s="4"/>
      <c r="M1928" s="4"/>
      <c r="N1928" s="4"/>
      <c r="O1928" s="4"/>
      <c r="P1928" s="4"/>
      <c r="Q1928" s="4"/>
      <c r="R1928" s="4"/>
      <c r="S1928" s="4"/>
      <c r="T1928" s="4"/>
      <c r="U1928" s="4"/>
      <c r="V1928" s="4"/>
      <c r="W1928" s="4"/>
      <c r="X1928" s="4"/>
      <c r="Y1928" s="4"/>
      <c r="Z1928" s="4"/>
      <c r="AA1928" s="4"/>
      <c r="AB1928" s="4"/>
      <c r="AC1928" s="4"/>
      <c r="AD1928" s="4"/>
      <c r="AE1928" s="4"/>
      <c r="AF1928" s="4"/>
      <c r="AG1928" s="4"/>
    </row>
    <row r="1929" spans="1:33" x14ac:dyDescent="0.2">
      <c r="B1929" s="48"/>
      <c r="C1929" s="61" t="s">
        <v>605</v>
      </c>
      <c r="D1929" s="44"/>
      <c r="E1929" s="86" t="s">
        <v>1037</v>
      </c>
      <c r="F1929" s="20"/>
      <c r="G1929" s="26"/>
      <c r="H1929" s="24"/>
      <c r="I1929" s="4"/>
      <c r="J1929" s="4"/>
      <c r="K1929" s="4"/>
      <c r="L1929" s="4"/>
      <c r="M1929" s="4"/>
      <c r="N1929" s="4"/>
      <c r="O1929" s="4"/>
      <c r="P1929" s="4"/>
      <c r="Q1929" s="4"/>
      <c r="R1929" s="4"/>
      <c r="S1929" s="4"/>
      <c r="T1929" s="4"/>
      <c r="U1929" s="4"/>
      <c r="V1929" s="4"/>
      <c r="W1929" s="4"/>
      <c r="X1929" s="4"/>
      <c r="Y1929" s="4"/>
      <c r="Z1929" s="4"/>
      <c r="AA1929" s="4"/>
      <c r="AB1929" s="4"/>
      <c r="AC1929" s="4"/>
      <c r="AD1929" s="4"/>
      <c r="AE1929" s="4"/>
      <c r="AF1929" s="4"/>
      <c r="AG1929" s="4"/>
    </row>
    <row r="1930" spans="1:33" x14ac:dyDescent="0.2">
      <c r="B1930" s="48"/>
      <c r="C1930" s="39"/>
      <c r="D1930" s="44"/>
      <c r="E1930" s="86" t="s">
        <v>1038</v>
      </c>
      <c r="F1930" s="12"/>
      <c r="G1930" s="19"/>
      <c r="H1930" s="24"/>
      <c r="I1930" s="4"/>
      <c r="J1930" s="4"/>
      <c r="K1930" s="4"/>
      <c r="L1930" s="4"/>
      <c r="M1930" s="4"/>
      <c r="N1930" s="4"/>
      <c r="O1930" s="4"/>
      <c r="P1930" s="4"/>
      <c r="Q1930" s="4"/>
      <c r="R1930" s="4"/>
      <c r="S1930" s="4"/>
      <c r="T1930" s="4"/>
      <c r="U1930" s="4"/>
      <c r="V1930" s="4"/>
      <c r="W1930" s="4"/>
      <c r="X1930" s="4"/>
      <c r="Y1930" s="4"/>
      <c r="Z1930" s="4"/>
      <c r="AA1930" s="4"/>
      <c r="AB1930" s="4"/>
      <c r="AC1930" s="4"/>
      <c r="AD1930" s="4"/>
      <c r="AE1930" s="4"/>
      <c r="AF1930" s="4"/>
      <c r="AG1930" s="4"/>
    </row>
    <row r="1931" spans="1:33" s="17" customFormat="1" x14ac:dyDescent="0.2">
      <c r="A1931" s="4"/>
      <c r="B1931" s="49" t="s">
        <v>1261</v>
      </c>
      <c r="C1931" s="36"/>
      <c r="D1931" s="45"/>
      <c r="E1931" s="85"/>
      <c r="F1931" s="30"/>
      <c r="G1931" s="29"/>
      <c r="H1931" s="15"/>
    </row>
    <row r="1932" spans="1:33" x14ac:dyDescent="0.2">
      <c r="B1932" s="48"/>
      <c r="C1932" s="60" t="s">
        <v>1262</v>
      </c>
      <c r="D1932" s="44"/>
      <c r="E1932" s="86" t="s">
        <v>1034</v>
      </c>
      <c r="F1932" s="27"/>
      <c r="G1932" s="26"/>
      <c r="H1932" s="21" t="b">
        <f>IF(D1935="x",H$2,H$1)</f>
        <v>0</v>
      </c>
      <c r="I1932" s="4"/>
      <c r="J1932" s="4"/>
      <c r="K1932" s="4"/>
      <c r="L1932" s="4"/>
      <c r="M1932" s="4"/>
      <c r="N1932" s="4"/>
      <c r="O1932" s="4"/>
      <c r="P1932" s="4"/>
      <c r="Q1932" s="4"/>
      <c r="R1932" s="4"/>
      <c r="S1932" s="4"/>
      <c r="T1932" s="4"/>
      <c r="U1932" s="4"/>
      <c r="V1932" s="4"/>
      <c r="W1932" s="4"/>
      <c r="X1932" s="4"/>
      <c r="Y1932" s="4"/>
      <c r="Z1932" s="4"/>
      <c r="AA1932" s="4"/>
      <c r="AB1932" s="4"/>
      <c r="AC1932" s="4"/>
      <c r="AD1932" s="4"/>
      <c r="AE1932" s="4"/>
      <c r="AF1932" s="4"/>
      <c r="AG1932" s="4"/>
    </row>
    <row r="1933" spans="1:33" x14ac:dyDescent="0.2">
      <c r="B1933" s="48"/>
      <c r="C1933" s="61" t="s">
        <v>1263</v>
      </c>
      <c r="D1933" s="44"/>
      <c r="E1933" s="86" t="s">
        <v>1035</v>
      </c>
      <c r="F1933" s="22" t="str">
        <f>IF(H1934=1,IF(H1932=H$2,H1932,""),"")</f>
        <v/>
      </c>
      <c r="G1933" s="26"/>
      <c r="H1933" s="21" t="str">
        <f t="shared" ref="H1933" si="638">IF(E$2117="comprobar",COUNTIF(D1932:D1936,"x"),"")</f>
        <v/>
      </c>
      <c r="I1933" s="4"/>
      <c r="J1933" s="4"/>
      <c r="K1933" s="4"/>
      <c r="L1933" s="4"/>
      <c r="M1933" s="4"/>
      <c r="N1933" s="4"/>
      <c r="O1933" s="4"/>
      <c r="P1933" s="4"/>
      <c r="Q1933" s="4"/>
      <c r="R1933" s="4"/>
      <c r="S1933" s="4"/>
      <c r="T1933" s="4"/>
      <c r="U1933" s="4"/>
      <c r="V1933" s="4"/>
      <c r="W1933" s="4"/>
      <c r="X1933" s="4"/>
      <c r="Y1933" s="4"/>
      <c r="Z1933" s="4"/>
      <c r="AA1933" s="4"/>
      <c r="AB1933" s="4"/>
      <c r="AC1933" s="4"/>
      <c r="AD1933" s="4"/>
      <c r="AE1933" s="4"/>
      <c r="AF1933" s="4"/>
      <c r="AG1933" s="4"/>
    </row>
    <row r="1934" spans="1:33" x14ac:dyDescent="0.2">
      <c r="B1934" s="52"/>
      <c r="C1934" s="61" t="s">
        <v>1264</v>
      </c>
      <c r="D1934" s="44"/>
      <c r="E1934" s="86" t="s">
        <v>1036</v>
      </c>
      <c r="F1934" s="23" t="str">
        <f>IF(H1934=-0.33,IF(H1932=H$1,H1932,""),"")</f>
        <v/>
      </c>
      <c r="G1934" s="26"/>
      <c r="H1934" s="24">
        <f t="shared" ref="H1934" si="639">IF(H1933=1,IF(H1932=H$2,1,-0.33),0)</f>
        <v>0</v>
      </c>
      <c r="I1934" s="4"/>
      <c r="J1934" s="4"/>
      <c r="K1934" s="4"/>
      <c r="L1934" s="4"/>
      <c r="M1934" s="4"/>
      <c r="N1934" s="4"/>
      <c r="O1934" s="4"/>
      <c r="P1934" s="4"/>
      <c r="Q1934" s="4"/>
      <c r="R1934" s="4"/>
      <c r="S1934" s="4"/>
      <c r="T1934" s="4"/>
      <c r="U1934" s="4"/>
      <c r="V1934" s="4"/>
      <c r="W1934" s="4"/>
      <c r="X1934" s="4"/>
      <c r="Y1934" s="4"/>
      <c r="Z1934" s="4"/>
      <c r="AA1934" s="4"/>
      <c r="AB1934" s="4"/>
      <c r="AC1934" s="4"/>
      <c r="AD1934" s="4"/>
      <c r="AE1934" s="4"/>
      <c r="AF1934" s="4"/>
      <c r="AG1934" s="4"/>
    </row>
    <row r="1935" spans="1:33" x14ac:dyDescent="0.2">
      <c r="B1935" s="48"/>
      <c r="C1935" s="61" t="s">
        <v>1265</v>
      </c>
      <c r="D1935" s="44"/>
      <c r="E1935" s="86" t="s">
        <v>1037</v>
      </c>
      <c r="F1935" s="28"/>
      <c r="G1935" s="26"/>
      <c r="H1935" s="24"/>
      <c r="I1935" s="4"/>
      <c r="J1935" s="4"/>
      <c r="K1935" s="4"/>
      <c r="L1935" s="4"/>
      <c r="M1935" s="4"/>
      <c r="N1935" s="4"/>
      <c r="O1935" s="4"/>
      <c r="P1935" s="4"/>
      <c r="Q1935" s="4"/>
      <c r="R1935" s="4"/>
      <c r="S1935" s="4"/>
      <c r="T1935" s="4"/>
      <c r="U1935" s="4"/>
      <c r="V1935" s="4"/>
      <c r="W1935" s="4"/>
      <c r="X1935" s="4"/>
      <c r="Y1935" s="4"/>
      <c r="Z1935" s="4"/>
      <c r="AA1935" s="4"/>
      <c r="AB1935" s="4"/>
      <c r="AC1935" s="4"/>
      <c r="AD1935" s="4"/>
      <c r="AE1935" s="4"/>
      <c r="AF1935" s="4"/>
      <c r="AG1935" s="4"/>
    </row>
    <row r="1936" spans="1:33" x14ac:dyDescent="0.2">
      <c r="B1936" s="48"/>
      <c r="C1936" s="39"/>
      <c r="D1936" s="44"/>
      <c r="E1936" s="86" t="s">
        <v>1038</v>
      </c>
      <c r="F1936" s="28"/>
      <c r="G1936" s="19"/>
      <c r="H1936" s="24"/>
      <c r="I1936" s="4"/>
      <c r="J1936" s="4"/>
      <c r="K1936" s="4"/>
      <c r="L1936" s="4"/>
      <c r="M1936" s="4"/>
      <c r="N1936" s="4"/>
      <c r="O1936" s="4"/>
      <c r="P1936" s="4"/>
      <c r="Q1936" s="4"/>
      <c r="R1936" s="4"/>
      <c r="S1936" s="4"/>
      <c r="T1936" s="4"/>
      <c r="U1936" s="4"/>
      <c r="V1936" s="4"/>
      <c r="W1936" s="4"/>
      <c r="X1936" s="4"/>
      <c r="Y1936" s="4"/>
      <c r="Z1936" s="4"/>
      <c r="AA1936" s="4"/>
      <c r="AB1936" s="4"/>
      <c r="AC1936" s="4"/>
      <c r="AD1936" s="4"/>
      <c r="AE1936" s="4"/>
      <c r="AF1936" s="4"/>
      <c r="AG1936" s="4"/>
    </row>
    <row r="1937" spans="1:33" s="17" customFormat="1" x14ac:dyDescent="0.2">
      <c r="A1937" s="4"/>
      <c r="B1937" s="49" t="s">
        <v>1266</v>
      </c>
      <c r="C1937" s="36"/>
      <c r="D1937" s="45"/>
      <c r="E1937" s="85"/>
      <c r="F1937" s="30"/>
      <c r="G1937" s="29"/>
      <c r="H1937" s="15"/>
    </row>
    <row r="1938" spans="1:33" x14ac:dyDescent="0.2">
      <c r="B1938" s="48"/>
      <c r="C1938" s="60" t="s">
        <v>1267</v>
      </c>
      <c r="D1938" s="44"/>
      <c r="E1938" s="86" t="s">
        <v>1034</v>
      </c>
      <c r="F1938" s="27"/>
      <c r="G1938" s="26"/>
      <c r="H1938" s="21" t="b">
        <f>IF(D1941="x",H$2,H$1)</f>
        <v>0</v>
      </c>
      <c r="I1938" s="4"/>
      <c r="J1938" s="4"/>
      <c r="K1938" s="4"/>
      <c r="L1938" s="4"/>
      <c r="M1938" s="4"/>
      <c r="N1938" s="4"/>
      <c r="O1938" s="4"/>
      <c r="P1938" s="4"/>
      <c r="Q1938" s="4"/>
      <c r="R1938" s="4"/>
      <c r="S1938" s="4"/>
      <c r="T1938" s="4"/>
      <c r="U1938" s="4"/>
      <c r="V1938" s="4"/>
      <c r="W1938" s="4"/>
      <c r="X1938" s="4"/>
      <c r="Y1938" s="4"/>
      <c r="Z1938" s="4"/>
      <c r="AA1938" s="4"/>
      <c r="AB1938" s="4"/>
      <c r="AC1938" s="4"/>
      <c r="AD1938" s="4"/>
      <c r="AE1938" s="4"/>
      <c r="AF1938" s="4"/>
      <c r="AG1938" s="4"/>
    </row>
    <row r="1939" spans="1:33" ht="32" x14ac:dyDescent="0.2">
      <c r="B1939" s="48"/>
      <c r="C1939" s="61" t="s">
        <v>1268</v>
      </c>
      <c r="D1939" s="44"/>
      <c r="E1939" s="86" t="s">
        <v>1035</v>
      </c>
      <c r="F1939" s="22" t="str">
        <f>IF(H1940=1,IF(H1938=H$2,H1938,""),"")</f>
        <v/>
      </c>
      <c r="G1939" s="26"/>
      <c r="H1939" s="21" t="str">
        <f t="shared" ref="H1939" si="640">IF(E$2117="comprobar",COUNTIF(D1938:D1942,"x"),"")</f>
        <v/>
      </c>
      <c r="I1939" s="4"/>
      <c r="J1939" s="4"/>
      <c r="K1939" s="4"/>
      <c r="L1939" s="4"/>
      <c r="M1939" s="4"/>
      <c r="N1939" s="4"/>
      <c r="O1939" s="4"/>
      <c r="P1939" s="4"/>
      <c r="Q1939" s="4"/>
      <c r="R1939" s="4"/>
      <c r="S1939" s="4"/>
      <c r="T1939" s="4"/>
      <c r="U1939" s="4"/>
      <c r="V1939" s="4"/>
      <c r="W1939" s="4"/>
      <c r="X1939" s="4"/>
      <c r="Y1939" s="4"/>
      <c r="Z1939" s="4"/>
      <c r="AA1939" s="4"/>
      <c r="AB1939" s="4"/>
      <c r="AC1939" s="4"/>
      <c r="AD1939" s="4"/>
      <c r="AE1939" s="4"/>
      <c r="AF1939" s="4"/>
      <c r="AG1939" s="4"/>
    </row>
    <row r="1940" spans="1:33" x14ac:dyDescent="0.2">
      <c r="B1940" s="52"/>
      <c r="C1940" s="61" t="s">
        <v>1269</v>
      </c>
      <c r="D1940" s="44"/>
      <c r="E1940" s="86" t="s">
        <v>1036</v>
      </c>
      <c r="F1940" s="23" t="str">
        <f>IF(H1940=-0.33,IF(H1938=H$1,H1938,""),"")</f>
        <v/>
      </c>
      <c r="G1940" s="26"/>
      <c r="H1940" s="24">
        <f t="shared" ref="H1940" si="641">IF(H1939=1,IF(H1938=H$2,1,-0.33),0)</f>
        <v>0</v>
      </c>
      <c r="I1940" s="4"/>
      <c r="J1940" s="4"/>
      <c r="K1940" s="4"/>
      <c r="L1940" s="4"/>
      <c r="M1940" s="4"/>
      <c r="N1940" s="4"/>
      <c r="O1940" s="4"/>
      <c r="P1940" s="4"/>
      <c r="Q1940" s="4"/>
      <c r="R1940" s="4"/>
      <c r="S1940" s="4"/>
      <c r="T1940" s="4"/>
      <c r="U1940" s="4"/>
      <c r="V1940" s="4"/>
      <c r="W1940" s="4"/>
      <c r="X1940" s="4"/>
      <c r="Y1940" s="4"/>
      <c r="Z1940" s="4"/>
      <c r="AA1940" s="4"/>
      <c r="AB1940" s="4"/>
      <c r="AC1940" s="4"/>
      <c r="AD1940" s="4"/>
      <c r="AE1940" s="4"/>
      <c r="AF1940" s="4"/>
      <c r="AG1940" s="4"/>
    </row>
    <row r="1941" spans="1:33" x14ac:dyDescent="0.2">
      <c r="B1941" s="48"/>
      <c r="C1941" s="61" t="s">
        <v>1240</v>
      </c>
      <c r="D1941" s="44"/>
      <c r="E1941" s="86" t="s">
        <v>1037</v>
      </c>
      <c r="F1941" s="20"/>
      <c r="G1941" s="26"/>
      <c r="H1941" s="24"/>
      <c r="I1941" s="4"/>
      <c r="J1941" s="4"/>
      <c r="K1941" s="4"/>
      <c r="L1941" s="4"/>
      <c r="M1941" s="4"/>
      <c r="N1941" s="4"/>
      <c r="O1941" s="4"/>
      <c r="P1941" s="4"/>
      <c r="Q1941" s="4"/>
      <c r="R1941" s="4"/>
      <c r="S1941" s="4"/>
      <c r="T1941" s="4"/>
      <c r="U1941" s="4"/>
      <c r="V1941" s="4"/>
      <c r="W1941" s="4"/>
      <c r="X1941" s="4"/>
      <c r="Y1941" s="4"/>
      <c r="Z1941" s="4"/>
      <c r="AA1941" s="4"/>
      <c r="AB1941" s="4"/>
      <c r="AC1941" s="4"/>
      <c r="AD1941" s="4"/>
      <c r="AE1941" s="4"/>
      <c r="AF1941" s="4"/>
      <c r="AG1941" s="4"/>
    </row>
    <row r="1942" spans="1:33" x14ac:dyDescent="0.2">
      <c r="B1942" s="48"/>
      <c r="C1942" s="39"/>
      <c r="D1942" s="44"/>
      <c r="E1942" s="86" t="s">
        <v>1038</v>
      </c>
      <c r="F1942" s="28"/>
      <c r="G1942" s="19"/>
      <c r="H1942" s="24"/>
      <c r="I1942" s="4"/>
      <c r="J1942" s="4"/>
      <c r="K1942" s="4"/>
      <c r="L1942" s="4"/>
      <c r="M1942" s="4"/>
      <c r="N1942" s="4"/>
      <c r="O1942" s="4"/>
      <c r="P1942" s="4"/>
      <c r="Q1942" s="4"/>
      <c r="R1942" s="4"/>
      <c r="S1942" s="4"/>
      <c r="T1942" s="4"/>
      <c r="U1942" s="4"/>
      <c r="V1942" s="4"/>
      <c r="W1942" s="4"/>
      <c r="X1942" s="4"/>
      <c r="Y1942" s="4"/>
      <c r="Z1942" s="4"/>
      <c r="AA1942" s="4"/>
      <c r="AB1942" s="4"/>
      <c r="AC1942" s="4"/>
      <c r="AD1942" s="4"/>
      <c r="AE1942" s="4"/>
      <c r="AF1942" s="4"/>
      <c r="AG1942" s="4"/>
    </row>
    <row r="1943" spans="1:33" s="17" customFormat="1" x14ac:dyDescent="0.2">
      <c r="A1943" s="4"/>
      <c r="B1943" s="49" t="s">
        <v>1270</v>
      </c>
      <c r="C1943" s="36"/>
      <c r="D1943" s="45"/>
      <c r="E1943" s="85"/>
      <c r="F1943" s="30"/>
      <c r="G1943" s="29"/>
      <c r="H1943" s="15"/>
    </row>
    <row r="1944" spans="1:33" x14ac:dyDescent="0.2">
      <c r="B1944" s="48"/>
      <c r="C1944" s="60" t="s">
        <v>1271</v>
      </c>
      <c r="D1944" s="44"/>
      <c r="E1944" s="86" t="s">
        <v>1034</v>
      </c>
      <c r="F1944" s="27"/>
      <c r="G1944" s="26"/>
      <c r="H1944" s="21" t="b">
        <f>IF(D1945="x",H$2,H$1)</f>
        <v>0</v>
      </c>
      <c r="I1944" s="4"/>
      <c r="J1944" s="4"/>
      <c r="K1944" s="4"/>
      <c r="L1944" s="4"/>
      <c r="M1944" s="4"/>
      <c r="N1944" s="4"/>
      <c r="O1944" s="4"/>
      <c r="P1944" s="4"/>
      <c r="Q1944" s="4"/>
      <c r="R1944" s="4"/>
      <c r="S1944" s="4"/>
      <c r="T1944" s="4"/>
      <c r="U1944" s="4"/>
      <c r="V1944" s="4"/>
      <c r="W1944" s="4"/>
      <c r="X1944" s="4"/>
      <c r="Y1944" s="4"/>
      <c r="Z1944" s="4"/>
      <c r="AA1944" s="4"/>
      <c r="AB1944" s="4"/>
      <c r="AC1944" s="4"/>
      <c r="AD1944" s="4"/>
      <c r="AE1944" s="4"/>
      <c r="AF1944" s="4"/>
      <c r="AG1944" s="4"/>
    </row>
    <row r="1945" spans="1:33" x14ac:dyDescent="0.2">
      <c r="B1945" s="48"/>
      <c r="C1945" s="61" t="s">
        <v>1272</v>
      </c>
      <c r="D1945" s="44"/>
      <c r="E1945" s="86" t="s">
        <v>1035</v>
      </c>
      <c r="F1945" s="22" t="str">
        <f>IF(H1946=1,IF(H1944=H$2,H1944,""),"")</f>
        <v/>
      </c>
      <c r="G1945" s="26"/>
      <c r="H1945" s="21" t="str">
        <f t="shared" ref="H1945" si="642">IF(E$2117="comprobar",COUNTIF(D1944:D1948,"x"),"")</f>
        <v/>
      </c>
      <c r="I1945" s="4"/>
      <c r="J1945" s="4"/>
      <c r="K1945" s="4"/>
      <c r="L1945" s="4"/>
      <c r="M1945" s="4"/>
      <c r="N1945" s="4"/>
      <c r="O1945" s="4"/>
      <c r="P1945" s="4"/>
      <c r="Q1945" s="4"/>
      <c r="R1945" s="4"/>
      <c r="S1945" s="4"/>
      <c r="T1945" s="4"/>
      <c r="U1945" s="4"/>
      <c r="V1945" s="4"/>
      <c r="W1945" s="4"/>
      <c r="X1945" s="4"/>
      <c r="Y1945" s="4"/>
      <c r="Z1945" s="4"/>
      <c r="AA1945" s="4"/>
      <c r="AB1945" s="4"/>
      <c r="AC1945" s="4"/>
      <c r="AD1945" s="4"/>
      <c r="AE1945" s="4"/>
      <c r="AF1945" s="4"/>
      <c r="AG1945" s="4"/>
    </row>
    <row r="1946" spans="1:33" x14ac:dyDescent="0.2">
      <c r="B1946" s="48"/>
      <c r="C1946" s="61" t="s">
        <v>1260</v>
      </c>
      <c r="D1946" s="44"/>
      <c r="E1946" s="86" t="s">
        <v>1036</v>
      </c>
      <c r="F1946" s="23" t="str">
        <f>IF(H1946=-0.33,IF(H1944=H$1,H1944,""),"")</f>
        <v/>
      </c>
      <c r="G1946" s="26"/>
      <c r="H1946" s="24">
        <f t="shared" ref="H1946" si="643">IF(H1945=1,IF(H1944=H$2,1,-0.33),0)</f>
        <v>0</v>
      </c>
      <c r="I1946" s="4"/>
      <c r="J1946" s="4"/>
      <c r="K1946" s="4"/>
      <c r="L1946" s="4"/>
      <c r="M1946" s="4"/>
      <c r="N1946" s="4"/>
      <c r="O1946" s="4"/>
      <c r="P1946" s="4"/>
      <c r="Q1946" s="4"/>
      <c r="R1946" s="4"/>
      <c r="S1946" s="4"/>
      <c r="T1946" s="4"/>
      <c r="U1946" s="4"/>
      <c r="V1946" s="4"/>
      <c r="W1946" s="4"/>
      <c r="X1946" s="4"/>
      <c r="Y1946" s="4"/>
      <c r="Z1946" s="4"/>
      <c r="AA1946" s="4"/>
      <c r="AB1946" s="4"/>
      <c r="AC1946" s="4"/>
      <c r="AD1946" s="4"/>
      <c r="AE1946" s="4"/>
      <c r="AF1946" s="4"/>
      <c r="AG1946" s="4"/>
    </row>
    <row r="1947" spans="1:33" x14ac:dyDescent="0.2">
      <c r="B1947" s="48"/>
      <c r="C1947" s="61" t="s">
        <v>605</v>
      </c>
      <c r="D1947" s="44"/>
      <c r="E1947" s="86" t="s">
        <v>1037</v>
      </c>
      <c r="F1947" s="28"/>
      <c r="G1947" s="26"/>
      <c r="H1947" s="24"/>
      <c r="I1947" s="4"/>
      <c r="J1947" s="4"/>
      <c r="K1947" s="4"/>
      <c r="L1947" s="4"/>
      <c r="M1947" s="4"/>
      <c r="N1947" s="4"/>
      <c r="O1947" s="4"/>
      <c r="P1947" s="4"/>
      <c r="Q1947" s="4"/>
      <c r="R1947" s="4"/>
      <c r="S1947" s="4"/>
      <c r="T1947" s="4"/>
      <c r="U1947" s="4"/>
      <c r="V1947" s="4"/>
      <c r="W1947" s="4"/>
      <c r="X1947" s="4"/>
      <c r="Y1947" s="4"/>
      <c r="Z1947" s="4"/>
      <c r="AA1947" s="4"/>
      <c r="AB1947" s="4"/>
      <c r="AC1947" s="4"/>
      <c r="AD1947" s="4"/>
      <c r="AE1947" s="4"/>
      <c r="AF1947" s="4"/>
      <c r="AG1947" s="4"/>
    </row>
    <row r="1948" spans="1:33" x14ac:dyDescent="0.2">
      <c r="B1948" s="48"/>
      <c r="C1948" s="39"/>
      <c r="D1948" s="44"/>
      <c r="E1948" s="86" t="s">
        <v>1038</v>
      </c>
      <c r="F1948" s="28"/>
      <c r="G1948" s="19"/>
      <c r="H1948" s="24"/>
      <c r="I1948" s="4"/>
      <c r="J1948" s="4"/>
      <c r="K1948" s="4"/>
      <c r="L1948" s="4"/>
      <c r="M1948" s="4"/>
      <c r="N1948" s="4"/>
      <c r="O1948" s="4"/>
      <c r="P1948" s="4"/>
      <c r="Q1948" s="4"/>
      <c r="R1948" s="4"/>
      <c r="S1948" s="4"/>
      <c r="T1948" s="4"/>
      <c r="U1948" s="4"/>
      <c r="V1948" s="4"/>
      <c r="W1948" s="4"/>
      <c r="X1948" s="4"/>
      <c r="Y1948" s="4"/>
      <c r="Z1948" s="4"/>
      <c r="AA1948" s="4"/>
      <c r="AB1948" s="4"/>
      <c r="AC1948" s="4"/>
      <c r="AD1948" s="4"/>
      <c r="AE1948" s="4"/>
      <c r="AF1948" s="4"/>
      <c r="AG1948" s="4"/>
    </row>
    <row r="1949" spans="1:33" s="17" customFormat="1" x14ac:dyDescent="0.2">
      <c r="A1949" s="4"/>
      <c r="B1949" s="49" t="s">
        <v>1273</v>
      </c>
      <c r="C1949" s="36"/>
      <c r="D1949" s="45"/>
      <c r="E1949" s="85"/>
      <c r="F1949" s="16"/>
      <c r="G1949" s="29"/>
      <c r="H1949" s="15"/>
    </row>
    <row r="1950" spans="1:33" x14ac:dyDescent="0.2">
      <c r="B1950" s="48"/>
      <c r="C1950" s="60" t="s">
        <v>1274</v>
      </c>
      <c r="D1950" s="44"/>
      <c r="E1950" s="86" t="s">
        <v>1034</v>
      </c>
      <c r="F1950" s="20"/>
      <c r="G1950" s="26"/>
      <c r="H1950" s="21" t="b">
        <f>IF(D1950="x",H$2,H$1)</f>
        <v>0</v>
      </c>
      <c r="I1950" s="4"/>
      <c r="J1950" s="4"/>
      <c r="K1950" s="4"/>
      <c r="L1950" s="4"/>
      <c r="M1950" s="4"/>
      <c r="N1950" s="4"/>
      <c r="O1950" s="4"/>
      <c r="P1950" s="4"/>
      <c r="Q1950" s="4"/>
      <c r="R1950" s="4"/>
      <c r="S1950" s="4"/>
      <c r="T1950" s="4"/>
      <c r="U1950" s="4"/>
      <c r="V1950" s="4"/>
      <c r="W1950" s="4"/>
      <c r="X1950" s="4"/>
      <c r="Y1950" s="4"/>
      <c r="Z1950" s="4"/>
      <c r="AA1950" s="4"/>
      <c r="AB1950" s="4"/>
      <c r="AC1950" s="4"/>
      <c r="AD1950" s="4"/>
      <c r="AE1950" s="4"/>
      <c r="AF1950" s="4"/>
      <c r="AG1950" s="4"/>
    </row>
    <row r="1951" spans="1:33" x14ac:dyDescent="0.2">
      <c r="B1951" s="52"/>
      <c r="C1951" s="61" t="s">
        <v>1275</v>
      </c>
      <c r="D1951" s="44"/>
      <c r="E1951" s="86" t="s">
        <v>1035</v>
      </c>
      <c r="F1951" s="22" t="str">
        <f>IF(H1952=1,IF(H1950=H$2,H1950,""),"")</f>
        <v/>
      </c>
      <c r="G1951" s="26"/>
      <c r="H1951" s="21" t="str">
        <f t="shared" ref="H1951" si="644">IF(E$2117="comprobar",COUNTIF(D1950:D1954,"x"),"")</f>
        <v/>
      </c>
      <c r="I1951" s="4"/>
      <c r="J1951" s="4"/>
      <c r="K1951" s="4"/>
      <c r="L1951" s="4"/>
      <c r="M1951" s="4"/>
      <c r="N1951" s="4"/>
      <c r="O1951" s="4"/>
      <c r="P1951" s="4"/>
      <c r="Q1951" s="4"/>
      <c r="R1951" s="4"/>
      <c r="S1951" s="4"/>
      <c r="T1951" s="4"/>
      <c r="U1951" s="4"/>
      <c r="V1951" s="4"/>
      <c r="W1951" s="4"/>
      <c r="X1951" s="4"/>
      <c r="Y1951" s="4"/>
      <c r="Z1951" s="4"/>
      <c r="AA1951" s="4"/>
      <c r="AB1951" s="4"/>
      <c r="AC1951" s="4"/>
      <c r="AD1951" s="4"/>
      <c r="AE1951" s="4"/>
      <c r="AF1951" s="4"/>
      <c r="AG1951" s="4"/>
    </row>
    <row r="1952" spans="1:33" ht="32" x14ac:dyDescent="0.2">
      <c r="B1952" s="52"/>
      <c r="C1952" s="61" t="s">
        <v>1276</v>
      </c>
      <c r="D1952" s="44"/>
      <c r="E1952" s="86" t="s">
        <v>1036</v>
      </c>
      <c r="F1952" s="23" t="str">
        <f>IF(H1952=-0.33,IF(H1950=H$1,H1950,""),"")</f>
        <v/>
      </c>
      <c r="G1952" s="26"/>
      <c r="H1952" s="24">
        <f t="shared" ref="H1952" si="645">IF(H1951=1,IF(H1950=H$2,1,-0.33),0)</f>
        <v>0</v>
      </c>
      <c r="I1952" s="4"/>
      <c r="J1952" s="4"/>
      <c r="K1952" s="4"/>
      <c r="L1952" s="4"/>
      <c r="M1952" s="4"/>
      <c r="N1952" s="4"/>
      <c r="O1952" s="4"/>
      <c r="P1952" s="4"/>
      <c r="Q1952" s="4"/>
      <c r="R1952" s="4"/>
      <c r="S1952" s="4"/>
      <c r="T1952" s="4"/>
      <c r="U1952" s="4"/>
      <c r="V1952" s="4"/>
      <c r="W1952" s="4"/>
      <c r="X1952" s="4"/>
      <c r="Y1952" s="4"/>
      <c r="Z1952" s="4"/>
      <c r="AA1952" s="4"/>
      <c r="AB1952" s="4"/>
      <c r="AC1952" s="4"/>
      <c r="AD1952" s="4"/>
      <c r="AE1952" s="4"/>
      <c r="AF1952" s="4"/>
      <c r="AG1952" s="4"/>
    </row>
    <row r="1953" spans="1:33" x14ac:dyDescent="0.2">
      <c r="B1953" s="48"/>
      <c r="C1953" s="61" t="s">
        <v>1277</v>
      </c>
      <c r="D1953" s="44"/>
      <c r="E1953" s="86" t="s">
        <v>1037</v>
      </c>
      <c r="F1953" s="20"/>
      <c r="G1953" s="26"/>
      <c r="H1953" s="24"/>
      <c r="I1953" s="4"/>
      <c r="J1953" s="4"/>
      <c r="K1953" s="4"/>
      <c r="L1953" s="4"/>
      <c r="M1953" s="4"/>
      <c r="N1953" s="4"/>
      <c r="O1953" s="4"/>
      <c r="P1953" s="4"/>
      <c r="Q1953" s="4"/>
      <c r="R1953" s="4"/>
      <c r="S1953" s="4"/>
      <c r="T1953" s="4"/>
      <c r="U1953" s="4"/>
      <c r="V1953" s="4"/>
      <c r="W1953" s="4"/>
      <c r="X1953" s="4"/>
      <c r="Y1953" s="4"/>
      <c r="Z1953" s="4"/>
      <c r="AA1953" s="4"/>
      <c r="AB1953" s="4"/>
      <c r="AC1953" s="4"/>
      <c r="AD1953" s="4"/>
      <c r="AE1953" s="4"/>
      <c r="AF1953" s="4"/>
      <c r="AG1953" s="4"/>
    </row>
    <row r="1954" spans="1:33" x14ac:dyDescent="0.2">
      <c r="B1954" s="48"/>
      <c r="C1954" s="39"/>
      <c r="D1954" s="44"/>
      <c r="E1954" s="86" t="s">
        <v>1038</v>
      </c>
      <c r="F1954" s="20"/>
      <c r="G1954" s="19"/>
      <c r="H1954" s="24"/>
      <c r="I1954" s="4"/>
      <c r="J1954" s="4"/>
      <c r="K1954" s="4"/>
      <c r="L1954" s="4"/>
      <c r="M1954" s="4"/>
      <c r="N1954" s="4"/>
      <c r="O1954" s="4"/>
      <c r="P1954" s="4"/>
      <c r="Q1954" s="4"/>
      <c r="R1954" s="4"/>
      <c r="S1954" s="4"/>
      <c r="T1954" s="4"/>
      <c r="U1954" s="4"/>
      <c r="V1954" s="4"/>
      <c r="W1954" s="4"/>
      <c r="X1954" s="4"/>
      <c r="Y1954" s="4"/>
      <c r="Z1954" s="4"/>
      <c r="AA1954" s="4"/>
      <c r="AB1954" s="4"/>
      <c r="AC1954" s="4"/>
      <c r="AD1954" s="4"/>
      <c r="AE1954" s="4"/>
      <c r="AF1954" s="4"/>
      <c r="AG1954" s="4"/>
    </row>
    <row r="1955" spans="1:33" s="17" customFormat="1" x14ac:dyDescent="0.2">
      <c r="A1955" s="4"/>
      <c r="B1955" s="49" t="s">
        <v>1278</v>
      </c>
      <c r="C1955" s="36"/>
      <c r="D1955" s="45"/>
      <c r="E1955" s="85"/>
      <c r="F1955" s="30"/>
      <c r="G1955" s="29"/>
      <c r="H1955" s="15"/>
    </row>
    <row r="1956" spans="1:33" x14ac:dyDescent="0.2">
      <c r="B1956" s="48"/>
      <c r="C1956" s="60" t="s">
        <v>1279</v>
      </c>
      <c r="D1956" s="44"/>
      <c r="E1956" s="86" t="s">
        <v>1034</v>
      </c>
      <c r="F1956" s="27"/>
      <c r="G1956" s="26"/>
      <c r="H1956" s="21" t="b">
        <f>IF(D1958="x",H$2,H$1)</f>
        <v>0</v>
      </c>
      <c r="I1956" s="4"/>
      <c r="J1956" s="4"/>
      <c r="K1956" s="4"/>
      <c r="L1956" s="4"/>
      <c r="M1956" s="4"/>
      <c r="N1956" s="4"/>
      <c r="O1956" s="4"/>
      <c r="P1956" s="4"/>
      <c r="Q1956" s="4"/>
      <c r="R1956" s="4"/>
      <c r="S1956" s="4"/>
      <c r="T1956" s="4"/>
      <c r="U1956" s="4"/>
      <c r="V1956" s="4"/>
      <c r="W1956" s="4"/>
      <c r="X1956" s="4"/>
      <c r="Y1956" s="4"/>
      <c r="Z1956" s="4"/>
      <c r="AA1956" s="4"/>
      <c r="AB1956" s="4"/>
      <c r="AC1956" s="4"/>
      <c r="AD1956" s="4"/>
      <c r="AE1956" s="4"/>
      <c r="AF1956" s="4"/>
      <c r="AG1956" s="4"/>
    </row>
    <row r="1957" spans="1:33" x14ac:dyDescent="0.2">
      <c r="B1957" s="48"/>
      <c r="C1957" s="61" t="s">
        <v>1280</v>
      </c>
      <c r="D1957" s="44"/>
      <c r="E1957" s="86" t="s">
        <v>1035</v>
      </c>
      <c r="F1957" s="22" t="str">
        <f>IF(H1958=1,IF(H1956=H$2,H1956,""),"")</f>
        <v/>
      </c>
      <c r="G1957" s="26"/>
      <c r="H1957" s="21" t="str">
        <f t="shared" ref="H1957" si="646">IF(E$2117="comprobar",COUNTIF(D1956:D1960,"x"),"")</f>
        <v/>
      </c>
      <c r="I1957" s="4"/>
      <c r="J1957" s="4"/>
      <c r="K1957" s="4"/>
      <c r="L1957" s="4"/>
      <c r="M1957" s="4"/>
      <c r="N1957" s="4"/>
      <c r="O1957" s="4"/>
      <c r="P1957" s="4"/>
      <c r="Q1957" s="4"/>
      <c r="R1957" s="4"/>
      <c r="S1957" s="4"/>
      <c r="T1957" s="4"/>
      <c r="U1957" s="4"/>
      <c r="V1957" s="4"/>
      <c r="W1957" s="4"/>
      <c r="X1957" s="4"/>
      <c r="Y1957" s="4"/>
      <c r="Z1957" s="4"/>
      <c r="AA1957" s="4"/>
      <c r="AB1957" s="4"/>
      <c r="AC1957" s="4"/>
      <c r="AD1957" s="4"/>
      <c r="AE1957" s="4"/>
      <c r="AF1957" s="4"/>
      <c r="AG1957" s="4"/>
    </row>
    <row r="1958" spans="1:33" x14ac:dyDescent="0.2">
      <c r="B1958" s="48"/>
      <c r="C1958" s="61" t="s">
        <v>1281</v>
      </c>
      <c r="D1958" s="44"/>
      <c r="E1958" s="86" t="s">
        <v>1036</v>
      </c>
      <c r="F1958" s="23" t="str">
        <f>IF(H1958=-0.33,IF(H1956=H$1,H1956,""),"")</f>
        <v/>
      </c>
      <c r="G1958" s="26"/>
      <c r="H1958" s="24">
        <f t="shared" ref="H1958" si="647">IF(H1957=1,IF(H1956=H$2,1,-0.33),0)</f>
        <v>0</v>
      </c>
      <c r="I1958" s="4"/>
      <c r="J1958" s="4"/>
      <c r="K1958" s="4"/>
      <c r="L1958" s="4"/>
      <c r="M1958" s="4"/>
      <c r="N1958" s="4"/>
      <c r="O1958" s="4"/>
      <c r="P1958" s="4"/>
      <c r="Q1958" s="4"/>
      <c r="R1958" s="4"/>
      <c r="S1958" s="4"/>
      <c r="T1958" s="4"/>
      <c r="U1958" s="4"/>
      <c r="V1958" s="4"/>
      <c r="W1958" s="4"/>
      <c r="X1958" s="4"/>
      <c r="Y1958" s="4"/>
      <c r="Z1958" s="4"/>
      <c r="AA1958" s="4"/>
      <c r="AB1958" s="4"/>
      <c r="AC1958" s="4"/>
      <c r="AD1958" s="4"/>
      <c r="AE1958" s="4"/>
      <c r="AF1958" s="4"/>
      <c r="AG1958" s="4"/>
    </row>
    <row r="1959" spans="1:33" x14ac:dyDescent="0.2">
      <c r="B1959" s="48"/>
      <c r="C1959" s="61" t="s">
        <v>1240</v>
      </c>
      <c r="D1959" s="44"/>
      <c r="E1959" s="86" t="s">
        <v>1037</v>
      </c>
      <c r="F1959" s="28"/>
      <c r="G1959" s="26"/>
      <c r="H1959" s="24"/>
      <c r="I1959" s="4"/>
      <c r="J1959" s="4"/>
      <c r="K1959" s="4"/>
      <c r="L1959" s="4"/>
      <c r="M1959" s="4"/>
      <c r="N1959" s="4"/>
      <c r="O1959" s="4"/>
      <c r="P1959" s="4"/>
      <c r="Q1959" s="4"/>
      <c r="R1959" s="4"/>
      <c r="S1959" s="4"/>
      <c r="T1959" s="4"/>
      <c r="U1959" s="4"/>
      <c r="V1959" s="4"/>
      <c r="W1959" s="4"/>
      <c r="X1959" s="4"/>
      <c r="Y1959" s="4"/>
      <c r="Z1959" s="4"/>
      <c r="AA1959" s="4"/>
      <c r="AB1959" s="4"/>
      <c r="AC1959" s="4"/>
      <c r="AD1959" s="4"/>
      <c r="AE1959" s="4"/>
      <c r="AF1959" s="4"/>
      <c r="AG1959" s="4"/>
    </row>
    <row r="1960" spans="1:33" x14ac:dyDescent="0.2">
      <c r="B1960" s="48"/>
      <c r="C1960" s="39"/>
      <c r="D1960" s="44"/>
      <c r="E1960" s="86" t="s">
        <v>1038</v>
      </c>
      <c r="F1960" s="28"/>
      <c r="G1960" s="19"/>
      <c r="H1960" s="24"/>
      <c r="I1960" s="4"/>
      <c r="J1960" s="4"/>
      <c r="K1960" s="4"/>
      <c r="L1960" s="4"/>
      <c r="M1960" s="4"/>
      <c r="N1960" s="4"/>
      <c r="O1960" s="4"/>
      <c r="P1960" s="4"/>
      <c r="Q1960" s="4"/>
      <c r="R1960" s="4"/>
      <c r="S1960" s="4"/>
      <c r="T1960" s="4"/>
      <c r="U1960" s="4"/>
      <c r="V1960" s="4"/>
      <c r="W1960" s="4"/>
      <c r="X1960" s="4"/>
      <c r="Y1960" s="4"/>
      <c r="Z1960" s="4"/>
      <c r="AA1960" s="4"/>
      <c r="AB1960" s="4"/>
      <c r="AC1960" s="4"/>
      <c r="AD1960" s="4"/>
      <c r="AE1960" s="4"/>
      <c r="AF1960" s="4"/>
      <c r="AG1960" s="4"/>
    </row>
    <row r="1961" spans="1:33" s="17" customFormat="1" x14ac:dyDescent="0.2">
      <c r="A1961" s="4"/>
      <c r="B1961" s="49" t="s">
        <v>1282</v>
      </c>
      <c r="C1961" s="36"/>
      <c r="D1961" s="45"/>
      <c r="E1961" s="85"/>
      <c r="F1961" s="30"/>
      <c r="G1961" s="29"/>
      <c r="H1961" s="15"/>
    </row>
    <row r="1962" spans="1:33" x14ac:dyDescent="0.2">
      <c r="B1962" s="48"/>
      <c r="C1962" s="60" t="s">
        <v>1283</v>
      </c>
      <c r="D1962" s="44"/>
      <c r="E1962" s="86" t="s">
        <v>1034</v>
      </c>
      <c r="F1962" s="28"/>
      <c r="G1962" s="26"/>
      <c r="H1962" s="21" t="b">
        <f>IF(D1965="x",H$2,H$1)</f>
        <v>0</v>
      </c>
      <c r="I1962" s="4"/>
      <c r="J1962" s="4"/>
      <c r="K1962" s="4"/>
      <c r="L1962" s="4"/>
      <c r="M1962" s="4"/>
      <c r="N1962" s="4"/>
      <c r="O1962" s="4"/>
      <c r="P1962" s="4"/>
      <c r="Q1962" s="4"/>
      <c r="R1962" s="4"/>
      <c r="S1962" s="4"/>
      <c r="T1962" s="4"/>
      <c r="U1962" s="4"/>
      <c r="V1962" s="4"/>
      <c r="W1962" s="4"/>
      <c r="X1962" s="4"/>
      <c r="Y1962" s="4"/>
      <c r="Z1962" s="4"/>
      <c r="AA1962" s="4"/>
      <c r="AB1962" s="4"/>
      <c r="AC1962" s="4"/>
      <c r="AD1962" s="4"/>
      <c r="AE1962" s="4"/>
      <c r="AF1962" s="4"/>
      <c r="AG1962" s="4"/>
    </row>
    <row r="1963" spans="1:33" x14ac:dyDescent="0.2">
      <c r="B1963" s="52"/>
      <c r="C1963" s="61" t="s">
        <v>1284</v>
      </c>
      <c r="D1963" s="44"/>
      <c r="E1963" s="86" t="s">
        <v>1035</v>
      </c>
      <c r="F1963" s="22" t="str">
        <f>IF(H1964=1,IF(H1962=H$2,H1962,""),"")</f>
        <v/>
      </c>
      <c r="G1963" s="26"/>
      <c r="H1963" s="21" t="str">
        <f t="shared" ref="H1963" si="648">IF(E$2117="comprobar",COUNTIF(D1962:D1966,"x"),"")</f>
        <v/>
      </c>
      <c r="I1963" s="4"/>
      <c r="J1963" s="4"/>
      <c r="K1963" s="4"/>
      <c r="L1963" s="4"/>
      <c r="M1963" s="4"/>
      <c r="N1963" s="4"/>
      <c r="O1963" s="4"/>
      <c r="P1963" s="4"/>
      <c r="Q1963" s="4"/>
      <c r="R1963" s="4"/>
      <c r="S1963" s="4"/>
      <c r="T1963" s="4"/>
      <c r="U1963" s="4"/>
      <c r="V1963" s="4"/>
      <c r="W1963" s="4"/>
      <c r="X1963" s="4"/>
      <c r="Y1963" s="4"/>
      <c r="Z1963" s="4"/>
      <c r="AA1963" s="4"/>
      <c r="AB1963" s="4"/>
      <c r="AC1963" s="4"/>
      <c r="AD1963" s="4"/>
      <c r="AE1963" s="4"/>
      <c r="AF1963" s="4"/>
      <c r="AG1963" s="4"/>
    </row>
    <row r="1964" spans="1:33" x14ac:dyDescent="0.2">
      <c r="B1964" s="48"/>
      <c r="C1964" s="61" t="s">
        <v>1285</v>
      </c>
      <c r="D1964" s="44"/>
      <c r="E1964" s="86" t="s">
        <v>1036</v>
      </c>
      <c r="F1964" s="23" t="str">
        <f>IF(H1964=-0.33,IF(H1962=H$1,H1962,""),"")</f>
        <v/>
      </c>
      <c r="G1964" s="26"/>
      <c r="H1964" s="24">
        <f t="shared" ref="H1964" si="649">IF(H1963=1,IF(H1962=H$2,1,-0.33),0)</f>
        <v>0</v>
      </c>
      <c r="I1964" s="4"/>
      <c r="J1964" s="4"/>
      <c r="K1964" s="4"/>
      <c r="L1964" s="4"/>
      <c r="M1964" s="4"/>
      <c r="N1964" s="4"/>
      <c r="O1964" s="4"/>
      <c r="P1964" s="4"/>
      <c r="Q1964" s="4"/>
      <c r="R1964" s="4"/>
      <c r="S1964" s="4"/>
      <c r="T1964" s="4"/>
      <c r="U1964" s="4"/>
      <c r="V1964" s="4"/>
      <c r="W1964" s="4"/>
      <c r="X1964" s="4"/>
      <c r="Y1964" s="4"/>
      <c r="Z1964" s="4"/>
      <c r="AA1964" s="4"/>
      <c r="AB1964" s="4"/>
      <c r="AC1964" s="4"/>
      <c r="AD1964" s="4"/>
      <c r="AE1964" s="4"/>
      <c r="AF1964" s="4"/>
      <c r="AG1964" s="4"/>
    </row>
    <row r="1965" spans="1:33" x14ac:dyDescent="0.2">
      <c r="B1965" s="48"/>
      <c r="C1965" s="61" t="s">
        <v>1286</v>
      </c>
      <c r="D1965" s="44"/>
      <c r="E1965" s="86" t="s">
        <v>1037</v>
      </c>
      <c r="F1965" s="28"/>
      <c r="G1965" s="26"/>
      <c r="H1965" s="24"/>
      <c r="I1965" s="4"/>
      <c r="J1965" s="4"/>
      <c r="K1965" s="4"/>
      <c r="L1965" s="4"/>
      <c r="M1965" s="4"/>
      <c r="N1965" s="4"/>
      <c r="O1965" s="4"/>
      <c r="P1965" s="4"/>
      <c r="Q1965" s="4"/>
      <c r="R1965" s="4"/>
      <c r="S1965" s="4"/>
      <c r="T1965" s="4"/>
      <c r="U1965" s="4"/>
      <c r="V1965" s="4"/>
      <c r="W1965" s="4"/>
      <c r="X1965" s="4"/>
      <c r="Y1965" s="4"/>
      <c r="Z1965" s="4"/>
      <c r="AA1965" s="4"/>
      <c r="AB1965" s="4"/>
      <c r="AC1965" s="4"/>
      <c r="AD1965" s="4"/>
      <c r="AE1965" s="4"/>
      <c r="AF1965" s="4"/>
      <c r="AG1965" s="4"/>
    </row>
    <row r="1966" spans="1:33" x14ac:dyDescent="0.2">
      <c r="B1966" s="48"/>
      <c r="C1966" s="39"/>
      <c r="D1966" s="44"/>
      <c r="E1966" s="86" t="s">
        <v>1038</v>
      </c>
      <c r="F1966" s="28"/>
      <c r="G1966" s="19"/>
      <c r="H1966" s="24"/>
      <c r="I1966" s="4"/>
      <c r="J1966" s="4"/>
      <c r="K1966" s="4"/>
      <c r="L1966" s="4"/>
      <c r="M1966" s="4"/>
      <c r="N1966" s="4"/>
      <c r="O1966" s="4"/>
      <c r="P1966" s="4"/>
      <c r="Q1966" s="4"/>
      <c r="R1966" s="4"/>
      <c r="S1966" s="4"/>
      <c r="T1966" s="4"/>
      <c r="U1966" s="4"/>
      <c r="V1966" s="4"/>
      <c r="W1966" s="4"/>
      <c r="X1966" s="4"/>
      <c r="Y1966" s="4"/>
      <c r="Z1966" s="4"/>
      <c r="AA1966" s="4"/>
      <c r="AB1966" s="4"/>
      <c r="AC1966" s="4"/>
      <c r="AD1966" s="4"/>
      <c r="AE1966" s="4"/>
      <c r="AF1966" s="4"/>
      <c r="AG1966" s="4"/>
    </row>
    <row r="1967" spans="1:33" s="17" customFormat="1" x14ac:dyDescent="0.2">
      <c r="A1967" s="4"/>
      <c r="B1967" s="49" t="s">
        <v>1287</v>
      </c>
      <c r="C1967" s="36"/>
      <c r="D1967" s="45"/>
      <c r="E1967" s="85"/>
      <c r="F1967" s="30"/>
      <c r="G1967" s="29"/>
      <c r="H1967" s="15"/>
    </row>
    <row r="1968" spans="1:33" x14ac:dyDescent="0.2">
      <c r="B1968" s="52"/>
      <c r="C1968" s="60" t="s">
        <v>1288</v>
      </c>
      <c r="D1968" s="44"/>
      <c r="E1968" s="86" t="s">
        <v>1034</v>
      </c>
      <c r="F1968" s="27"/>
      <c r="G1968" s="26"/>
      <c r="H1968" s="21" t="b">
        <f>IF(D1971="x",H$2,H$1)</f>
        <v>0</v>
      </c>
      <c r="I1968" s="4"/>
      <c r="J1968" s="4"/>
      <c r="K1968" s="4"/>
      <c r="L1968" s="4"/>
      <c r="M1968" s="4"/>
      <c r="N1968" s="4"/>
      <c r="O1968" s="4"/>
      <c r="P1968" s="4"/>
      <c r="Q1968" s="4"/>
      <c r="R1968" s="4"/>
      <c r="S1968" s="4"/>
      <c r="T1968" s="4"/>
      <c r="U1968" s="4"/>
      <c r="V1968" s="4"/>
      <c r="W1968" s="4"/>
      <c r="X1968" s="4"/>
      <c r="Y1968" s="4"/>
      <c r="Z1968" s="4"/>
      <c r="AA1968" s="4"/>
      <c r="AB1968" s="4"/>
      <c r="AC1968" s="4"/>
      <c r="AD1968" s="4"/>
      <c r="AE1968" s="4"/>
      <c r="AF1968" s="4"/>
      <c r="AG1968" s="4"/>
    </row>
    <row r="1969" spans="1:33" x14ac:dyDescent="0.2">
      <c r="B1969" s="48"/>
      <c r="C1969" s="61" t="s">
        <v>1289</v>
      </c>
      <c r="D1969" s="44"/>
      <c r="E1969" s="86" t="s">
        <v>1035</v>
      </c>
      <c r="F1969" s="22" t="str">
        <f>IF(H1970=1,IF(H1968=H$2,H1968,""),"")</f>
        <v/>
      </c>
      <c r="G1969" s="26"/>
      <c r="H1969" s="21" t="str">
        <f t="shared" ref="H1969" si="650">IF(E$2117="comprobar",COUNTIF(D1968:D1972,"x"),"")</f>
        <v/>
      </c>
      <c r="I1969" s="4"/>
      <c r="J1969" s="4"/>
      <c r="K1969" s="4"/>
      <c r="L1969" s="4"/>
      <c r="M1969" s="4"/>
      <c r="N1969" s="4"/>
      <c r="O1969" s="4"/>
      <c r="P1969" s="4"/>
      <c r="Q1969" s="4"/>
      <c r="R1969" s="4"/>
      <c r="S1969" s="4"/>
      <c r="T1969" s="4"/>
      <c r="U1969" s="4"/>
      <c r="V1969" s="4"/>
      <c r="W1969" s="4"/>
      <c r="X1969" s="4"/>
      <c r="Y1969" s="4"/>
      <c r="Z1969" s="4"/>
      <c r="AA1969" s="4"/>
      <c r="AB1969" s="4"/>
      <c r="AC1969" s="4"/>
      <c r="AD1969" s="4"/>
      <c r="AE1969" s="4"/>
      <c r="AF1969" s="4"/>
      <c r="AG1969" s="4"/>
    </row>
    <row r="1970" spans="1:33" x14ac:dyDescent="0.2">
      <c r="B1970" s="48"/>
      <c r="C1970" s="61" t="s">
        <v>1290</v>
      </c>
      <c r="D1970" s="44"/>
      <c r="E1970" s="86" t="s">
        <v>1036</v>
      </c>
      <c r="F1970" s="23" t="str">
        <f>IF(H1970=-0.33,IF(H1968=H$1,H1968,""),"")</f>
        <v/>
      </c>
      <c r="G1970" s="26"/>
      <c r="H1970" s="24">
        <f t="shared" ref="H1970" si="651">IF(H1969=1,IF(H1968=H$2,1,-0.33),0)</f>
        <v>0</v>
      </c>
      <c r="I1970" s="4"/>
      <c r="J1970" s="4"/>
      <c r="K1970" s="4"/>
      <c r="L1970" s="4"/>
      <c r="M1970" s="4"/>
      <c r="N1970" s="4"/>
      <c r="O1970" s="4"/>
      <c r="P1970" s="4"/>
      <c r="Q1970" s="4"/>
      <c r="R1970" s="4"/>
      <c r="S1970" s="4"/>
      <c r="T1970" s="4"/>
      <c r="U1970" s="4"/>
      <c r="V1970" s="4"/>
      <c r="W1970" s="4"/>
      <c r="X1970" s="4"/>
      <c r="Y1970" s="4"/>
      <c r="Z1970" s="4"/>
      <c r="AA1970" s="4"/>
      <c r="AB1970" s="4"/>
      <c r="AC1970" s="4"/>
      <c r="AD1970" s="4"/>
      <c r="AE1970" s="4"/>
      <c r="AF1970" s="4"/>
      <c r="AG1970" s="4"/>
    </row>
    <row r="1971" spans="1:33" x14ac:dyDescent="0.2">
      <c r="B1971" s="52"/>
      <c r="C1971" s="61" t="s">
        <v>1291</v>
      </c>
      <c r="D1971" s="44"/>
      <c r="E1971" s="86" t="s">
        <v>1037</v>
      </c>
      <c r="F1971" s="28"/>
      <c r="G1971" s="26"/>
      <c r="H1971" s="24"/>
      <c r="I1971" s="4"/>
      <c r="J1971" s="4"/>
      <c r="K1971" s="4"/>
      <c r="L1971" s="4"/>
      <c r="M1971" s="4"/>
      <c r="N1971" s="4"/>
      <c r="O1971" s="4"/>
      <c r="P1971" s="4"/>
      <c r="Q1971" s="4"/>
      <c r="R1971" s="4"/>
      <c r="S1971" s="4"/>
      <c r="T1971" s="4"/>
      <c r="U1971" s="4"/>
      <c r="V1971" s="4"/>
      <c r="W1971" s="4"/>
      <c r="X1971" s="4"/>
      <c r="Y1971" s="4"/>
      <c r="Z1971" s="4"/>
      <c r="AA1971" s="4"/>
      <c r="AB1971" s="4"/>
      <c r="AC1971" s="4"/>
      <c r="AD1971" s="4"/>
      <c r="AE1971" s="4"/>
      <c r="AF1971" s="4"/>
      <c r="AG1971" s="4"/>
    </row>
    <row r="1972" spans="1:33" x14ac:dyDescent="0.2">
      <c r="B1972" s="48"/>
      <c r="C1972" s="39"/>
      <c r="D1972" s="44"/>
      <c r="E1972" s="86" t="s">
        <v>1038</v>
      </c>
      <c r="F1972" s="28"/>
      <c r="G1972" s="19"/>
      <c r="H1972" s="24"/>
      <c r="I1972" s="4"/>
      <c r="J1972" s="4"/>
      <c r="K1972" s="4"/>
      <c r="L1972" s="4"/>
      <c r="M1972" s="4"/>
      <c r="N1972" s="4"/>
      <c r="O1972" s="4"/>
      <c r="P1972" s="4"/>
      <c r="Q1972" s="4"/>
      <c r="R1972" s="4"/>
      <c r="S1972" s="4"/>
      <c r="T1972" s="4"/>
      <c r="U1972" s="4"/>
      <c r="V1972" s="4"/>
      <c r="W1972" s="4"/>
      <c r="X1972" s="4"/>
      <c r="Y1972" s="4"/>
      <c r="Z1972" s="4"/>
      <c r="AA1972" s="4"/>
      <c r="AB1972" s="4"/>
      <c r="AC1972" s="4"/>
      <c r="AD1972" s="4"/>
      <c r="AE1972" s="4"/>
      <c r="AF1972" s="4"/>
      <c r="AG1972" s="4"/>
    </row>
    <row r="1973" spans="1:33" s="17" customFormat="1" x14ac:dyDescent="0.2">
      <c r="A1973" s="4"/>
      <c r="B1973" s="49" t="s">
        <v>1292</v>
      </c>
      <c r="C1973" s="36"/>
      <c r="D1973" s="45"/>
      <c r="E1973" s="85"/>
      <c r="F1973" s="30"/>
      <c r="G1973" s="29"/>
      <c r="H1973" s="15"/>
    </row>
    <row r="1974" spans="1:33" x14ac:dyDescent="0.2">
      <c r="B1974" s="52"/>
      <c r="C1974" s="60" t="s">
        <v>1293</v>
      </c>
      <c r="D1974" s="44"/>
      <c r="E1974" s="86" t="s">
        <v>1034</v>
      </c>
      <c r="F1974" s="28"/>
      <c r="G1974" s="26"/>
      <c r="H1974" s="21" t="b">
        <f>IF(D1977="x",H$2,H$1)</f>
        <v>0</v>
      </c>
      <c r="I1974" s="4"/>
      <c r="J1974" s="4"/>
      <c r="K1974" s="4"/>
      <c r="L1974" s="4"/>
      <c r="M1974" s="4"/>
      <c r="N1974" s="4"/>
      <c r="O1974" s="4"/>
      <c r="P1974" s="4"/>
      <c r="Q1974" s="4"/>
      <c r="R1974" s="4"/>
      <c r="S1974" s="4"/>
      <c r="T1974" s="4"/>
      <c r="U1974" s="4"/>
      <c r="V1974" s="4"/>
      <c r="W1974" s="4"/>
      <c r="X1974" s="4"/>
      <c r="Y1974" s="4"/>
      <c r="Z1974" s="4"/>
      <c r="AA1974" s="4"/>
      <c r="AB1974" s="4"/>
      <c r="AC1974" s="4"/>
      <c r="AD1974" s="4"/>
      <c r="AE1974" s="4"/>
      <c r="AF1974" s="4"/>
      <c r="AG1974" s="4"/>
    </row>
    <row r="1975" spans="1:33" x14ac:dyDescent="0.2">
      <c r="B1975" s="48"/>
      <c r="C1975" s="61" t="s">
        <v>1294</v>
      </c>
      <c r="D1975" s="44"/>
      <c r="E1975" s="86" t="s">
        <v>1035</v>
      </c>
      <c r="F1975" s="22" t="str">
        <f>IF(H1976=1,IF(H1974=H$2,H1974,""),"")</f>
        <v/>
      </c>
      <c r="G1975" s="26"/>
      <c r="H1975" s="21" t="str">
        <f t="shared" ref="H1975" si="652">IF(E$2117="comprobar",COUNTIF(D1974:D1978,"x"),"")</f>
        <v/>
      </c>
      <c r="I1975" s="4"/>
      <c r="J1975" s="4"/>
      <c r="K1975" s="4"/>
      <c r="L1975" s="4"/>
      <c r="M1975" s="4"/>
      <c r="N1975" s="4"/>
      <c r="O1975" s="4"/>
      <c r="P1975" s="4"/>
      <c r="Q1975" s="4"/>
      <c r="R1975" s="4"/>
      <c r="S1975" s="4"/>
      <c r="T1975" s="4"/>
      <c r="U1975" s="4"/>
      <c r="V1975" s="4"/>
      <c r="W1975" s="4"/>
      <c r="X1975" s="4"/>
      <c r="Y1975" s="4"/>
      <c r="Z1975" s="4"/>
      <c r="AA1975" s="4"/>
      <c r="AB1975" s="4"/>
      <c r="AC1975" s="4"/>
      <c r="AD1975" s="4"/>
      <c r="AE1975" s="4"/>
      <c r="AF1975" s="4"/>
      <c r="AG1975" s="4"/>
    </row>
    <row r="1976" spans="1:33" x14ac:dyDescent="0.2">
      <c r="B1976" s="48"/>
      <c r="C1976" s="61" t="s">
        <v>1295</v>
      </c>
      <c r="D1976" s="44"/>
      <c r="E1976" s="86" t="s">
        <v>1036</v>
      </c>
      <c r="F1976" s="23" t="str">
        <f>IF(H1976=-0.33,IF(H1974=H$1,H1974,""),"")</f>
        <v/>
      </c>
      <c r="G1976" s="26"/>
      <c r="H1976" s="24">
        <f t="shared" ref="H1976" si="653">IF(H1975=1,IF(H1974=H$2,1,-0.33),0)</f>
        <v>0</v>
      </c>
      <c r="I1976" s="4"/>
      <c r="J1976" s="4"/>
      <c r="K1976" s="4"/>
      <c r="L1976" s="4"/>
      <c r="M1976" s="4"/>
      <c r="N1976" s="4"/>
      <c r="O1976" s="4"/>
      <c r="P1976" s="4"/>
      <c r="Q1976" s="4"/>
      <c r="R1976" s="4"/>
      <c r="S1976" s="4"/>
      <c r="T1976" s="4"/>
      <c r="U1976" s="4"/>
      <c r="V1976" s="4"/>
      <c r="W1976" s="4"/>
      <c r="X1976" s="4"/>
      <c r="Y1976" s="4"/>
      <c r="Z1976" s="4"/>
      <c r="AA1976" s="4"/>
      <c r="AB1976" s="4"/>
      <c r="AC1976" s="4"/>
      <c r="AD1976" s="4"/>
      <c r="AE1976" s="4"/>
      <c r="AF1976" s="4"/>
      <c r="AG1976" s="4"/>
    </row>
    <row r="1977" spans="1:33" x14ac:dyDescent="0.2">
      <c r="B1977" s="48"/>
      <c r="C1977" s="61" t="s">
        <v>1240</v>
      </c>
      <c r="D1977" s="44"/>
      <c r="E1977" s="86" t="s">
        <v>1037</v>
      </c>
      <c r="F1977" s="28"/>
      <c r="G1977" s="26"/>
      <c r="H1977" s="24"/>
      <c r="I1977" s="4"/>
      <c r="J1977" s="4"/>
      <c r="K1977" s="4"/>
      <c r="L1977" s="4"/>
      <c r="M1977" s="4"/>
      <c r="N1977" s="4"/>
      <c r="O1977" s="4"/>
      <c r="P1977" s="4"/>
      <c r="Q1977" s="4"/>
      <c r="R1977" s="4"/>
      <c r="S1977" s="4"/>
      <c r="T1977" s="4"/>
      <c r="U1977" s="4"/>
      <c r="V1977" s="4"/>
      <c r="W1977" s="4"/>
      <c r="X1977" s="4"/>
      <c r="Y1977" s="4"/>
      <c r="Z1977" s="4"/>
      <c r="AA1977" s="4"/>
      <c r="AB1977" s="4"/>
      <c r="AC1977" s="4"/>
      <c r="AD1977" s="4"/>
      <c r="AE1977" s="4"/>
      <c r="AF1977" s="4"/>
      <c r="AG1977" s="4"/>
    </row>
    <row r="1978" spans="1:33" x14ac:dyDescent="0.2">
      <c r="B1978" s="48"/>
      <c r="C1978" s="39"/>
      <c r="D1978" s="44"/>
      <c r="E1978" s="86" t="s">
        <v>1038</v>
      </c>
      <c r="F1978" s="28"/>
      <c r="G1978" s="19"/>
      <c r="H1978" s="24"/>
      <c r="I1978" s="4"/>
      <c r="J1978" s="4"/>
      <c r="K1978" s="4"/>
      <c r="L1978" s="4"/>
      <c r="M1978" s="4"/>
      <c r="N1978" s="4"/>
      <c r="O1978" s="4"/>
      <c r="P1978" s="4"/>
      <c r="Q1978" s="4"/>
      <c r="R1978" s="4"/>
      <c r="S1978" s="4"/>
      <c r="T1978" s="4"/>
      <c r="U1978" s="4"/>
      <c r="V1978" s="4"/>
      <c r="W1978" s="4"/>
      <c r="X1978" s="4"/>
      <c r="Y1978" s="4"/>
      <c r="Z1978" s="4"/>
      <c r="AA1978" s="4"/>
      <c r="AB1978" s="4"/>
      <c r="AC1978" s="4"/>
      <c r="AD1978" s="4"/>
      <c r="AE1978" s="4"/>
      <c r="AF1978" s="4"/>
      <c r="AG1978" s="4"/>
    </row>
    <row r="1979" spans="1:33" s="17" customFormat="1" x14ac:dyDescent="0.2">
      <c r="A1979" s="4"/>
      <c r="B1979" s="49" t="s">
        <v>1296</v>
      </c>
      <c r="C1979" s="36"/>
      <c r="D1979" s="45"/>
      <c r="E1979" s="85"/>
      <c r="F1979" s="30"/>
      <c r="G1979" s="29"/>
      <c r="H1979" s="15"/>
    </row>
    <row r="1980" spans="1:33" ht="32" x14ac:dyDescent="0.2">
      <c r="B1980" s="48"/>
      <c r="C1980" s="60" t="s">
        <v>1297</v>
      </c>
      <c r="D1980" s="44"/>
      <c r="E1980" s="86" t="s">
        <v>1034</v>
      </c>
      <c r="F1980" s="27"/>
      <c r="G1980" s="26"/>
      <c r="H1980" s="21" t="b">
        <f>IF(D1982="x",H$2,H$1)</f>
        <v>0</v>
      </c>
      <c r="I1980" s="4"/>
      <c r="J1980" s="4"/>
      <c r="K1980" s="4"/>
      <c r="L1980" s="4"/>
      <c r="M1980" s="4"/>
      <c r="N1980" s="4"/>
      <c r="O1980" s="4"/>
      <c r="P1980" s="4"/>
      <c r="Q1980" s="4"/>
      <c r="R1980" s="4"/>
      <c r="S1980" s="4"/>
      <c r="T1980" s="4"/>
      <c r="U1980" s="4"/>
      <c r="V1980" s="4"/>
      <c r="W1980" s="4"/>
      <c r="X1980" s="4"/>
      <c r="Y1980" s="4"/>
      <c r="Z1980" s="4"/>
      <c r="AA1980" s="4"/>
      <c r="AB1980" s="4"/>
      <c r="AC1980" s="4"/>
      <c r="AD1980" s="4"/>
      <c r="AE1980" s="4"/>
      <c r="AF1980" s="4"/>
      <c r="AG1980" s="4"/>
    </row>
    <row r="1981" spans="1:33" x14ac:dyDescent="0.2">
      <c r="B1981" s="52"/>
      <c r="C1981" s="61" t="s">
        <v>1298</v>
      </c>
      <c r="D1981" s="44"/>
      <c r="E1981" s="86" t="s">
        <v>1035</v>
      </c>
      <c r="F1981" s="22" t="str">
        <f>IF(H1982=1,IF(H1980=H$2,H1980,""),"")</f>
        <v/>
      </c>
      <c r="G1981" s="26"/>
      <c r="H1981" s="21" t="str">
        <f t="shared" ref="H1981" si="654">IF(E$2117="comprobar",COUNTIF(D1980:D1984,"x"),"")</f>
        <v/>
      </c>
      <c r="I1981" s="4"/>
      <c r="J1981" s="4"/>
      <c r="K1981" s="4"/>
      <c r="L1981" s="4"/>
      <c r="M1981" s="4"/>
      <c r="N1981" s="4"/>
      <c r="O1981" s="4"/>
      <c r="P1981" s="4"/>
      <c r="Q1981" s="4"/>
      <c r="R1981" s="4"/>
      <c r="S1981" s="4"/>
      <c r="T1981" s="4"/>
      <c r="U1981" s="4"/>
      <c r="V1981" s="4"/>
      <c r="W1981" s="4"/>
      <c r="X1981" s="4"/>
      <c r="Y1981" s="4"/>
      <c r="Z1981" s="4"/>
      <c r="AA1981" s="4"/>
      <c r="AB1981" s="4"/>
      <c r="AC1981" s="4"/>
      <c r="AD1981" s="4"/>
      <c r="AE1981" s="4"/>
      <c r="AF1981" s="4"/>
      <c r="AG1981" s="4"/>
    </row>
    <row r="1982" spans="1:33" x14ac:dyDescent="0.2">
      <c r="B1982" s="48"/>
      <c r="C1982" s="61" t="s">
        <v>1299</v>
      </c>
      <c r="D1982" s="44"/>
      <c r="E1982" s="86" t="s">
        <v>1036</v>
      </c>
      <c r="F1982" s="23" t="str">
        <f>IF(H1982=-0.33,IF(H1980=H$1,H1980,""),"")</f>
        <v/>
      </c>
      <c r="G1982" s="26"/>
      <c r="H1982" s="24">
        <f t="shared" ref="H1982" si="655">IF(H1981=1,IF(H1980=H$2,1,-0.33),0)</f>
        <v>0</v>
      </c>
      <c r="I1982" s="4"/>
      <c r="J1982" s="4"/>
      <c r="K1982" s="4"/>
      <c r="L1982" s="4"/>
      <c r="M1982" s="4"/>
      <c r="N1982" s="4"/>
      <c r="O1982" s="4"/>
      <c r="P1982" s="4"/>
      <c r="Q1982" s="4"/>
      <c r="R1982" s="4"/>
      <c r="S1982" s="4"/>
      <c r="T1982" s="4"/>
      <c r="U1982" s="4"/>
      <c r="V1982" s="4"/>
      <c r="W1982" s="4"/>
      <c r="X1982" s="4"/>
      <c r="Y1982" s="4"/>
      <c r="Z1982" s="4"/>
      <c r="AA1982" s="4"/>
      <c r="AB1982" s="4"/>
      <c r="AC1982" s="4"/>
      <c r="AD1982" s="4"/>
      <c r="AE1982" s="4"/>
      <c r="AF1982" s="4"/>
      <c r="AG1982" s="4"/>
    </row>
    <row r="1983" spans="1:33" x14ac:dyDescent="0.2">
      <c r="B1983" s="48"/>
      <c r="C1983" s="61" t="s">
        <v>622</v>
      </c>
      <c r="D1983" s="44"/>
      <c r="E1983" s="86" t="s">
        <v>1037</v>
      </c>
      <c r="F1983" s="28"/>
      <c r="G1983" s="26"/>
      <c r="H1983" s="24"/>
      <c r="I1983" s="4"/>
      <c r="J1983" s="4"/>
      <c r="K1983" s="4"/>
      <c r="L1983" s="4"/>
      <c r="M1983" s="4"/>
      <c r="N1983" s="4"/>
      <c r="O1983" s="4"/>
      <c r="P1983" s="4"/>
      <c r="Q1983" s="4"/>
      <c r="R1983" s="4"/>
      <c r="S1983" s="4"/>
      <c r="T1983" s="4"/>
      <c r="U1983" s="4"/>
      <c r="V1983" s="4"/>
      <c r="W1983" s="4"/>
      <c r="X1983" s="4"/>
      <c r="Y1983" s="4"/>
      <c r="Z1983" s="4"/>
      <c r="AA1983" s="4"/>
      <c r="AB1983" s="4"/>
      <c r="AC1983" s="4"/>
      <c r="AD1983" s="4"/>
      <c r="AE1983" s="4"/>
      <c r="AF1983" s="4"/>
      <c r="AG1983" s="4"/>
    </row>
    <row r="1984" spans="1:33" x14ac:dyDescent="0.2">
      <c r="B1984" s="48"/>
      <c r="C1984" s="39"/>
      <c r="D1984" s="44"/>
      <c r="E1984" s="86" t="s">
        <v>1038</v>
      </c>
      <c r="F1984" s="28"/>
      <c r="G1984" s="19"/>
      <c r="H1984" s="24"/>
      <c r="I1984" s="4"/>
      <c r="J1984" s="4"/>
      <c r="K1984" s="4"/>
      <c r="L1984" s="4"/>
      <c r="M1984" s="4"/>
      <c r="N1984" s="4"/>
      <c r="O1984" s="4"/>
      <c r="P1984" s="4"/>
      <c r="Q1984" s="4"/>
      <c r="R1984" s="4"/>
      <c r="S1984" s="4"/>
      <c r="T1984" s="4"/>
      <c r="U1984" s="4"/>
      <c r="V1984" s="4"/>
      <c r="W1984" s="4"/>
      <c r="X1984" s="4"/>
      <c r="Y1984" s="4"/>
      <c r="Z1984" s="4"/>
      <c r="AA1984" s="4"/>
      <c r="AB1984" s="4"/>
      <c r="AC1984" s="4"/>
      <c r="AD1984" s="4"/>
      <c r="AE1984" s="4"/>
      <c r="AF1984" s="4"/>
      <c r="AG1984" s="4"/>
    </row>
    <row r="1985" spans="1:33" s="62" customFormat="1" x14ac:dyDescent="0.2">
      <c r="A1985" s="101"/>
      <c r="B1985" s="109" t="s">
        <v>1300</v>
      </c>
      <c r="C1985" s="110"/>
      <c r="D1985" s="63"/>
      <c r="E1985" s="91"/>
      <c r="F1985" s="64"/>
      <c r="G1985" s="65"/>
      <c r="H1985" s="15"/>
    </row>
    <row r="1986" spans="1:33" ht="32" x14ac:dyDescent="0.2">
      <c r="B1986" s="48"/>
      <c r="C1986" s="60" t="s">
        <v>1301</v>
      </c>
      <c r="D1986" s="44"/>
      <c r="E1986" s="86" t="s">
        <v>1034</v>
      </c>
      <c r="F1986" s="27"/>
      <c r="G1986" s="26"/>
      <c r="H1986" s="21" t="b">
        <f>IF(D1988="x",H$2,H$1)</f>
        <v>0</v>
      </c>
      <c r="I1986" s="4"/>
      <c r="J1986" s="4"/>
      <c r="K1986" s="4"/>
      <c r="L1986" s="4"/>
      <c r="M1986" s="4"/>
      <c r="N1986" s="4"/>
      <c r="O1986" s="4"/>
      <c r="P1986" s="4"/>
      <c r="Q1986" s="4"/>
      <c r="R1986" s="4"/>
      <c r="S1986" s="4"/>
      <c r="T1986" s="4"/>
      <c r="U1986" s="4"/>
      <c r="V1986" s="4"/>
      <c r="W1986" s="4"/>
      <c r="X1986" s="4"/>
      <c r="Y1986" s="4"/>
      <c r="Z1986" s="4"/>
      <c r="AA1986" s="4"/>
      <c r="AB1986" s="4"/>
      <c r="AC1986" s="4"/>
      <c r="AD1986" s="4"/>
      <c r="AE1986" s="4"/>
      <c r="AF1986" s="4"/>
      <c r="AG1986" s="4"/>
    </row>
    <row r="1987" spans="1:33" ht="32" x14ac:dyDescent="0.2">
      <c r="B1987" s="48"/>
      <c r="C1987" s="61" t="s">
        <v>1302</v>
      </c>
      <c r="D1987" s="44"/>
      <c r="E1987" s="86" t="s">
        <v>1035</v>
      </c>
      <c r="F1987" s="22" t="str">
        <f>IF(H1988=1,IF(H1986=H$2,H1986,""),"")</f>
        <v/>
      </c>
      <c r="G1987" s="26"/>
      <c r="H1987" s="21" t="str">
        <f t="shared" ref="H1987" si="656">IF(E$2117="comprobar",COUNTIF(D1986:D1990,"x"),"")</f>
        <v/>
      </c>
      <c r="I1987" s="4"/>
      <c r="J1987" s="4"/>
      <c r="K1987" s="4"/>
      <c r="L1987" s="4"/>
      <c r="M1987" s="4"/>
      <c r="N1987" s="4"/>
      <c r="O1987" s="4"/>
      <c r="P1987" s="4"/>
      <c r="Q1987" s="4"/>
      <c r="R1987" s="4"/>
      <c r="S1987" s="4"/>
      <c r="T1987" s="4"/>
      <c r="U1987" s="4"/>
      <c r="V1987" s="4"/>
      <c r="W1987" s="4"/>
      <c r="X1987" s="4"/>
      <c r="Y1987" s="4"/>
      <c r="Z1987" s="4"/>
      <c r="AA1987" s="4"/>
      <c r="AB1987" s="4"/>
      <c r="AC1987" s="4"/>
      <c r="AD1987" s="4"/>
      <c r="AE1987" s="4"/>
      <c r="AF1987" s="4"/>
      <c r="AG1987" s="4"/>
    </row>
    <row r="1988" spans="1:33" ht="32" x14ac:dyDescent="0.2">
      <c r="B1988" s="52"/>
      <c r="C1988" s="61" t="s">
        <v>1303</v>
      </c>
      <c r="D1988" s="44"/>
      <c r="E1988" s="86" t="s">
        <v>1036</v>
      </c>
      <c r="F1988" s="23" t="str">
        <f>IF(H1988=-0.33,IF(H1986=H$1,H1986,""),"")</f>
        <v/>
      </c>
      <c r="G1988" s="26"/>
      <c r="H1988" s="24">
        <f t="shared" ref="H1988" si="657">IF(H1987=1,IF(H1986=H$2,1,-0.33),0)</f>
        <v>0</v>
      </c>
      <c r="I1988" s="4"/>
      <c r="J1988" s="4"/>
      <c r="K1988" s="4"/>
      <c r="L1988" s="4"/>
      <c r="M1988" s="4"/>
      <c r="N1988" s="4"/>
      <c r="O1988" s="4"/>
      <c r="P1988" s="4"/>
      <c r="Q1988" s="4"/>
      <c r="R1988" s="4"/>
      <c r="S1988" s="4"/>
      <c r="T1988" s="4"/>
      <c r="U1988" s="4"/>
      <c r="V1988" s="4"/>
      <c r="W1988" s="4"/>
      <c r="X1988" s="4"/>
      <c r="Y1988" s="4"/>
      <c r="Z1988" s="4"/>
      <c r="AA1988" s="4"/>
      <c r="AB1988" s="4"/>
      <c r="AC1988" s="4"/>
      <c r="AD1988" s="4"/>
      <c r="AE1988" s="4"/>
      <c r="AF1988" s="4"/>
      <c r="AG1988" s="4"/>
    </row>
    <row r="1989" spans="1:33" x14ac:dyDescent="0.2">
      <c r="B1989" s="48"/>
      <c r="C1989" s="61" t="s">
        <v>1291</v>
      </c>
      <c r="D1989" s="44"/>
      <c r="E1989" s="86" t="s">
        <v>1037</v>
      </c>
      <c r="F1989" s="28"/>
      <c r="G1989" s="26"/>
      <c r="H1989" s="24"/>
      <c r="I1989" s="4"/>
      <c r="J1989" s="4"/>
      <c r="K1989" s="4"/>
      <c r="L1989" s="4"/>
      <c r="M1989" s="4"/>
      <c r="N1989" s="4"/>
      <c r="O1989" s="4"/>
      <c r="P1989" s="4"/>
      <c r="Q1989" s="4"/>
      <c r="R1989" s="4"/>
      <c r="S1989" s="4"/>
      <c r="T1989" s="4"/>
      <c r="U1989" s="4"/>
      <c r="V1989" s="4"/>
      <c r="W1989" s="4"/>
      <c r="X1989" s="4"/>
      <c r="Y1989" s="4"/>
      <c r="Z1989" s="4"/>
      <c r="AA1989" s="4"/>
      <c r="AB1989" s="4"/>
      <c r="AC1989" s="4"/>
      <c r="AD1989" s="4"/>
      <c r="AE1989" s="4"/>
      <c r="AF1989" s="4"/>
      <c r="AG1989" s="4"/>
    </row>
    <row r="1990" spans="1:33" x14ac:dyDescent="0.2">
      <c r="B1990" s="48"/>
      <c r="C1990" s="39"/>
      <c r="D1990" s="44"/>
      <c r="E1990" s="86" t="s">
        <v>1038</v>
      </c>
      <c r="F1990" s="28"/>
      <c r="G1990" s="19"/>
      <c r="H1990" s="24"/>
      <c r="I1990" s="4"/>
      <c r="J1990" s="4"/>
      <c r="K1990" s="4"/>
      <c r="L1990" s="4"/>
      <c r="M1990" s="4"/>
      <c r="N1990" s="4"/>
      <c r="O1990" s="4"/>
      <c r="P1990" s="4"/>
      <c r="Q1990" s="4"/>
      <c r="R1990" s="4"/>
      <c r="S1990" s="4"/>
      <c r="T1990" s="4"/>
      <c r="U1990" s="4"/>
      <c r="V1990" s="4"/>
      <c r="W1990" s="4"/>
      <c r="X1990" s="4"/>
      <c r="Y1990" s="4"/>
      <c r="Z1990" s="4"/>
      <c r="AA1990" s="4"/>
      <c r="AB1990" s="4"/>
      <c r="AC1990" s="4"/>
      <c r="AD1990" s="4"/>
      <c r="AE1990" s="4"/>
      <c r="AF1990" s="4"/>
      <c r="AG1990" s="4"/>
    </row>
    <row r="1991" spans="1:33" s="17" customFormat="1" x14ac:dyDescent="0.2">
      <c r="A1991" s="4"/>
      <c r="B1991" s="49" t="s">
        <v>1304</v>
      </c>
      <c r="C1991" s="36"/>
      <c r="D1991" s="45"/>
      <c r="E1991" s="85"/>
      <c r="F1991" s="30"/>
      <c r="G1991" s="29"/>
      <c r="H1991" s="15"/>
    </row>
    <row r="1992" spans="1:33" ht="32" x14ac:dyDescent="0.2">
      <c r="B1992" s="52"/>
      <c r="C1992" s="60" t="s">
        <v>1305</v>
      </c>
      <c r="D1992" s="44"/>
      <c r="E1992" s="86" t="s">
        <v>1034</v>
      </c>
      <c r="F1992" s="28"/>
      <c r="G1992" s="26"/>
      <c r="H1992" s="21" t="b">
        <f>IF(D1995="x",H$2,H$1)</f>
        <v>0</v>
      </c>
      <c r="I1992" s="4"/>
      <c r="J1992" s="4"/>
      <c r="K1992" s="4"/>
      <c r="L1992" s="4"/>
      <c r="M1992" s="4"/>
      <c r="N1992" s="4"/>
      <c r="O1992" s="4"/>
      <c r="P1992" s="4"/>
      <c r="Q1992" s="4"/>
      <c r="R1992" s="4"/>
      <c r="S1992" s="4"/>
      <c r="T1992" s="4"/>
      <c r="U1992" s="4"/>
      <c r="V1992" s="4"/>
      <c r="W1992" s="4"/>
      <c r="X1992" s="4"/>
      <c r="Y1992" s="4"/>
      <c r="Z1992" s="4"/>
      <c r="AA1992" s="4"/>
      <c r="AB1992" s="4"/>
      <c r="AC1992" s="4"/>
      <c r="AD1992" s="4"/>
      <c r="AE1992" s="4"/>
      <c r="AF1992" s="4"/>
      <c r="AG1992" s="4"/>
    </row>
    <row r="1993" spans="1:33" ht="32" x14ac:dyDescent="0.2">
      <c r="B1993" s="48"/>
      <c r="C1993" s="61" t="s">
        <v>1306</v>
      </c>
      <c r="D1993" s="44"/>
      <c r="E1993" s="86" t="s">
        <v>1035</v>
      </c>
      <c r="F1993" s="22" t="str">
        <f>IF(H1994=1,IF(H1992=H$2,H1992,""),"")</f>
        <v/>
      </c>
      <c r="G1993" s="26"/>
      <c r="H1993" s="21" t="str">
        <f t="shared" ref="H1993" si="658">IF(E$2117="comprobar",COUNTIF(D1992:D1996,"x"),"")</f>
        <v/>
      </c>
      <c r="I1993" s="4"/>
      <c r="J1993" s="4"/>
      <c r="K1993" s="4"/>
      <c r="L1993" s="4"/>
      <c r="M1993" s="4"/>
      <c r="N1993" s="4"/>
      <c r="O1993" s="4"/>
      <c r="P1993" s="4"/>
      <c r="Q1993" s="4"/>
      <c r="R1993" s="4"/>
      <c r="S1993" s="4"/>
      <c r="T1993" s="4"/>
      <c r="U1993" s="4"/>
      <c r="V1993" s="4"/>
      <c r="W1993" s="4"/>
      <c r="X1993" s="4"/>
      <c r="Y1993" s="4"/>
      <c r="Z1993" s="4"/>
      <c r="AA1993" s="4"/>
      <c r="AB1993" s="4"/>
      <c r="AC1993" s="4"/>
      <c r="AD1993" s="4"/>
      <c r="AE1993" s="4"/>
      <c r="AF1993" s="4"/>
      <c r="AG1993" s="4"/>
    </row>
    <row r="1994" spans="1:33" ht="32" x14ac:dyDescent="0.2">
      <c r="B1994" s="48"/>
      <c r="C1994" s="61" t="s">
        <v>1307</v>
      </c>
      <c r="D1994" s="44"/>
      <c r="E1994" s="86" t="s">
        <v>1036</v>
      </c>
      <c r="F1994" s="23" t="str">
        <f>IF(H1994=-0.33,IF(H1992=H$1,H1992,""),"")</f>
        <v/>
      </c>
      <c r="G1994" s="26"/>
      <c r="H1994" s="24">
        <f t="shared" ref="H1994" si="659">IF(H1993=1,IF(H1992=H$2,1,-0.33),0)</f>
        <v>0</v>
      </c>
      <c r="I1994" s="4"/>
      <c r="J1994" s="4"/>
      <c r="K1994" s="4"/>
      <c r="L1994" s="4"/>
      <c r="M1994" s="4"/>
      <c r="N1994" s="4"/>
      <c r="O1994" s="4"/>
      <c r="P1994" s="4"/>
      <c r="Q1994" s="4"/>
      <c r="R1994" s="4"/>
      <c r="S1994" s="4"/>
      <c r="T1994" s="4"/>
      <c r="U1994" s="4"/>
      <c r="V1994" s="4"/>
      <c r="W1994" s="4"/>
      <c r="X1994" s="4"/>
      <c r="Y1994" s="4"/>
      <c r="Z1994" s="4"/>
      <c r="AA1994" s="4"/>
      <c r="AB1994" s="4"/>
      <c r="AC1994" s="4"/>
      <c r="AD1994" s="4"/>
      <c r="AE1994" s="4"/>
      <c r="AF1994" s="4"/>
      <c r="AG1994" s="4"/>
    </row>
    <row r="1995" spans="1:33" x14ac:dyDescent="0.2">
      <c r="B1995" s="48"/>
      <c r="C1995" s="61" t="s">
        <v>1240</v>
      </c>
      <c r="D1995" s="44"/>
      <c r="E1995" s="86" t="s">
        <v>1037</v>
      </c>
      <c r="F1995" s="28"/>
      <c r="G1995" s="26"/>
      <c r="H1995" s="24"/>
      <c r="I1995" s="4"/>
      <c r="J1995" s="4"/>
      <c r="K1995" s="4"/>
      <c r="L1995" s="4"/>
      <c r="M1995" s="4"/>
      <c r="N1995" s="4"/>
      <c r="O1995" s="4"/>
      <c r="P1995" s="4"/>
      <c r="Q1995" s="4"/>
      <c r="R1995" s="4"/>
      <c r="S1995" s="4"/>
      <c r="T1995" s="4"/>
      <c r="U1995" s="4"/>
      <c r="V1995" s="4"/>
      <c r="W1995" s="4"/>
      <c r="X1995" s="4"/>
      <c r="Y1995" s="4"/>
      <c r="Z1995" s="4"/>
      <c r="AA1995" s="4"/>
      <c r="AB1995" s="4"/>
      <c r="AC1995" s="4"/>
      <c r="AD1995" s="4"/>
      <c r="AE1995" s="4"/>
      <c r="AF1995" s="4"/>
      <c r="AG1995" s="4"/>
    </row>
    <row r="1996" spans="1:33" x14ac:dyDescent="0.2">
      <c r="B1996" s="48"/>
      <c r="C1996" s="39"/>
      <c r="D1996" s="44"/>
      <c r="E1996" s="86" t="s">
        <v>1038</v>
      </c>
      <c r="F1996" s="20"/>
      <c r="G1996" s="19"/>
      <c r="H1996" s="24"/>
      <c r="I1996" s="4"/>
      <c r="J1996" s="4"/>
      <c r="K1996" s="4"/>
      <c r="L1996" s="4"/>
      <c r="M1996" s="4"/>
      <c r="N1996" s="4"/>
      <c r="O1996" s="4"/>
      <c r="P1996" s="4"/>
      <c r="Q1996" s="4"/>
      <c r="R1996" s="4"/>
      <c r="S1996" s="4"/>
      <c r="T1996" s="4"/>
      <c r="U1996" s="4"/>
      <c r="V1996" s="4"/>
      <c r="W1996" s="4"/>
      <c r="X1996" s="4"/>
      <c r="Y1996" s="4"/>
      <c r="Z1996" s="4"/>
      <c r="AA1996" s="4"/>
      <c r="AB1996" s="4"/>
      <c r="AC1996" s="4"/>
      <c r="AD1996" s="4"/>
      <c r="AE1996" s="4"/>
      <c r="AF1996" s="4"/>
      <c r="AG1996" s="4"/>
    </row>
    <row r="1997" spans="1:33" s="17" customFormat="1" x14ac:dyDescent="0.2">
      <c r="A1997" s="4"/>
      <c r="B1997" s="49" t="s">
        <v>1308</v>
      </c>
      <c r="C1997" s="36"/>
      <c r="D1997" s="45"/>
      <c r="E1997" s="85"/>
      <c r="F1997" s="30"/>
      <c r="G1997" s="29"/>
      <c r="H1997" s="15"/>
    </row>
    <row r="1998" spans="1:33" x14ac:dyDescent="0.2">
      <c r="B1998" s="52"/>
      <c r="C1998" s="60" t="s">
        <v>1309</v>
      </c>
      <c r="D1998" s="44"/>
      <c r="E1998" s="86" t="s">
        <v>1034</v>
      </c>
      <c r="F1998" s="28"/>
      <c r="G1998" s="26"/>
      <c r="H1998" s="21" t="b">
        <f>IF(D1999="x",H$2,H$1)</f>
        <v>0</v>
      </c>
      <c r="I1998" s="4"/>
      <c r="J1998" s="4"/>
      <c r="K1998" s="4"/>
      <c r="L1998" s="4"/>
      <c r="M1998" s="4"/>
      <c r="N1998" s="4"/>
      <c r="O1998" s="4"/>
      <c r="P1998" s="4"/>
      <c r="Q1998" s="4"/>
      <c r="R1998" s="4"/>
      <c r="S1998" s="4"/>
      <c r="T1998" s="4"/>
      <c r="U1998" s="4"/>
      <c r="V1998" s="4"/>
      <c r="W1998" s="4"/>
      <c r="X1998" s="4"/>
      <c r="Y1998" s="4"/>
      <c r="Z1998" s="4"/>
      <c r="AA1998" s="4"/>
      <c r="AB1998" s="4"/>
      <c r="AC1998" s="4"/>
      <c r="AD1998" s="4"/>
      <c r="AE1998" s="4"/>
      <c r="AF1998" s="4"/>
      <c r="AG1998" s="4"/>
    </row>
    <row r="1999" spans="1:33" ht="32" x14ac:dyDescent="0.2">
      <c r="B1999" s="48"/>
      <c r="C1999" s="61" t="s">
        <v>1310</v>
      </c>
      <c r="D1999" s="44"/>
      <c r="E1999" s="86" t="s">
        <v>1035</v>
      </c>
      <c r="F1999" s="22" t="str">
        <f>IF(H2000=1,IF(H1998=H$2,H1998,""),"")</f>
        <v/>
      </c>
      <c r="G1999" s="26"/>
      <c r="H1999" s="21" t="str">
        <f t="shared" ref="H1999" si="660">IF(E$2117="comprobar",COUNTIF(D1998:D2002,"x"),"")</f>
        <v/>
      </c>
      <c r="I1999" s="4"/>
      <c r="J1999" s="4"/>
      <c r="K1999" s="4"/>
      <c r="L1999" s="4"/>
      <c r="M1999" s="4"/>
      <c r="N1999" s="4"/>
      <c r="O1999" s="4"/>
      <c r="P1999" s="4"/>
      <c r="Q1999" s="4"/>
      <c r="R1999" s="4"/>
      <c r="S1999" s="4"/>
      <c r="T1999" s="4"/>
      <c r="U1999" s="4"/>
      <c r="V1999" s="4"/>
      <c r="W1999" s="4"/>
      <c r="X1999" s="4"/>
      <c r="Y1999" s="4"/>
      <c r="Z1999" s="4"/>
      <c r="AA1999" s="4"/>
      <c r="AB1999" s="4"/>
      <c r="AC1999" s="4"/>
      <c r="AD1999" s="4"/>
      <c r="AE1999" s="4"/>
      <c r="AF1999" s="4"/>
      <c r="AG1999" s="4"/>
    </row>
    <row r="2000" spans="1:33" ht="32" x14ac:dyDescent="0.2">
      <c r="B2000" s="48"/>
      <c r="C2000" s="61" t="s">
        <v>1311</v>
      </c>
      <c r="D2000" s="44"/>
      <c r="E2000" s="86" t="s">
        <v>1036</v>
      </c>
      <c r="F2000" s="23" t="str">
        <f>IF(H2000=-0.33,IF(H1998=H$1,H1998,""),"")</f>
        <v/>
      </c>
      <c r="G2000" s="26"/>
      <c r="H2000" s="24">
        <f t="shared" ref="H2000" si="661">IF(H1999=1,IF(H1998=H$2,1,-0.33),0)</f>
        <v>0</v>
      </c>
      <c r="I2000" s="4"/>
      <c r="J2000" s="4"/>
      <c r="K2000" s="4"/>
      <c r="L2000" s="4"/>
      <c r="M2000" s="4"/>
      <c r="N2000" s="4"/>
      <c r="O2000" s="4"/>
      <c r="P2000" s="4"/>
      <c r="Q2000" s="4"/>
      <c r="R2000" s="4"/>
      <c r="S2000" s="4"/>
      <c r="T2000" s="4"/>
      <c r="U2000" s="4"/>
      <c r="V2000" s="4"/>
      <c r="W2000" s="4"/>
      <c r="X2000" s="4"/>
      <c r="Y2000" s="4"/>
      <c r="Z2000" s="4"/>
      <c r="AA2000" s="4"/>
      <c r="AB2000" s="4"/>
      <c r="AC2000" s="4"/>
      <c r="AD2000" s="4"/>
      <c r="AE2000" s="4"/>
      <c r="AF2000" s="4"/>
      <c r="AG2000" s="4"/>
    </row>
    <row r="2001" spans="1:33" x14ac:dyDescent="0.2">
      <c r="B2001" s="48"/>
      <c r="C2001" s="61" t="s">
        <v>1312</v>
      </c>
      <c r="D2001" s="44"/>
      <c r="E2001" s="86" t="s">
        <v>1037</v>
      </c>
      <c r="F2001" s="28"/>
      <c r="G2001" s="26"/>
      <c r="H2001" s="24"/>
      <c r="I2001" s="4"/>
      <c r="J2001" s="4"/>
      <c r="K2001" s="4"/>
      <c r="L2001" s="4"/>
      <c r="M2001" s="4"/>
      <c r="N2001" s="4"/>
      <c r="O2001" s="4"/>
      <c r="P2001" s="4"/>
      <c r="Q2001" s="4"/>
      <c r="R2001" s="4"/>
      <c r="S2001" s="4"/>
      <c r="T2001" s="4"/>
      <c r="U2001" s="4"/>
      <c r="V2001" s="4"/>
      <c r="W2001" s="4"/>
      <c r="X2001" s="4"/>
      <c r="Y2001" s="4"/>
      <c r="Z2001" s="4"/>
      <c r="AA2001" s="4"/>
      <c r="AB2001" s="4"/>
      <c r="AC2001" s="4"/>
      <c r="AD2001" s="4"/>
      <c r="AE2001" s="4"/>
      <c r="AF2001" s="4"/>
      <c r="AG2001" s="4"/>
    </row>
    <row r="2002" spans="1:33" x14ac:dyDescent="0.2">
      <c r="B2002" s="48"/>
      <c r="C2002" s="39"/>
      <c r="D2002" s="44"/>
      <c r="E2002" s="86" t="s">
        <v>1038</v>
      </c>
      <c r="F2002" s="20"/>
      <c r="G2002" s="19"/>
      <c r="H2002" s="24"/>
      <c r="I2002" s="4"/>
      <c r="J2002" s="4"/>
      <c r="K2002" s="4"/>
      <c r="L2002" s="4"/>
      <c r="M2002" s="4"/>
      <c r="N2002" s="4"/>
      <c r="O2002" s="4"/>
      <c r="P2002" s="4"/>
      <c r="Q2002" s="4"/>
      <c r="R2002" s="4"/>
      <c r="S2002" s="4"/>
      <c r="T2002" s="4"/>
      <c r="U2002" s="4"/>
      <c r="V2002" s="4"/>
      <c r="W2002" s="4"/>
      <c r="X2002" s="4"/>
      <c r="Y2002" s="4"/>
      <c r="Z2002" s="4"/>
      <c r="AA2002" s="4"/>
      <c r="AB2002" s="4"/>
      <c r="AC2002" s="4"/>
      <c r="AD2002" s="4"/>
      <c r="AE2002" s="4"/>
      <c r="AF2002" s="4"/>
      <c r="AG2002" s="4"/>
    </row>
    <row r="2003" spans="1:33" s="17" customFormat="1" x14ac:dyDescent="0.2">
      <c r="A2003" s="4"/>
      <c r="B2003" s="49" t="s">
        <v>1313</v>
      </c>
      <c r="C2003" s="36"/>
      <c r="D2003" s="45"/>
      <c r="E2003" s="85"/>
      <c r="F2003" s="30"/>
      <c r="G2003" s="29"/>
      <c r="H2003" s="15"/>
    </row>
    <row r="2004" spans="1:33" x14ac:dyDescent="0.2">
      <c r="B2004" s="52"/>
      <c r="C2004" s="60" t="s">
        <v>1314</v>
      </c>
      <c r="D2004" s="44"/>
      <c r="E2004" s="86" t="s">
        <v>1034</v>
      </c>
      <c r="F2004" s="28"/>
      <c r="G2004" s="26"/>
      <c r="H2004" s="21" t="b">
        <f>IF(D2007="x",H$2,H$1)</f>
        <v>0</v>
      </c>
      <c r="I2004" s="4"/>
      <c r="J2004" s="4"/>
      <c r="K2004" s="4"/>
      <c r="L2004" s="4"/>
      <c r="M2004" s="4"/>
      <c r="N2004" s="4"/>
      <c r="O2004" s="4"/>
      <c r="P2004" s="4"/>
      <c r="Q2004" s="4"/>
      <c r="R2004" s="4"/>
      <c r="S2004" s="4"/>
      <c r="T2004" s="4"/>
      <c r="U2004" s="4"/>
      <c r="V2004" s="4"/>
      <c r="W2004" s="4"/>
      <c r="X2004" s="4"/>
      <c r="Y2004" s="4"/>
      <c r="Z2004" s="4"/>
      <c r="AA2004" s="4"/>
      <c r="AB2004" s="4"/>
      <c r="AC2004" s="4"/>
      <c r="AD2004" s="4"/>
      <c r="AE2004" s="4"/>
      <c r="AF2004" s="4"/>
      <c r="AG2004" s="4"/>
    </row>
    <row r="2005" spans="1:33" x14ac:dyDescent="0.2">
      <c r="B2005" s="48"/>
      <c r="C2005" s="61" t="s">
        <v>1315</v>
      </c>
      <c r="D2005" s="44"/>
      <c r="E2005" s="86" t="s">
        <v>1035</v>
      </c>
      <c r="F2005" s="22" t="str">
        <f>IF(H2006=1,IF(H2004=H$2,H2004,""),"")</f>
        <v/>
      </c>
      <c r="G2005" s="26"/>
      <c r="H2005" s="21" t="str">
        <f t="shared" ref="H2005" si="662">IF(E$2117="comprobar",COUNTIF(D2004:D2008,"x"),"")</f>
        <v/>
      </c>
      <c r="I2005" s="4"/>
      <c r="J2005" s="4"/>
      <c r="K2005" s="4"/>
      <c r="L2005" s="4"/>
      <c r="M2005" s="4"/>
      <c r="N2005" s="4"/>
      <c r="O2005" s="4"/>
      <c r="P2005" s="4"/>
      <c r="Q2005" s="4"/>
      <c r="R2005" s="4"/>
      <c r="S2005" s="4"/>
      <c r="T2005" s="4"/>
      <c r="U2005" s="4"/>
      <c r="V2005" s="4"/>
      <c r="W2005" s="4"/>
      <c r="X2005" s="4"/>
      <c r="Y2005" s="4"/>
      <c r="Z2005" s="4"/>
      <c r="AA2005" s="4"/>
      <c r="AB2005" s="4"/>
      <c r="AC2005" s="4"/>
      <c r="AD2005" s="4"/>
      <c r="AE2005" s="4"/>
      <c r="AF2005" s="4"/>
      <c r="AG2005" s="4"/>
    </row>
    <row r="2006" spans="1:33" x14ac:dyDescent="0.2">
      <c r="B2006" s="48"/>
      <c r="C2006" s="61" t="s">
        <v>1316</v>
      </c>
      <c r="D2006" s="44"/>
      <c r="E2006" s="86" t="s">
        <v>1036</v>
      </c>
      <c r="F2006" s="23" t="str">
        <f>IF(H2006=-0.33,IF(H2004=H$1,H2004,""),"")</f>
        <v/>
      </c>
      <c r="G2006" s="26"/>
      <c r="H2006" s="24">
        <f t="shared" ref="H2006" si="663">IF(H2005=1,IF(H2004=H$2,1,-0.33),0)</f>
        <v>0</v>
      </c>
      <c r="I2006" s="4"/>
      <c r="J2006" s="4"/>
      <c r="K2006" s="4"/>
      <c r="L2006" s="4"/>
      <c r="M2006" s="4"/>
      <c r="N2006" s="4"/>
      <c r="O2006" s="4"/>
      <c r="P2006" s="4"/>
      <c r="Q2006" s="4"/>
      <c r="R2006" s="4"/>
      <c r="S2006" s="4"/>
      <c r="T2006" s="4"/>
      <c r="U2006" s="4"/>
      <c r="V2006" s="4"/>
      <c r="W2006" s="4"/>
      <c r="X2006" s="4"/>
      <c r="Y2006" s="4"/>
      <c r="Z2006" s="4"/>
      <c r="AA2006" s="4"/>
      <c r="AB2006" s="4"/>
      <c r="AC2006" s="4"/>
      <c r="AD2006" s="4"/>
      <c r="AE2006" s="4"/>
      <c r="AF2006" s="4"/>
      <c r="AG2006" s="4"/>
    </row>
    <row r="2007" spans="1:33" x14ac:dyDescent="0.2">
      <c r="B2007" s="48"/>
      <c r="C2007" s="61" t="s">
        <v>1240</v>
      </c>
      <c r="D2007" s="44"/>
      <c r="E2007" s="86" t="s">
        <v>1037</v>
      </c>
      <c r="F2007" s="28"/>
      <c r="G2007" s="26"/>
      <c r="H2007" s="24"/>
      <c r="I2007" s="4"/>
      <c r="J2007" s="4"/>
      <c r="K2007" s="4"/>
      <c r="L2007" s="4"/>
      <c r="M2007" s="4"/>
      <c r="N2007" s="4"/>
      <c r="O2007" s="4"/>
      <c r="P2007" s="4"/>
      <c r="Q2007" s="4"/>
      <c r="R2007" s="4"/>
      <c r="S2007" s="4"/>
      <c r="T2007" s="4"/>
      <c r="U2007" s="4"/>
      <c r="V2007" s="4"/>
      <c r="W2007" s="4"/>
      <c r="X2007" s="4"/>
      <c r="Y2007" s="4"/>
      <c r="Z2007" s="4"/>
      <c r="AA2007" s="4"/>
      <c r="AB2007" s="4"/>
      <c r="AC2007" s="4"/>
      <c r="AD2007" s="4"/>
      <c r="AE2007" s="4"/>
      <c r="AF2007" s="4"/>
      <c r="AG2007" s="4"/>
    </row>
    <row r="2008" spans="1:33" x14ac:dyDescent="0.2">
      <c r="B2008" s="48"/>
      <c r="C2008" s="39"/>
      <c r="D2008" s="44"/>
      <c r="E2008" s="86" t="s">
        <v>1038</v>
      </c>
      <c r="F2008" s="20"/>
      <c r="G2008" s="19"/>
      <c r="H2008" s="24"/>
      <c r="I2008" s="4"/>
      <c r="J2008" s="4"/>
      <c r="K2008" s="4"/>
      <c r="L2008" s="4"/>
      <c r="M2008" s="4"/>
      <c r="N2008" s="4"/>
      <c r="O2008" s="4"/>
      <c r="P2008" s="4"/>
      <c r="Q2008" s="4"/>
      <c r="R2008" s="4"/>
      <c r="S2008" s="4"/>
      <c r="T2008" s="4"/>
      <c r="U2008" s="4"/>
      <c r="V2008" s="4"/>
      <c r="W2008" s="4"/>
      <c r="X2008" s="4"/>
      <c r="Y2008" s="4"/>
      <c r="Z2008" s="4"/>
      <c r="AA2008" s="4"/>
      <c r="AB2008" s="4"/>
      <c r="AC2008" s="4"/>
      <c r="AD2008" s="4"/>
      <c r="AE2008" s="4"/>
      <c r="AF2008" s="4"/>
      <c r="AG2008" s="4"/>
    </row>
    <row r="2009" spans="1:33" s="17" customFormat="1" x14ac:dyDescent="0.2">
      <c r="A2009" s="4"/>
      <c r="B2009" s="49" t="s">
        <v>1317</v>
      </c>
      <c r="C2009" s="36"/>
      <c r="D2009" s="45"/>
      <c r="E2009" s="85"/>
      <c r="F2009" s="30"/>
      <c r="G2009" s="29"/>
      <c r="H2009" s="15"/>
    </row>
    <row r="2010" spans="1:33" x14ac:dyDescent="0.2">
      <c r="B2010" s="52"/>
      <c r="C2010" s="60" t="s">
        <v>961</v>
      </c>
      <c r="D2010" s="44"/>
      <c r="E2010" s="86" t="s">
        <v>1034</v>
      </c>
      <c r="F2010" s="28"/>
      <c r="G2010" s="26"/>
      <c r="H2010" s="21" t="b">
        <f>IF(D2010="x",H$2,H$1)</f>
        <v>0</v>
      </c>
      <c r="I2010" s="4"/>
      <c r="J2010" s="4"/>
      <c r="K2010" s="4"/>
      <c r="L2010" s="4"/>
      <c r="M2010" s="4"/>
      <c r="N2010" s="4"/>
      <c r="O2010" s="4"/>
      <c r="P2010" s="4"/>
      <c r="Q2010" s="4"/>
      <c r="R2010" s="4"/>
      <c r="S2010" s="4"/>
      <c r="T2010" s="4"/>
      <c r="U2010" s="4"/>
      <c r="V2010" s="4"/>
      <c r="W2010" s="4"/>
      <c r="X2010" s="4"/>
      <c r="Y2010" s="4"/>
      <c r="Z2010" s="4"/>
      <c r="AA2010" s="4"/>
      <c r="AB2010" s="4"/>
      <c r="AC2010" s="4"/>
      <c r="AD2010" s="4"/>
      <c r="AE2010" s="4"/>
      <c r="AF2010" s="4"/>
      <c r="AG2010" s="4"/>
    </row>
    <row r="2011" spans="1:33" x14ac:dyDescent="0.2">
      <c r="B2011" s="48"/>
      <c r="C2011" s="61" t="s">
        <v>1318</v>
      </c>
      <c r="D2011" s="44"/>
      <c r="E2011" s="86" t="s">
        <v>1035</v>
      </c>
      <c r="F2011" s="22" t="str">
        <f>IF(H2012=1,IF(H2010=H$2,H2010,""),"")</f>
        <v/>
      </c>
      <c r="G2011" s="26"/>
      <c r="H2011" s="21" t="str">
        <f t="shared" ref="H2011" si="664">IF(E$2117="comprobar",COUNTIF(D2010:D2014,"x"),"")</f>
        <v/>
      </c>
      <c r="I2011" s="4"/>
      <c r="J2011" s="4"/>
      <c r="K2011" s="4"/>
      <c r="L2011" s="4"/>
      <c r="M2011" s="4"/>
      <c r="N2011" s="4"/>
      <c r="O2011" s="4"/>
      <c r="P2011" s="4"/>
      <c r="Q2011" s="4"/>
      <c r="R2011" s="4"/>
      <c r="S2011" s="4"/>
      <c r="T2011" s="4"/>
      <c r="U2011" s="4"/>
      <c r="V2011" s="4"/>
      <c r="W2011" s="4"/>
      <c r="X2011" s="4"/>
      <c r="Y2011" s="4"/>
      <c r="Z2011" s="4"/>
      <c r="AA2011" s="4"/>
      <c r="AB2011" s="4"/>
      <c r="AC2011" s="4"/>
      <c r="AD2011" s="4"/>
      <c r="AE2011" s="4"/>
      <c r="AF2011" s="4"/>
      <c r="AG2011" s="4"/>
    </row>
    <row r="2012" spans="1:33" x14ac:dyDescent="0.2">
      <c r="B2012" s="48"/>
      <c r="C2012" s="61" t="s">
        <v>1319</v>
      </c>
      <c r="D2012" s="44"/>
      <c r="E2012" s="86" t="s">
        <v>1036</v>
      </c>
      <c r="F2012" s="23" t="str">
        <f>IF(H2012=-0.33,IF(H2010=H$1,H2010,""),"")</f>
        <v/>
      </c>
      <c r="G2012" s="26"/>
      <c r="H2012" s="24">
        <f t="shared" ref="H2012" si="665">IF(H2011=1,IF(H2010=H$2,1,-0.33),0)</f>
        <v>0</v>
      </c>
      <c r="I2012" s="4"/>
      <c r="J2012" s="4"/>
      <c r="K2012" s="4"/>
      <c r="L2012" s="4"/>
      <c r="M2012" s="4"/>
      <c r="N2012" s="4"/>
      <c r="O2012" s="4"/>
      <c r="P2012" s="4"/>
      <c r="Q2012" s="4"/>
      <c r="R2012" s="4"/>
      <c r="S2012" s="4"/>
      <c r="T2012" s="4"/>
      <c r="U2012" s="4"/>
      <c r="V2012" s="4"/>
      <c r="W2012" s="4"/>
      <c r="X2012" s="4"/>
      <c r="Y2012" s="4"/>
      <c r="Z2012" s="4"/>
      <c r="AA2012" s="4"/>
      <c r="AB2012" s="4"/>
      <c r="AC2012" s="4"/>
      <c r="AD2012" s="4"/>
      <c r="AE2012" s="4"/>
      <c r="AF2012" s="4"/>
      <c r="AG2012" s="4"/>
    </row>
    <row r="2013" spans="1:33" x14ac:dyDescent="0.2">
      <c r="B2013" s="48"/>
      <c r="C2013" s="61" t="s">
        <v>717</v>
      </c>
      <c r="D2013" s="44"/>
      <c r="E2013" s="86" t="s">
        <v>1037</v>
      </c>
      <c r="F2013" s="28"/>
      <c r="G2013" s="26"/>
      <c r="H2013" s="24"/>
      <c r="I2013" s="4"/>
      <c r="J2013" s="4"/>
      <c r="K2013" s="4"/>
      <c r="L2013" s="4"/>
      <c r="M2013" s="4"/>
      <c r="N2013" s="4"/>
      <c r="O2013" s="4"/>
      <c r="P2013" s="4"/>
      <c r="Q2013" s="4"/>
      <c r="R2013" s="4"/>
      <c r="S2013" s="4"/>
      <c r="T2013" s="4"/>
      <c r="U2013" s="4"/>
      <c r="V2013" s="4"/>
      <c r="W2013" s="4"/>
      <c r="X2013" s="4"/>
      <c r="Y2013" s="4"/>
      <c r="Z2013" s="4"/>
      <c r="AA2013" s="4"/>
      <c r="AB2013" s="4"/>
      <c r="AC2013" s="4"/>
      <c r="AD2013" s="4"/>
      <c r="AE2013" s="4"/>
      <c r="AF2013" s="4"/>
      <c r="AG2013" s="4"/>
    </row>
    <row r="2014" spans="1:33" x14ac:dyDescent="0.2">
      <c r="B2014" s="48"/>
      <c r="C2014" s="39"/>
      <c r="D2014" s="44"/>
      <c r="E2014" s="86" t="s">
        <v>1038</v>
      </c>
      <c r="F2014" s="20"/>
      <c r="G2014" s="19"/>
      <c r="H2014" s="24"/>
      <c r="I2014" s="4"/>
      <c r="J2014" s="4"/>
      <c r="K2014" s="4"/>
      <c r="L2014" s="4"/>
      <c r="M2014" s="4"/>
      <c r="N2014" s="4"/>
      <c r="O2014" s="4"/>
      <c r="P2014" s="4"/>
      <c r="Q2014" s="4"/>
      <c r="R2014" s="4"/>
      <c r="S2014" s="4"/>
      <c r="T2014" s="4"/>
      <c r="U2014" s="4"/>
      <c r="V2014" s="4"/>
      <c r="W2014" s="4"/>
      <c r="X2014" s="4"/>
      <c r="Y2014" s="4"/>
      <c r="Z2014" s="4"/>
      <c r="AA2014" s="4"/>
      <c r="AB2014" s="4"/>
      <c r="AC2014" s="4"/>
      <c r="AD2014" s="4"/>
      <c r="AE2014" s="4"/>
      <c r="AF2014" s="4"/>
      <c r="AG2014" s="4"/>
    </row>
    <row r="2015" spans="1:33" s="17" customFormat="1" x14ac:dyDescent="0.2">
      <c r="A2015" s="4"/>
      <c r="B2015" s="49" t="s">
        <v>1320</v>
      </c>
      <c r="C2015" s="36"/>
      <c r="D2015" s="45"/>
      <c r="E2015" s="85"/>
      <c r="F2015" s="30"/>
      <c r="G2015" s="29"/>
      <c r="H2015" s="15"/>
    </row>
    <row r="2016" spans="1:33" x14ac:dyDescent="0.2">
      <c r="B2016" s="52"/>
      <c r="C2016" s="60" t="s">
        <v>1321</v>
      </c>
      <c r="D2016" s="44"/>
      <c r="E2016" s="86" t="s">
        <v>1034</v>
      </c>
      <c r="F2016" s="28"/>
      <c r="G2016" s="26"/>
      <c r="H2016" s="21" t="b">
        <f>IF(D2019="x",H$2,H$1)</f>
        <v>0</v>
      </c>
      <c r="I2016" s="4"/>
      <c r="J2016" s="4"/>
      <c r="K2016" s="4"/>
      <c r="L2016" s="4"/>
      <c r="M2016" s="4"/>
      <c r="N2016" s="4"/>
      <c r="O2016" s="4"/>
      <c r="P2016" s="4"/>
      <c r="Q2016" s="4"/>
      <c r="R2016" s="4"/>
      <c r="S2016" s="4"/>
      <c r="T2016" s="4"/>
      <c r="U2016" s="4"/>
      <c r="V2016" s="4"/>
      <c r="W2016" s="4"/>
      <c r="X2016" s="4"/>
      <c r="Y2016" s="4"/>
      <c r="Z2016" s="4"/>
      <c r="AA2016" s="4"/>
      <c r="AB2016" s="4"/>
      <c r="AC2016" s="4"/>
      <c r="AD2016" s="4"/>
      <c r="AE2016" s="4"/>
      <c r="AF2016" s="4"/>
      <c r="AG2016" s="4"/>
    </row>
    <row r="2017" spans="1:33" x14ac:dyDescent="0.2">
      <c r="B2017" s="48"/>
      <c r="C2017" s="61" t="s">
        <v>1322</v>
      </c>
      <c r="D2017" s="44"/>
      <c r="E2017" s="86" t="s">
        <v>1035</v>
      </c>
      <c r="F2017" s="22" t="str">
        <f>IF(H2018=1,IF(H2016=H$2,H2016,""),"")</f>
        <v/>
      </c>
      <c r="G2017" s="26"/>
      <c r="H2017" s="21" t="str">
        <f t="shared" ref="H2017" si="666">IF(E$2117="comprobar",COUNTIF(D2016:D2020,"x"),"")</f>
        <v/>
      </c>
      <c r="I2017" s="4"/>
      <c r="J2017" s="4"/>
      <c r="K2017" s="4"/>
      <c r="L2017" s="4"/>
      <c r="M2017" s="4"/>
      <c r="N2017" s="4"/>
      <c r="O2017" s="4"/>
      <c r="P2017" s="4"/>
      <c r="Q2017" s="4"/>
      <c r="R2017" s="4"/>
      <c r="S2017" s="4"/>
      <c r="T2017" s="4"/>
      <c r="U2017" s="4"/>
      <c r="V2017" s="4"/>
      <c r="W2017" s="4"/>
      <c r="X2017" s="4"/>
      <c r="Y2017" s="4"/>
      <c r="Z2017" s="4"/>
      <c r="AA2017" s="4"/>
      <c r="AB2017" s="4"/>
      <c r="AC2017" s="4"/>
      <c r="AD2017" s="4"/>
      <c r="AE2017" s="4"/>
      <c r="AF2017" s="4"/>
      <c r="AG2017" s="4"/>
    </row>
    <row r="2018" spans="1:33" x14ac:dyDescent="0.2">
      <c r="B2018" s="48"/>
      <c r="C2018" s="61" t="s">
        <v>1323</v>
      </c>
      <c r="D2018" s="44"/>
      <c r="E2018" s="86" t="s">
        <v>1036</v>
      </c>
      <c r="F2018" s="23" t="str">
        <f>IF(H2018=-0.33,IF(H2016=H$1,H2016,""),"")</f>
        <v/>
      </c>
      <c r="G2018" s="26"/>
      <c r="H2018" s="24">
        <f t="shared" ref="H2018" si="667">IF(H2017=1,IF(H2016=H$2,1,-0.33),0)</f>
        <v>0</v>
      </c>
      <c r="I2018" s="4"/>
      <c r="J2018" s="4"/>
      <c r="K2018" s="4"/>
      <c r="L2018" s="4"/>
      <c r="M2018" s="4"/>
      <c r="N2018" s="4"/>
      <c r="O2018" s="4"/>
      <c r="P2018" s="4"/>
      <c r="Q2018" s="4"/>
      <c r="R2018" s="4"/>
      <c r="S2018" s="4"/>
      <c r="T2018" s="4"/>
      <c r="U2018" s="4"/>
      <c r="V2018" s="4"/>
      <c r="W2018" s="4"/>
      <c r="X2018" s="4"/>
      <c r="Y2018" s="4"/>
      <c r="Z2018" s="4"/>
      <c r="AA2018" s="4"/>
      <c r="AB2018" s="4"/>
      <c r="AC2018" s="4"/>
      <c r="AD2018" s="4"/>
      <c r="AE2018" s="4"/>
      <c r="AF2018" s="4"/>
      <c r="AG2018" s="4"/>
    </row>
    <row r="2019" spans="1:33" x14ac:dyDescent="0.2">
      <c r="B2019" s="48"/>
      <c r="C2019" s="61" t="s">
        <v>622</v>
      </c>
      <c r="D2019" s="44"/>
      <c r="E2019" s="86" t="s">
        <v>1037</v>
      </c>
      <c r="F2019" s="28"/>
      <c r="G2019" s="26"/>
      <c r="H2019" s="24"/>
      <c r="I2019" s="4"/>
      <c r="J2019" s="4"/>
      <c r="K2019" s="4"/>
      <c r="L2019" s="4"/>
      <c r="M2019" s="4"/>
      <c r="N2019" s="4"/>
      <c r="O2019" s="4"/>
      <c r="P2019" s="4"/>
      <c r="Q2019" s="4"/>
      <c r="R2019" s="4"/>
      <c r="S2019" s="4"/>
      <c r="T2019" s="4"/>
      <c r="U2019" s="4"/>
      <c r="V2019" s="4"/>
      <c r="W2019" s="4"/>
      <c r="X2019" s="4"/>
      <c r="Y2019" s="4"/>
      <c r="Z2019" s="4"/>
      <c r="AA2019" s="4"/>
      <c r="AB2019" s="4"/>
      <c r="AC2019" s="4"/>
      <c r="AD2019" s="4"/>
      <c r="AE2019" s="4"/>
      <c r="AF2019" s="4"/>
      <c r="AG2019" s="4"/>
    </row>
    <row r="2020" spans="1:33" x14ac:dyDescent="0.2">
      <c r="B2020" s="48"/>
      <c r="C2020" s="39"/>
      <c r="D2020" s="44"/>
      <c r="E2020" s="86" t="s">
        <v>1038</v>
      </c>
      <c r="F2020" s="20"/>
      <c r="G2020" s="19"/>
      <c r="H2020" s="24"/>
      <c r="I2020" s="4"/>
      <c r="J2020" s="4"/>
      <c r="K2020" s="4"/>
      <c r="L2020" s="4"/>
      <c r="M2020" s="4"/>
      <c r="N2020" s="4"/>
      <c r="O2020" s="4"/>
      <c r="P2020" s="4"/>
      <c r="Q2020" s="4"/>
      <c r="R2020" s="4"/>
      <c r="S2020" s="4"/>
      <c r="T2020" s="4"/>
      <c r="U2020" s="4"/>
      <c r="V2020" s="4"/>
      <c r="W2020" s="4"/>
      <c r="X2020" s="4"/>
      <c r="Y2020" s="4"/>
      <c r="Z2020" s="4"/>
      <c r="AA2020" s="4"/>
      <c r="AB2020" s="4"/>
      <c r="AC2020" s="4"/>
      <c r="AD2020" s="4"/>
      <c r="AE2020" s="4"/>
      <c r="AF2020" s="4"/>
      <c r="AG2020" s="4"/>
    </row>
    <row r="2021" spans="1:33" s="17" customFormat="1" x14ac:dyDescent="0.2">
      <c r="A2021" s="4"/>
      <c r="B2021" s="49" t="s">
        <v>1324</v>
      </c>
      <c r="C2021" s="36"/>
      <c r="D2021" s="45"/>
      <c r="E2021" s="85"/>
      <c r="F2021" s="30"/>
      <c r="G2021" s="29"/>
      <c r="H2021" s="15"/>
    </row>
    <row r="2022" spans="1:33" x14ac:dyDescent="0.2">
      <c r="B2022" s="52"/>
      <c r="C2022" s="60" t="s">
        <v>1325</v>
      </c>
      <c r="D2022" s="44"/>
      <c r="E2022" s="86" t="s">
        <v>1034</v>
      </c>
      <c r="F2022" s="28"/>
      <c r="G2022" s="26"/>
      <c r="H2022" s="21" t="b">
        <f>IF(D2024="x",H$2,H$1)</f>
        <v>0</v>
      </c>
      <c r="I2022" s="4"/>
      <c r="J2022" s="4"/>
      <c r="K2022" s="4"/>
      <c r="L2022" s="4"/>
      <c r="M2022" s="4"/>
      <c r="N2022" s="4"/>
      <c r="O2022" s="4"/>
      <c r="P2022" s="4"/>
      <c r="Q2022" s="4"/>
      <c r="R2022" s="4"/>
      <c r="S2022" s="4"/>
      <c r="T2022" s="4"/>
      <c r="U2022" s="4"/>
      <c r="V2022" s="4"/>
      <c r="W2022" s="4"/>
      <c r="X2022" s="4"/>
      <c r="Y2022" s="4"/>
      <c r="Z2022" s="4"/>
      <c r="AA2022" s="4"/>
      <c r="AB2022" s="4"/>
      <c r="AC2022" s="4"/>
      <c r="AD2022" s="4"/>
      <c r="AE2022" s="4"/>
      <c r="AF2022" s="4"/>
      <c r="AG2022" s="4"/>
    </row>
    <row r="2023" spans="1:33" x14ac:dyDescent="0.2">
      <c r="B2023" s="48"/>
      <c r="C2023" s="61" t="s">
        <v>1326</v>
      </c>
      <c r="D2023" s="44"/>
      <c r="E2023" s="86" t="s">
        <v>1035</v>
      </c>
      <c r="F2023" s="22" t="str">
        <f>IF(H2024=1,IF(H2022=H$2,H2022,""),"")</f>
        <v/>
      </c>
      <c r="G2023" s="26"/>
      <c r="H2023" s="21" t="str">
        <f t="shared" ref="H2023" si="668">IF(E$2117="comprobar",COUNTIF(D2022:D2026,"x"),"")</f>
        <v/>
      </c>
      <c r="I2023" s="4"/>
      <c r="J2023" s="4"/>
      <c r="K2023" s="4"/>
      <c r="L2023" s="4"/>
      <c r="M2023" s="4"/>
      <c r="N2023" s="4"/>
      <c r="O2023" s="4"/>
      <c r="P2023" s="4"/>
      <c r="Q2023" s="4"/>
      <c r="R2023" s="4"/>
      <c r="S2023" s="4"/>
      <c r="T2023" s="4"/>
      <c r="U2023" s="4"/>
      <c r="V2023" s="4"/>
      <c r="W2023" s="4"/>
      <c r="X2023" s="4"/>
      <c r="Y2023" s="4"/>
      <c r="Z2023" s="4"/>
      <c r="AA2023" s="4"/>
      <c r="AB2023" s="4"/>
      <c r="AC2023" s="4"/>
      <c r="AD2023" s="4"/>
      <c r="AE2023" s="4"/>
      <c r="AF2023" s="4"/>
      <c r="AG2023" s="4"/>
    </row>
    <row r="2024" spans="1:33" ht="32" x14ac:dyDescent="0.2">
      <c r="B2024" s="48"/>
      <c r="C2024" s="61" t="s">
        <v>1327</v>
      </c>
      <c r="D2024" s="44"/>
      <c r="E2024" s="86" t="s">
        <v>1036</v>
      </c>
      <c r="F2024" s="23" t="str">
        <f>IF(H2024=-0.33,IF(H2022=H$1,H2022,""),"")</f>
        <v/>
      </c>
      <c r="G2024" s="26"/>
      <c r="H2024" s="24">
        <f t="shared" ref="H2024" si="669">IF(H2023=1,IF(H2022=H$2,1,-0.33),0)</f>
        <v>0</v>
      </c>
      <c r="I2024" s="4"/>
      <c r="J2024" s="4"/>
      <c r="K2024" s="4"/>
      <c r="L2024" s="4"/>
      <c r="M2024" s="4"/>
      <c r="N2024" s="4"/>
      <c r="O2024" s="4"/>
      <c r="P2024" s="4"/>
      <c r="Q2024" s="4"/>
      <c r="R2024" s="4"/>
      <c r="S2024" s="4"/>
      <c r="T2024" s="4"/>
      <c r="U2024" s="4"/>
      <c r="V2024" s="4"/>
      <c r="W2024" s="4"/>
      <c r="X2024" s="4"/>
      <c r="Y2024" s="4"/>
      <c r="Z2024" s="4"/>
      <c r="AA2024" s="4"/>
      <c r="AB2024" s="4"/>
      <c r="AC2024" s="4"/>
      <c r="AD2024" s="4"/>
      <c r="AE2024" s="4"/>
      <c r="AF2024" s="4"/>
      <c r="AG2024" s="4"/>
    </row>
    <row r="2025" spans="1:33" x14ac:dyDescent="0.2">
      <c r="B2025" s="48"/>
      <c r="C2025" s="61" t="s">
        <v>622</v>
      </c>
      <c r="D2025" s="44"/>
      <c r="E2025" s="86" t="s">
        <v>1037</v>
      </c>
      <c r="F2025" s="28"/>
      <c r="G2025" s="26"/>
      <c r="H2025" s="24"/>
      <c r="I2025" s="4"/>
      <c r="J2025" s="4"/>
      <c r="K2025" s="4"/>
      <c r="L2025" s="4"/>
      <c r="M2025" s="4"/>
      <c r="N2025" s="4"/>
      <c r="O2025" s="4"/>
      <c r="P2025" s="4"/>
      <c r="Q2025" s="4"/>
      <c r="R2025" s="4"/>
      <c r="S2025" s="4"/>
      <c r="T2025" s="4"/>
      <c r="U2025" s="4"/>
      <c r="V2025" s="4"/>
      <c r="W2025" s="4"/>
      <c r="X2025" s="4"/>
      <c r="Y2025" s="4"/>
      <c r="Z2025" s="4"/>
      <c r="AA2025" s="4"/>
      <c r="AB2025" s="4"/>
      <c r="AC2025" s="4"/>
      <c r="AD2025" s="4"/>
      <c r="AE2025" s="4"/>
      <c r="AF2025" s="4"/>
      <c r="AG2025" s="4"/>
    </row>
    <row r="2026" spans="1:33" x14ac:dyDescent="0.2">
      <c r="B2026" s="48"/>
      <c r="C2026" s="39"/>
      <c r="D2026" s="44"/>
      <c r="E2026" s="86" t="s">
        <v>1038</v>
      </c>
      <c r="F2026" s="20"/>
      <c r="G2026" s="19"/>
      <c r="H2026" s="24"/>
      <c r="I2026" s="4"/>
      <c r="J2026" s="4"/>
      <c r="K2026" s="4"/>
      <c r="L2026" s="4"/>
      <c r="M2026" s="4"/>
      <c r="N2026" s="4"/>
      <c r="O2026" s="4"/>
      <c r="P2026" s="4"/>
      <c r="Q2026" s="4"/>
      <c r="R2026" s="4"/>
      <c r="S2026" s="4"/>
      <c r="T2026" s="4"/>
      <c r="U2026" s="4"/>
      <c r="V2026" s="4"/>
      <c r="W2026" s="4"/>
      <c r="X2026" s="4"/>
      <c r="Y2026" s="4"/>
      <c r="Z2026" s="4"/>
      <c r="AA2026" s="4"/>
      <c r="AB2026" s="4"/>
      <c r="AC2026" s="4"/>
      <c r="AD2026" s="4"/>
      <c r="AE2026" s="4"/>
      <c r="AF2026" s="4"/>
      <c r="AG2026" s="4"/>
    </row>
    <row r="2027" spans="1:33" s="17" customFormat="1" x14ac:dyDescent="0.2">
      <c r="A2027" s="4"/>
      <c r="B2027" s="49" t="s">
        <v>1328</v>
      </c>
      <c r="C2027" s="36"/>
      <c r="D2027" s="45"/>
      <c r="E2027" s="85"/>
      <c r="F2027" s="30"/>
      <c r="G2027" s="29"/>
      <c r="H2027" s="15"/>
    </row>
    <row r="2028" spans="1:33" x14ac:dyDescent="0.2">
      <c r="B2028" s="52"/>
      <c r="C2028" s="60" t="s">
        <v>1329</v>
      </c>
      <c r="D2028" s="44"/>
      <c r="E2028" s="86" t="s">
        <v>1034</v>
      </c>
      <c r="F2028" s="28"/>
      <c r="G2028" s="26"/>
      <c r="H2028" s="21" t="b">
        <f>IF(D2030="x",H$2,H$1)</f>
        <v>0</v>
      </c>
      <c r="I2028" s="4"/>
      <c r="J2028" s="4"/>
      <c r="K2028" s="4"/>
      <c r="L2028" s="4"/>
      <c r="M2028" s="4"/>
      <c r="N2028" s="4"/>
      <c r="O2028" s="4"/>
      <c r="P2028" s="4"/>
      <c r="Q2028" s="4"/>
      <c r="R2028" s="4"/>
      <c r="S2028" s="4"/>
      <c r="T2028" s="4"/>
      <c r="U2028" s="4"/>
      <c r="V2028" s="4"/>
      <c r="W2028" s="4"/>
      <c r="X2028" s="4"/>
      <c r="Y2028" s="4"/>
      <c r="Z2028" s="4"/>
      <c r="AA2028" s="4"/>
      <c r="AB2028" s="4"/>
      <c r="AC2028" s="4"/>
      <c r="AD2028" s="4"/>
      <c r="AE2028" s="4"/>
      <c r="AF2028" s="4"/>
      <c r="AG2028" s="4"/>
    </row>
    <row r="2029" spans="1:33" x14ac:dyDescent="0.2">
      <c r="B2029" s="48"/>
      <c r="C2029" s="61" t="s">
        <v>1330</v>
      </c>
      <c r="D2029" s="44"/>
      <c r="E2029" s="86" t="s">
        <v>1035</v>
      </c>
      <c r="F2029" s="22" t="str">
        <f>IF(H2030=1,IF(H2028=H$2,H2028,""),"")</f>
        <v/>
      </c>
      <c r="G2029" s="26"/>
      <c r="H2029" s="21" t="str">
        <f t="shared" ref="H2029" si="670">IF(E$2117="comprobar",COUNTIF(D2028:D2032,"x"),"")</f>
        <v/>
      </c>
      <c r="I2029" s="4"/>
      <c r="J2029" s="4"/>
      <c r="K2029" s="4"/>
      <c r="L2029" s="4"/>
      <c r="M2029" s="4"/>
      <c r="N2029" s="4"/>
      <c r="O2029" s="4"/>
      <c r="P2029" s="4"/>
      <c r="Q2029" s="4"/>
      <c r="R2029" s="4"/>
      <c r="S2029" s="4"/>
      <c r="T2029" s="4"/>
      <c r="U2029" s="4"/>
      <c r="V2029" s="4"/>
      <c r="W2029" s="4"/>
      <c r="X2029" s="4"/>
      <c r="Y2029" s="4"/>
      <c r="Z2029" s="4"/>
      <c r="AA2029" s="4"/>
      <c r="AB2029" s="4"/>
      <c r="AC2029" s="4"/>
      <c r="AD2029" s="4"/>
      <c r="AE2029" s="4"/>
      <c r="AF2029" s="4"/>
      <c r="AG2029" s="4"/>
    </row>
    <row r="2030" spans="1:33" x14ac:dyDescent="0.2">
      <c r="B2030" s="48"/>
      <c r="C2030" s="61" t="s">
        <v>1331</v>
      </c>
      <c r="D2030" s="44"/>
      <c r="E2030" s="86" t="s">
        <v>1036</v>
      </c>
      <c r="F2030" s="23" t="str">
        <f>IF(H2030=-0.33,IF(H2028=H$1,H2028,""),"")</f>
        <v/>
      </c>
      <c r="G2030" s="26"/>
      <c r="H2030" s="24">
        <f t="shared" ref="H2030" si="671">IF(H2029=1,IF(H2028=H$2,1,-0.33),0)</f>
        <v>0</v>
      </c>
      <c r="I2030" s="4"/>
      <c r="J2030" s="4"/>
      <c r="K2030" s="4"/>
      <c r="L2030" s="4"/>
      <c r="M2030" s="4"/>
      <c r="N2030" s="4"/>
      <c r="O2030" s="4"/>
      <c r="P2030" s="4"/>
      <c r="Q2030" s="4"/>
      <c r="R2030" s="4"/>
      <c r="S2030" s="4"/>
      <c r="T2030" s="4"/>
      <c r="U2030" s="4"/>
      <c r="V2030" s="4"/>
      <c r="W2030" s="4"/>
      <c r="X2030" s="4"/>
      <c r="Y2030" s="4"/>
      <c r="Z2030" s="4"/>
      <c r="AA2030" s="4"/>
      <c r="AB2030" s="4"/>
      <c r="AC2030" s="4"/>
      <c r="AD2030" s="4"/>
      <c r="AE2030" s="4"/>
      <c r="AF2030" s="4"/>
      <c r="AG2030" s="4"/>
    </row>
    <row r="2031" spans="1:33" x14ac:dyDescent="0.2">
      <c r="B2031" s="48"/>
      <c r="C2031" s="61" t="s">
        <v>622</v>
      </c>
      <c r="D2031" s="44"/>
      <c r="E2031" s="86" t="s">
        <v>1037</v>
      </c>
      <c r="F2031" s="28"/>
      <c r="G2031" s="26"/>
      <c r="H2031" s="24"/>
      <c r="I2031" s="4"/>
      <c r="J2031" s="4"/>
      <c r="K2031" s="4"/>
      <c r="L2031" s="4"/>
      <c r="M2031" s="4"/>
      <c r="N2031" s="4"/>
      <c r="O2031" s="4"/>
      <c r="P2031" s="4"/>
      <c r="Q2031" s="4"/>
      <c r="R2031" s="4"/>
      <c r="S2031" s="4"/>
      <c r="T2031" s="4"/>
      <c r="U2031" s="4"/>
      <c r="V2031" s="4"/>
      <c r="W2031" s="4"/>
      <c r="X2031" s="4"/>
      <c r="Y2031" s="4"/>
      <c r="Z2031" s="4"/>
      <c r="AA2031" s="4"/>
      <c r="AB2031" s="4"/>
      <c r="AC2031" s="4"/>
      <c r="AD2031" s="4"/>
      <c r="AE2031" s="4"/>
      <c r="AF2031" s="4"/>
      <c r="AG2031" s="4"/>
    </row>
    <row r="2032" spans="1:33" x14ac:dyDescent="0.2">
      <c r="B2032" s="48"/>
      <c r="C2032" s="39"/>
      <c r="D2032" s="44"/>
      <c r="E2032" s="86" t="s">
        <v>1038</v>
      </c>
      <c r="F2032" s="20"/>
      <c r="G2032" s="19"/>
      <c r="H2032" s="24"/>
      <c r="I2032" s="4"/>
      <c r="J2032" s="4"/>
      <c r="K2032" s="4"/>
      <c r="L2032" s="4"/>
      <c r="M2032" s="4"/>
      <c r="N2032" s="4"/>
      <c r="O2032" s="4"/>
      <c r="P2032" s="4"/>
      <c r="Q2032" s="4"/>
      <c r="R2032" s="4"/>
      <c r="S2032" s="4"/>
      <c r="T2032" s="4"/>
      <c r="U2032" s="4"/>
      <c r="V2032" s="4"/>
      <c r="W2032" s="4"/>
      <c r="X2032" s="4"/>
      <c r="Y2032" s="4"/>
      <c r="Z2032" s="4"/>
      <c r="AA2032" s="4"/>
      <c r="AB2032" s="4"/>
      <c r="AC2032" s="4"/>
      <c r="AD2032" s="4"/>
      <c r="AE2032" s="4"/>
      <c r="AF2032" s="4"/>
      <c r="AG2032" s="4"/>
    </row>
    <row r="2033" spans="1:33" s="17" customFormat="1" x14ac:dyDescent="0.2">
      <c r="A2033" s="4"/>
      <c r="B2033" s="49" t="s">
        <v>1332</v>
      </c>
      <c r="C2033" s="36"/>
      <c r="D2033" s="45"/>
      <c r="E2033" s="85"/>
      <c r="F2033" s="30"/>
      <c r="G2033" s="29"/>
      <c r="H2033" s="15"/>
    </row>
    <row r="2034" spans="1:33" ht="32" x14ac:dyDescent="0.2">
      <c r="B2034" s="52"/>
      <c r="C2034" s="60" t="s">
        <v>1333</v>
      </c>
      <c r="D2034" s="44"/>
      <c r="E2034" s="86" t="s">
        <v>1034</v>
      </c>
      <c r="F2034" s="28"/>
      <c r="G2034" s="26"/>
      <c r="H2034" s="21" t="b">
        <f>IF(D2037="x",H$2,H$1)</f>
        <v>0</v>
      </c>
      <c r="I2034" s="4"/>
      <c r="J2034" s="4"/>
      <c r="K2034" s="4"/>
      <c r="L2034" s="4"/>
      <c r="M2034" s="4"/>
      <c r="N2034" s="4"/>
      <c r="O2034" s="4"/>
      <c r="P2034" s="4"/>
      <c r="Q2034" s="4"/>
      <c r="R2034" s="4"/>
      <c r="S2034" s="4"/>
      <c r="T2034" s="4"/>
      <c r="U2034" s="4"/>
      <c r="V2034" s="4"/>
      <c r="W2034" s="4"/>
      <c r="X2034" s="4"/>
      <c r="Y2034" s="4"/>
      <c r="Z2034" s="4"/>
      <c r="AA2034" s="4"/>
      <c r="AB2034" s="4"/>
      <c r="AC2034" s="4"/>
      <c r="AD2034" s="4"/>
      <c r="AE2034" s="4"/>
      <c r="AF2034" s="4"/>
      <c r="AG2034" s="4"/>
    </row>
    <row r="2035" spans="1:33" x14ac:dyDescent="0.2">
      <c r="B2035" s="48"/>
      <c r="C2035" s="61" t="s">
        <v>1334</v>
      </c>
      <c r="D2035" s="44"/>
      <c r="E2035" s="86" t="s">
        <v>1035</v>
      </c>
      <c r="F2035" s="22" t="str">
        <f>IF(H2036=1,IF(H2034=H$2,H2034,""),"")</f>
        <v/>
      </c>
      <c r="G2035" s="26"/>
      <c r="H2035" s="21" t="str">
        <f t="shared" ref="H2035" si="672">IF(E$2117="comprobar",COUNTIF(D2034:D2038,"x"),"")</f>
        <v/>
      </c>
      <c r="I2035" s="4"/>
      <c r="J2035" s="4"/>
      <c r="K2035" s="4"/>
      <c r="L2035" s="4"/>
      <c r="M2035" s="4"/>
      <c r="N2035" s="4"/>
      <c r="O2035" s="4"/>
      <c r="P2035" s="4"/>
      <c r="Q2035" s="4"/>
      <c r="R2035" s="4"/>
      <c r="S2035" s="4"/>
      <c r="T2035" s="4"/>
      <c r="U2035" s="4"/>
      <c r="V2035" s="4"/>
      <c r="W2035" s="4"/>
      <c r="X2035" s="4"/>
      <c r="Y2035" s="4"/>
      <c r="Z2035" s="4"/>
      <c r="AA2035" s="4"/>
      <c r="AB2035" s="4"/>
      <c r="AC2035" s="4"/>
      <c r="AD2035" s="4"/>
      <c r="AE2035" s="4"/>
      <c r="AF2035" s="4"/>
      <c r="AG2035" s="4"/>
    </row>
    <row r="2036" spans="1:33" x14ac:dyDescent="0.2">
      <c r="B2036" s="48"/>
      <c r="C2036" s="61" t="s">
        <v>1335</v>
      </c>
      <c r="D2036" s="44"/>
      <c r="E2036" s="86" t="s">
        <v>1036</v>
      </c>
      <c r="F2036" s="23" t="str">
        <f>IF(H2036=-0.33,IF(H2034=H$1,H2034,""),"")</f>
        <v/>
      </c>
      <c r="G2036" s="26"/>
      <c r="H2036" s="24">
        <f t="shared" ref="H2036" si="673">IF(H2035=1,IF(H2034=H$2,1,-0.33),0)</f>
        <v>0</v>
      </c>
      <c r="I2036" s="4"/>
      <c r="J2036" s="4"/>
      <c r="K2036" s="4"/>
      <c r="L2036" s="4"/>
      <c r="M2036" s="4"/>
      <c r="N2036" s="4"/>
      <c r="O2036" s="4"/>
      <c r="P2036" s="4"/>
      <c r="Q2036" s="4"/>
      <c r="R2036" s="4"/>
      <c r="S2036" s="4"/>
      <c r="T2036" s="4"/>
      <c r="U2036" s="4"/>
      <c r="V2036" s="4"/>
      <c r="W2036" s="4"/>
      <c r="X2036" s="4"/>
      <c r="Y2036" s="4"/>
      <c r="Z2036" s="4"/>
      <c r="AA2036" s="4"/>
      <c r="AB2036" s="4"/>
      <c r="AC2036" s="4"/>
      <c r="AD2036" s="4"/>
      <c r="AE2036" s="4"/>
      <c r="AF2036" s="4"/>
      <c r="AG2036" s="4"/>
    </row>
    <row r="2037" spans="1:33" x14ac:dyDescent="0.2">
      <c r="B2037" s="48"/>
      <c r="C2037" s="61" t="s">
        <v>1336</v>
      </c>
      <c r="D2037" s="44"/>
      <c r="E2037" s="86" t="s">
        <v>1037</v>
      </c>
      <c r="F2037" s="28"/>
      <c r="G2037" s="26"/>
      <c r="H2037" s="24"/>
      <c r="I2037" s="4"/>
      <c r="J2037" s="4"/>
      <c r="K2037" s="4"/>
      <c r="L2037" s="4"/>
      <c r="M2037" s="4"/>
      <c r="N2037" s="4"/>
      <c r="O2037" s="4"/>
      <c r="P2037" s="4"/>
      <c r="Q2037" s="4"/>
      <c r="R2037" s="4"/>
      <c r="S2037" s="4"/>
      <c r="T2037" s="4"/>
      <c r="U2037" s="4"/>
      <c r="V2037" s="4"/>
      <c r="W2037" s="4"/>
      <c r="X2037" s="4"/>
      <c r="Y2037" s="4"/>
      <c r="Z2037" s="4"/>
      <c r="AA2037" s="4"/>
      <c r="AB2037" s="4"/>
      <c r="AC2037" s="4"/>
      <c r="AD2037" s="4"/>
      <c r="AE2037" s="4"/>
      <c r="AF2037" s="4"/>
      <c r="AG2037" s="4"/>
    </row>
    <row r="2038" spans="1:33" x14ac:dyDescent="0.2">
      <c r="B2038" s="48"/>
      <c r="C2038" s="39"/>
      <c r="D2038" s="44"/>
      <c r="E2038" s="86" t="s">
        <v>1038</v>
      </c>
      <c r="F2038" s="20"/>
      <c r="G2038" s="19"/>
      <c r="H2038" s="24"/>
      <c r="I2038" s="4"/>
      <c r="J2038" s="4"/>
      <c r="K2038" s="4"/>
      <c r="L2038" s="4"/>
      <c r="M2038" s="4"/>
      <c r="N2038" s="4"/>
      <c r="O2038" s="4"/>
      <c r="P2038" s="4"/>
      <c r="Q2038" s="4"/>
      <c r="R2038" s="4"/>
      <c r="S2038" s="4"/>
      <c r="T2038" s="4"/>
      <c r="U2038" s="4"/>
      <c r="V2038" s="4"/>
      <c r="W2038" s="4"/>
      <c r="X2038" s="4"/>
      <c r="Y2038" s="4"/>
      <c r="Z2038" s="4"/>
      <c r="AA2038" s="4"/>
      <c r="AB2038" s="4"/>
      <c r="AC2038" s="4"/>
      <c r="AD2038" s="4"/>
      <c r="AE2038" s="4"/>
      <c r="AF2038" s="4"/>
      <c r="AG2038" s="4"/>
    </row>
    <row r="2039" spans="1:33" s="17" customFormat="1" x14ac:dyDescent="0.2">
      <c r="A2039" s="4"/>
      <c r="B2039" s="49" t="s">
        <v>1337</v>
      </c>
      <c r="C2039" s="36"/>
      <c r="D2039" s="45"/>
      <c r="E2039" s="85"/>
      <c r="F2039" s="30"/>
      <c r="G2039" s="29"/>
      <c r="H2039" s="15"/>
    </row>
    <row r="2040" spans="1:33" x14ac:dyDescent="0.2">
      <c r="B2040" s="52"/>
      <c r="C2040" s="60" t="s">
        <v>1338</v>
      </c>
      <c r="D2040" s="44"/>
      <c r="E2040" s="86" t="s">
        <v>1034</v>
      </c>
      <c r="F2040" s="28"/>
      <c r="G2040" s="26"/>
      <c r="H2040" s="21" t="b">
        <f>IF(D2041="x",H$2,H$1)</f>
        <v>0</v>
      </c>
      <c r="I2040" s="4"/>
      <c r="J2040" s="4"/>
      <c r="K2040" s="4"/>
      <c r="L2040" s="4"/>
      <c r="M2040" s="4"/>
      <c r="N2040" s="4"/>
      <c r="O2040" s="4"/>
      <c r="P2040" s="4"/>
      <c r="Q2040" s="4"/>
      <c r="R2040" s="4"/>
      <c r="S2040" s="4"/>
      <c r="T2040" s="4"/>
      <c r="U2040" s="4"/>
      <c r="V2040" s="4"/>
      <c r="W2040" s="4"/>
      <c r="X2040" s="4"/>
      <c r="Y2040" s="4"/>
      <c r="Z2040" s="4"/>
      <c r="AA2040" s="4"/>
      <c r="AB2040" s="4"/>
      <c r="AC2040" s="4"/>
      <c r="AD2040" s="4"/>
      <c r="AE2040" s="4"/>
      <c r="AF2040" s="4"/>
      <c r="AG2040" s="4"/>
    </row>
    <row r="2041" spans="1:33" x14ac:dyDescent="0.2">
      <c r="B2041" s="48"/>
      <c r="C2041" s="61" t="s">
        <v>1339</v>
      </c>
      <c r="D2041" s="44"/>
      <c r="E2041" s="86" t="s">
        <v>1035</v>
      </c>
      <c r="F2041" s="22" t="str">
        <f>IF(H2042=1,IF(H2040=H$2,H2040,""),"")</f>
        <v/>
      </c>
      <c r="G2041" s="26"/>
      <c r="H2041" s="21" t="str">
        <f t="shared" ref="H2041" si="674">IF(E$2117="comprobar",COUNTIF(D2040:D2044,"x"),"")</f>
        <v/>
      </c>
      <c r="I2041" s="4"/>
      <c r="J2041" s="4"/>
      <c r="K2041" s="4"/>
      <c r="L2041" s="4"/>
      <c r="M2041" s="4"/>
      <c r="N2041" s="4"/>
      <c r="O2041" s="4"/>
      <c r="P2041" s="4"/>
      <c r="Q2041" s="4"/>
      <c r="R2041" s="4"/>
      <c r="S2041" s="4"/>
      <c r="T2041" s="4"/>
      <c r="U2041" s="4"/>
      <c r="V2041" s="4"/>
      <c r="W2041" s="4"/>
      <c r="X2041" s="4"/>
      <c r="Y2041" s="4"/>
      <c r="Z2041" s="4"/>
      <c r="AA2041" s="4"/>
      <c r="AB2041" s="4"/>
      <c r="AC2041" s="4"/>
      <c r="AD2041" s="4"/>
      <c r="AE2041" s="4"/>
      <c r="AF2041" s="4"/>
      <c r="AG2041" s="4"/>
    </row>
    <row r="2042" spans="1:33" x14ac:dyDescent="0.2">
      <c r="B2042" s="48"/>
      <c r="C2042" s="61" t="s">
        <v>1340</v>
      </c>
      <c r="D2042" s="44"/>
      <c r="E2042" s="86" t="s">
        <v>1036</v>
      </c>
      <c r="F2042" s="23" t="str">
        <f>IF(H2042=-0.33,IF(H2040=H$1,H2040,""),"")</f>
        <v/>
      </c>
      <c r="G2042" s="26"/>
      <c r="H2042" s="24">
        <f t="shared" ref="H2042" si="675">IF(H2041=1,IF(H2040=H$2,1,-0.33),0)</f>
        <v>0</v>
      </c>
      <c r="I2042" s="4"/>
      <c r="J2042" s="4"/>
      <c r="K2042" s="4"/>
      <c r="L2042" s="4"/>
      <c r="M2042" s="4"/>
      <c r="N2042" s="4"/>
      <c r="O2042" s="4"/>
      <c r="P2042" s="4"/>
      <c r="Q2042" s="4"/>
      <c r="R2042" s="4"/>
      <c r="S2042" s="4"/>
      <c r="T2042" s="4"/>
      <c r="U2042" s="4"/>
      <c r="V2042" s="4"/>
      <c r="W2042" s="4"/>
      <c r="X2042" s="4"/>
      <c r="Y2042" s="4"/>
      <c r="Z2042" s="4"/>
      <c r="AA2042" s="4"/>
      <c r="AB2042" s="4"/>
      <c r="AC2042" s="4"/>
      <c r="AD2042" s="4"/>
      <c r="AE2042" s="4"/>
      <c r="AF2042" s="4"/>
      <c r="AG2042" s="4"/>
    </row>
    <row r="2043" spans="1:33" x14ac:dyDescent="0.2">
      <c r="B2043" s="48"/>
      <c r="C2043" s="61" t="s">
        <v>622</v>
      </c>
      <c r="D2043" s="44"/>
      <c r="E2043" s="86" t="s">
        <v>1037</v>
      </c>
      <c r="F2043" s="28"/>
      <c r="G2043" s="26"/>
      <c r="H2043" s="24"/>
      <c r="I2043" s="4"/>
      <c r="J2043" s="4"/>
      <c r="K2043" s="4"/>
      <c r="L2043" s="4"/>
      <c r="M2043" s="4"/>
      <c r="N2043" s="4"/>
      <c r="O2043" s="4"/>
      <c r="P2043" s="4"/>
      <c r="Q2043" s="4"/>
      <c r="R2043" s="4"/>
      <c r="S2043" s="4"/>
      <c r="T2043" s="4"/>
      <c r="U2043" s="4"/>
      <c r="V2043" s="4"/>
      <c r="W2043" s="4"/>
      <c r="X2043" s="4"/>
      <c r="Y2043" s="4"/>
      <c r="Z2043" s="4"/>
      <c r="AA2043" s="4"/>
      <c r="AB2043" s="4"/>
      <c r="AC2043" s="4"/>
      <c r="AD2043" s="4"/>
      <c r="AE2043" s="4"/>
      <c r="AF2043" s="4"/>
      <c r="AG2043" s="4"/>
    </row>
    <row r="2044" spans="1:33" x14ac:dyDescent="0.2">
      <c r="B2044" s="48"/>
      <c r="C2044" s="39"/>
      <c r="D2044" s="44"/>
      <c r="E2044" s="86" t="s">
        <v>1038</v>
      </c>
      <c r="F2044" s="20"/>
      <c r="G2044" s="19"/>
      <c r="H2044" s="24"/>
      <c r="I2044" s="4"/>
      <c r="J2044" s="4"/>
      <c r="K2044" s="4"/>
      <c r="L2044" s="4"/>
      <c r="M2044" s="4"/>
      <c r="N2044" s="4"/>
      <c r="O2044" s="4"/>
      <c r="P2044" s="4"/>
      <c r="Q2044" s="4"/>
      <c r="R2044" s="4"/>
      <c r="S2044" s="4"/>
      <c r="T2044" s="4"/>
      <c r="U2044" s="4"/>
      <c r="V2044" s="4"/>
      <c r="W2044" s="4"/>
      <c r="X2044" s="4"/>
      <c r="Y2044" s="4"/>
      <c r="Z2044" s="4"/>
      <c r="AA2044" s="4"/>
      <c r="AB2044" s="4"/>
      <c r="AC2044" s="4"/>
      <c r="AD2044" s="4"/>
      <c r="AE2044" s="4"/>
      <c r="AF2044" s="4"/>
      <c r="AG2044" s="4"/>
    </row>
    <row r="2045" spans="1:33" s="17" customFormat="1" x14ac:dyDescent="0.2">
      <c r="A2045" s="4"/>
      <c r="B2045" s="49" t="s">
        <v>1341</v>
      </c>
      <c r="C2045" s="36"/>
      <c r="D2045" s="45"/>
      <c r="E2045" s="85"/>
      <c r="F2045" s="30"/>
      <c r="G2045" s="29"/>
      <c r="H2045" s="15"/>
    </row>
    <row r="2046" spans="1:33" x14ac:dyDescent="0.2">
      <c r="B2046" s="52"/>
      <c r="C2046" s="60" t="s">
        <v>1082</v>
      </c>
      <c r="D2046" s="44"/>
      <c r="E2046" s="86" t="s">
        <v>1034</v>
      </c>
      <c r="F2046" s="28"/>
      <c r="G2046" s="26"/>
      <c r="H2046" s="21" t="b">
        <f>IF(D2046="x",H$2,H$1)</f>
        <v>0</v>
      </c>
      <c r="I2046" s="4"/>
      <c r="J2046" s="4"/>
      <c r="K2046" s="4"/>
      <c r="L2046" s="4"/>
      <c r="M2046" s="4"/>
      <c r="N2046" s="4"/>
      <c r="O2046" s="4"/>
      <c r="P2046" s="4"/>
      <c r="Q2046" s="4"/>
      <c r="R2046" s="4"/>
      <c r="S2046" s="4"/>
      <c r="T2046" s="4"/>
      <c r="U2046" s="4"/>
      <c r="V2046" s="4"/>
      <c r="W2046" s="4"/>
      <c r="X2046" s="4"/>
      <c r="Y2046" s="4"/>
      <c r="Z2046" s="4"/>
      <c r="AA2046" s="4"/>
      <c r="AB2046" s="4"/>
      <c r="AC2046" s="4"/>
      <c r="AD2046" s="4"/>
      <c r="AE2046" s="4"/>
      <c r="AF2046" s="4"/>
      <c r="AG2046" s="4"/>
    </row>
    <row r="2047" spans="1:33" x14ac:dyDescent="0.2">
      <c r="B2047" s="48"/>
      <c r="C2047" s="61" t="s">
        <v>1342</v>
      </c>
      <c r="D2047" s="44"/>
      <c r="E2047" s="86" t="s">
        <v>1035</v>
      </c>
      <c r="F2047" s="22" t="str">
        <f>IF(H2048=1,IF(H2046=H$2,H2046,""),"")</f>
        <v/>
      </c>
      <c r="G2047" s="26"/>
      <c r="H2047" s="21" t="str">
        <f t="shared" ref="H2047" si="676">IF(E$2117="comprobar",COUNTIF(D2046:D2050,"x"),"")</f>
        <v/>
      </c>
      <c r="I2047" s="4"/>
      <c r="J2047" s="4"/>
      <c r="K2047" s="4"/>
      <c r="L2047" s="4"/>
      <c r="M2047" s="4"/>
      <c r="N2047" s="4"/>
      <c r="O2047" s="4"/>
      <c r="P2047" s="4"/>
      <c r="Q2047" s="4"/>
      <c r="R2047" s="4"/>
      <c r="S2047" s="4"/>
      <c r="T2047" s="4"/>
      <c r="U2047" s="4"/>
      <c r="V2047" s="4"/>
      <c r="W2047" s="4"/>
      <c r="X2047" s="4"/>
      <c r="Y2047" s="4"/>
      <c r="Z2047" s="4"/>
      <c r="AA2047" s="4"/>
      <c r="AB2047" s="4"/>
      <c r="AC2047" s="4"/>
      <c r="AD2047" s="4"/>
      <c r="AE2047" s="4"/>
      <c r="AF2047" s="4"/>
      <c r="AG2047" s="4"/>
    </row>
    <row r="2048" spans="1:33" x14ac:dyDescent="0.2">
      <c r="B2048" s="48"/>
      <c r="C2048" s="61" t="s">
        <v>1343</v>
      </c>
      <c r="D2048" s="44"/>
      <c r="E2048" s="86" t="s">
        <v>1036</v>
      </c>
      <c r="F2048" s="23" t="str">
        <f>IF(H2048=-0.33,IF(H2046=H$1,H2046,""),"")</f>
        <v/>
      </c>
      <c r="G2048" s="26"/>
      <c r="H2048" s="24">
        <f t="shared" ref="H2048" si="677">IF(H2047=1,IF(H2046=H$2,1,-0.33),0)</f>
        <v>0</v>
      </c>
      <c r="I2048" s="4"/>
      <c r="J2048" s="4"/>
      <c r="K2048" s="4"/>
      <c r="L2048" s="4"/>
      <c r="M2048" s="4"/>
      <c r="N2048" s="4"/>
      <c r="O2048" s="4"/>
      <c r="P2048" s="4"/>
      <c r="Q2048" s="4"/>
      <c r="R2048" s="4"/>
      <c r="S2048" s="4"/>
      <c r="T2048" s="4"/>
      <c r="U2048" s="4"/>
      <c r="V2048" s="4"/>
      <c r="W2048" s="4"/>
      <c r="X2048" s="4"/>
      <c r="Y2048" s="4"/>
      <c r="Z2048" s="4"/>
      <c r="AA2048" s="4"/>
      <c r="AB2048" s="4"/>
      <c r="AC2048" s="4"/>
      <c r="AD2048" s="4"/>
      <c r="AE2048" s="4"/>
      <c r="AF2048" s="4"/>
      <c r="AG2048" s="4"/>
    </row>
    <row r="2049" spans="1:33" x14ac:dyDescent="0.2">
      <c r="B2049" s="48"/>
      <c r="C2049" s="61" t="s">
        <v>1085</v>
      </c>
      <c r="D2049" s="44"/>
      <c r="E2049" s="86" t="s">
        <v>1037</v>
      </c>
      <c r="F2049" s="28"/>
      <c r="G2049" s="26"/>
      <c r="H2049" s="24"/>
      <c r="I2049" s="4"/>
      <c r="J2049" s="4"/>
      <c r="K2049" s="4"/>
      <c r="L2049" s="4"/>
      <c r="M2049" s="4"/>
      <c r="N2049" s="4"/>
      <c r="O2049" s="4"/>
      <c r="P2049" s="4"/>
      <c r="Q2049" s="4"/>
      <c r="R2049" s="4"/>
      <c r="S2049" s="4"/>
      <c r="T2049" s="4"/>
      <c r="U2049" s="4"/>
      <c r="V2049" s="4"/>
      <c r="W2049" s="4"/>
      <c r="X2049" s="4"/>
      <c r="Y2049" s="4"/>
      <c r="Z2049" s="4"/>
      <c r="AA2049" s="4"/>
      <c r="AB2049" s="4"/>
      <c r="AC2049" s="4"/>
      <c r="AD2049" s="4"/>
      <c r="AE2049" s="4"/>
      <c r="AF2049" s="4"/>
      <c r="AG2049" s="4"/>
    </row>
    <row r="2050" spans="1:33" x14ac:dyDescent="0.2">
      <c r="B2050" s="48"/>
      <c r="C2050" s="39"/>
      <c r="D2050" s="44"/>
      <c r="E2050" s="86" t="s">
        <v>1038</v>
      </c>
      <c r="F2050" s="20"/>
      <c r="G2050" s="19"/>
      <c r="H2050" s="24"/>
      <c r="I2050" s="4"/>
      <c r="J2050" s="4"/>
      <c r="K2050" s="4"/>
      <c r="L2050" s="4"/>
      <c r="M2050" s="4"/>
      <c r="N2050" s="4"/>
      <c r="O2050" s="4"/>
      <c r="P2050" s="4"/>
      <c r="Q2050" s="4"/>
      <c r="R2050" s="4"/>
      <c r="S2050" s="4"/>
      <c r="T2050" s="4"/>
      <c r="U2050" s="4"/>
      <c r="V2050" s="4"/>
      <c r="W2050" s="4"/>
      <c r="X2050" s="4"/>
      <c r="Y2050" s="4"/>
      <c r="Z2050" s="4"/>
      <c r="AA2050" s="4"/>
      <c r="AB2050" s="4"/>
      <c r="AC2050" s="4"/>
      <c r="AD2050" s="4"/>
      <c r="AE2050" s="4"/>
      <c r="AF2050" s="4"/>
      <c r="AG2050" s="4"/>
    </row>
    <row r="2051" spans="1:33" s="17" customFormat="1" x14ac:dyDescent="0.2">
      <c r="A2051" s="4"/>
      <c r="B2051" s="49" t="s">
        <v>1344</v>
      </c>
      <c r="C2051" s="36"/>
      <c r="D2051" s="45"/>
      <c r="E2051" s="85"/>
      <c r="F2051" s="30"/>
      <c r="G2051" s="29"/>
      <c r="H2051" s="15"/>
    </row>
    <row r="2052" spans="1:33" x14ac:dyDescent="0.2">
      <c r="B2052" s="52"/>
      <c r="C2052" s="60" t="s">
        <v>1345</v>
      </c>
      <c r="D2052" s="44"/>
      <c r="E2052" s="86" t="s">
        <v>1034</v>
      </c>
      <c r="F2052" s="28"/>
      <c r="G2052" s="26"/>
      <c r="H2052" s="21" t="b">
        <f>IF(D2055="x",H$2,H$1)</f>
        <v>0</v>
      </c>
      <c r="I2052" s="4"/>
      <c r="J2052" s="4"/>
      <c r="K2052" s="4"/>
      <c r="L2052" s="4"/>
      <c r="M2052" s="4"/>
      <c r="N2052" s="4"/>
      <c r="O2052" s="4"/>
      <c r="P2052" s="4"/>
      <c r="Q2052" s="4"/>
      <c r="R2052" s="4"/>
      <c r="S2052" s="4"/>
      <c r="T2052" s="4"/>
      <c r="U2052" s="4"/>
      <c r="V2052" s="4"/>
      <c r="W2052" s="4"/>
      <c r="X2052" s="4"/>
      <c r="Y2052" s="4"/>
      <c r="Z2052" s="4"/>
      <c r="AA2052" s="4"/>
      <c r="AB2052" s="4"/>
      <c r="AC2052" s="4"/>
      <c r="AD2052" s="4"/>
      <c r="AE2052" s="4"/>
      <c r="AF2052" s="4"/>
      <c r="AG2052" s="4"/>
    </row>
    <row r="2053" spans="1:33" x14ac:dyDescent="0.2">
      <c r="B2053" s="48"/>
      <c r="C2053" s="61" t="s">
        <v>1346</v>
      </c>
      <c r="D2053" s="44"/>
      <c r="E2053" s="86" t="s">
        <v>1035</v>
      </c>
      <c r="F2053" s="22" t="str">
        <f>IF(H2054=1,IF(H2052=H$2,H2052,""),"")</f>
        <v/>
      </c>
      <c r="G2053" s="26"/>
      <c r="H2053" s="21" t="str">
        <f t="shared" ref="H2053" si="678">IF(E$2117="comprobar",COUNTIF(D2052:D2056,"x"),"")</f>
        <v/>
      </c>
      <c r="I2053" s="4"/>
      <c r="J2053" s="4"/>
      <c r="K2053" s="4"/>
      <c r="L2053" s="4"/>
      <c r="M2053" s="4"/>
      <c r="N2053" s="4"/>
      <c r="O2053" s="4"/>
      <c r="P2053" s="4"/>
      <c r="Q2053" s="4"/>
      <c r="R2053" s="4"/>
      <c r="S2053" s="4"/>
      <c r="T2053" s="4"/>
      <c r="U2053" s="4"/>
      <c r="V2053" s="4"/>
      <c r="W2053" s="4"/>
      <c r="X2053" s="4"/>
      <c r="Y2053" s="4"/>
      <c r="Z2053" s="4"/>
      <c r="AA2053" s="4"/>
      <c r="AB2053" s="4"/>
      <c r="AC2053" s="4"/>
      <c r="AD2053" s="4"/>
      <c r="AE2053" s="4"/>
      <c r="AF2053" s="4"/>
      <c r="AG2053" s="4"/>
    </row>
    <row r="2054" spans="1:33" x14ac:dyDescent="0.2">
      <c r="B2054" s="48"/>
      <c r="C2054" s="61" t="s">
        <v>1347</v>
      </c>
      <c r="D2054" s="44"/>
      <c r="E2054" s="86" t="s">
        <v>1036</v>
      </c>
      <c r="F2054" s="23" t="str">
        <f>IF(H2054=-0.33,IF(H2052=H$1,H2052,""),"")</f>
        <v/>
      </c>
      <c r="G2054" s="26"/>
      <c r="H2054" s="24">
        <f t="shared" ref="H2054" si="679">IF(H2053=1,IF(H2052=H$2,1,-0.33),0)</f>
        <v>0</v>
      </c>
      <c r="I2054" s="4"/>
      <c r="J2054" s="4"/>
      <c r="K2054" s="4"/>
      <c r="L2054" s="4"/>
      <c r="M2054" s="4"/>
      <c r="N2054" s="4"/>
      <c r="O2054" s="4"/>
      <c r="P2054" s="4"/>
      <c r="Q2054" s="4"/>
      <c r="R2054" s="4"/>
      <c r="S2054" s="4"/>
      <c r="T2054" s="4"/>
      <c r="U2054" s="4"/>
      <c r="V2054" s="4"/>
      <c r="W2054" s="4"/>
      <c r="X2054" s="4"/>
      <c r="Y2054" s="4"/>
      <c r="Z2054" s="4"/>
      <c r="AA2054" s="4"/>
      <c r="AB2054" s="4"/>
      <c r="AC2054" s="4"/>
      <c r="AD2054" s="4"/>
      <c r="AE2054" s="4"/>
      <c r="AF2054" s="4"/>
      <c r="AG2054" s="4"/>
    </row>
    <row r="2055" spans="1:33" x14ac:dyDescent="0.2">
      <c r="B2055" s="48"/>
      <c r="C2055" s="61" t="s">
        <v>1049</v>
      </c>
      <c r="D2055" s="44"/>
      <c r="E2055" s="86" t="s">
        <v>1037</v>
      </c>
      <c r="F2055" s="28"/>
      <c r="G2055" s="26"/>
      <c r="H2055" s="24"/>
      <c r="I2055" s="4"/>
      <c r="J2055" s="4"/>
      <c r="K2055" s="4"/>
      <c r="L2055" s="4"/>
      <c r="M2055" s="4"/>
      <c r="N2055" s="4"/>
      <c r="O2055" s="4"/>
      <c r="P2055" s="4"/>
      <c r="Q2055" s="4"/>
      <c r="R2055" s="4"/>
      <c r="S2055" s="4"/>
      <c r="T2055" s="4"/>
      <c r="U2055" s="4"/>
      <c r="V2055" s="4"/>
      <c r="W2055" s="4"/>
      <c r="X2055" s="4"/>
      <c r="Y2055" s="4"/>
      <c r="Z2055" s="4"/>
      <c r="AA2055" s="4"/>
      <c r="AB2055" s="4"/>
      <c r="AC2055" s="4"/>
      <c r="AD2055" s="4"/>
      <c r="AE2055" s="4"/>
      <c r="AF2055" s="4"/>
      <c r="AG2055" s="4"/>
    </row>
    <row r="2056" spans="1:33" x14ac:dyDescent="0.2">
      <c r="B2056" s="48"/>
      <c r="C2056" s="39"/>
      <c r="D2056" s="44"/>
      <c r="E2056" s="86" t="s">
        <v>1038</v>
      </c>
      <c r="F2056" s="20"/>
      <c r="G2056" s="19"/>
      <c r="H2056" s="24"/>
      <c r="I2056" s="4"/>
      <c r="J2056" s="4"/>
      <c r="K2056" s="4"/>
      <c r="L2056" s="4"/>
      <c r="M2056" s="4"/>
      <c r="N2056" s="4"/>
      <c r="O2056" s="4"/>
      <c r="P2056" s="4"/>
      <c r="Q2056" s="4"/>
      <c r="R2056" s="4"/>
      <c r="S2056" s="4"/>
      <c r="T2056" s="4"/>
      <c r="U2056" s="4"/>
      <c r="V2056" s="4"/>
      <c r="W2056" s="4"/>
      <c r="X2056" s="4"/>
      <c r="Y2056" s="4"/>
      <c r="Z2056" s="4"/>
      <c r="AA2056" s="4"/>
      <c r="AB2056" s="4"/>
      <c r="AC2056" s="4"/>
      <c r="AD2056" s="4"/>
      <c r="AE2056" s="4"/>
      <c r="AF2056" s="4"/>
      <c r="AG2056" s="4"/>
    </row>
    <row r="2057" spans="1:33" s="17" customFormat="1" x14ac:dyDescent="0.2">
      <c r="A2057" s="4"/>
      <c r="B2057" s="49" t="s">
        <v>1348</v>
      </c>
      <c r="C2057" s="36"/>
      <c r="D2057" s="45"/>
      <c r="E2057" s="85"/>
      <c r="F2057" s="30"/>
      <c r="G2057" s="29"/>
      <c r="H2057" s="15"/>
    </row>
    <row r="2058" spans="1:33" x14ac:dyDescent="0.2">
      <c r="B2058" s="52"/>
      <c r="C2058" s="60" t="s">
        <v>1349</v>
      </c>
      <c r="D2058" s="44"/>
      <c r="E2058" s="86" t="s">
        <v>1034</v>
      </c>
      <c r="F2058" s="28"/>
      <c r="G2058" s="26"/>
      <c r="H2058" s="21" t="b">
        <f>IF(D2061="x",H$2,H$1)</f>
        <v>0</v>
      </c>
      <c r="I2058" s="4"/>
      <c r="J2058" s="4"/>
      <c r="K2058" s="4"/>
      <c r="L2058" s="4"/>
      <c r="M2058" s="4"/>
      <c r="N2058" s="4"/>
      <c r="O2058" s="4"/>
      <c r="P2058" s="4"/>
      <c r="Q2058" s="4"/>
      <c r="R2058" s="4"/>
      <c r="S2058" s="4"/>
      <c r="T2058" s="4"/>
      <c r="U2058" s="4"/>
      <c r="V2058" s="4"/>
      <c r="W2058" s="4"/>
      <c r="X2058" s="4"/>
      <c r="Y2058" s="4"/>
      <c r="Z2058" s="4"/>
      <c r="AA2058" s="4"/>
      <c r="AB2058" s="4"/>
      <c r="AC2058" s="4"/>
      <c r="AD2058" s="4"/>
      <c r="AE2058" s="4"/>
      <c r="AF2058" s="4"/>
      <c r="AG2058" s="4"/>
    </row>
    <row r="2059" spans="1:33" x14ac:dyDescent="0.2">
      <c r="B2059" s="48"/>
      <c r="C2059" s="61" t="s">
        <v>1350</v>
      </c>
      <c r="D2059" s="44"/>
      <c r="E2059" s="86" t="s">
        <v>1035</v>
      </c>
      <c r="F2059" s="22" t="str">
        <f>IF(H2060=1,IF(H2058=H$2,H2058,""),"")</f>
        <v/>
      </c>
      <c r="G2059" s="26"/>
      <c r="H2059" s="21" t="str">
        <f t="shared" ref="H2059" si="680">IF(E$2117="comprobar",COUNTIF(D2058:D2062,"x"),"")</f>
        <v/>
      </c>
      <c r="I2059" s="4"/>
      <c r="J2059" s="4"/>
      <c r="K2059" s="4"/>
      <c r="L2059" s="4"/>
      <c r="M2059" s="4"/>
      <c r="N2059" s="4"/>
      <c r="O2059" s="4"/>
      <c r="P2059" s="4"/>
      <c r="Q2059" s="4"/>
      <c r="R2059" s="4"/>
      <c r="S2059" s="4"/>
      <c r="T2059" s="4"/>
      <c r="U2059" s="4"/>
      <c r="V2059" s="4"/>
      <c r="W2059" s="4"/>
      <c r="X2059" s="4"/>
      <c r="Y2059" s="4"/>
      <c r="Z2059" s="4"/>
      <c r="AA2059" s="4"/>
      <c r="AB2059" s="4"/>
      <c r="AC2059" s="4"/>
      <c r="AD2059" s="4"/>
      <c r="AE2059" s="4"/>
      <c r="AF2059" s="4"/>
      <c r="AG2059" s="4"/>
    </row>
    <row r="2060" spans="1:33" x14ac:dyDescent="0.2">
      <c r="B2060" s="48"/>
      <c r="C2060" s="61" t="s">
        <v>1351</v>
      </c>
      <c r="D2060" s="44"/>
      <c r="E2060" s="86" t="s">
        <v>1036</v>
      </c>
      <c r="F2060" s="23" t="str">
        <f>IF(H2060=-0.33,IF(H2058=H$1,H2058,""),"")</f>
        <v/>
      </c>
      <c r="G2060" s="26"/>
      <c r="H2060" s="24">
        <f t="shared" ref="H2060" si="681">IF(H2059=1,IF(H2058=H$2,1,-0.33),0)</f>
        <v>0</v>
      </c>
      <c r="I2060" s="4"/>
      <c r="J2060" s="4"/>
      <c r="K2060" s="4"/>
      <c r="L2060" s="4"/>
      <c r="M2060" s="4"/>
      <c r="N2060" s="4"/>
      <c r="O2060" s="4"/>
      <c r="P2060" s="4"/>
      <c r="Q2060" s="4"/>
      <c r="R2060" s="4"/>
      <c r="S2060" s="4"/>
      <c r="T2060" s="4"/>
      <c r="U2060" s="4"/>
      <c r="V2060" s="4"/>
      <c r="W2060" s="4"/>
      <c r="X2060" s="4"/>
      <c r="Y2060" s="4"/>
      <c r="Z2060" s="4"/>
      <c r="AA2060" s="4"/>
      <c r="AB2060" s="4"/>
      <c r="AC2060" s="4"/>
      <c r="AD2060" s="4"/>
      <c r="AE2060" s="4"/>
      <c r="AF2060" s="4"/>
      <c r="AG2060" s="4"/>
    </row>
    <row r="2061" spans="1:33" x14ac:dyDescent="0.2">
      <c r="B2061" s="48"/>
      <c r="C2061" s="61" t="s">
        <v>622</v>
      </c>
      <c r="D2061" s="44"/>
      <c r="E2061" s="86" t="s">
        <v>1037</v>
      </c>
      <c r="F2061" s="28"/>
      <c r="G2061" s="26"/>
      <c r="H2061" s="24"/>
      <c r="I2061" s="4"/>
      <c r="J2061" s="4"/>
      <c r="K2061" s="4"/>
      <c r="L2061" s="4"/>
      <c r="M2061" s="4"/>
      <c r="N2061" s="4"/>
      <c r="O2061" s="4"/>
      <c r="P2061" s="4"/>
      <c r="Q2061" s="4"/>
      <c r="R2061" s="4"/>
      <c r="S2061" s="4"/>
      <c r="T2061" s="4"/>
      <c r="U2061" s="4"/>
      <c r="V2061" s="4"/>
      <c r="W2061" s="4"/>
      <c r="X2061" s="4"/>
      <c r="Y2061" s="4"/>
      <c r="Z2061" s="4"/>
      <c r="AA2061" s="4"/>
      <c r="AB2061" s="4"/>
      <c r="AC2061" s="4"/>
      <c r="AD2061" s="4"/>
      <c r="AE2061" s="4"/>
      <c r="AF2061" s="4"/>
      <c r="AG2061" s="4"/>
    </row>
    <row r="2062" spans="1:33" x14ac:dyDescent="0.2">
      <c r="B2062" s="48"/>
      <c r="C2062" s="39"/>
      <c r="D2062" s="44"/>
      <c r="E2062" s="86" t="s">
        <v>1038</v>
      </c>
      <c r="F2062" s="20"/>
      <c r="G2062" s="19"/>
      <c r="H2062" s="24"/>
      <c r="I2062" s="4"/>
      <c r="J2062" s="4"/>
      <c r="K2062" s="4"/>
      <c r="L2062" s="4"/>
      <c r="M2062" s="4"/>
      <c r="N2062" s="4"/>
      <c r="O2062" s="4"/>
      <c r="P2062" s="4"/>
      <c r="Q2062" s="4"/>
      <c r="R2062" s="4"/>
      <c r="S2062" s="4"/>
      <c r="T2062" s="4"/>
      <c r="U2062" s="4"/>
      <c r="V2062" s="4"/>
      <c r="W2062" s="4"/>
      <c r="X2062" s="4"/>
      <c r="Y2062" s="4"/>
      <c r="Z2062" s="4"/>
      <c r="AA2062" s="4"/>
      <c r="AB2062" s="4"/>
      <c r="AC2062" s="4"/>
      <c r="AD2062" s="4"/>
      <c r="AE2062" s="4"/>
      <c r="AF2062" s="4"/>
      <c r="AG2062" s="4"/>
    </row>
    <row r="2063" spans="1:33" s="17" customFormat="1" x14ac:dyDescent="0.2">
      <c r="A2063" s="4"/>
      <c r="B2063" s="49" t="s">
        <v>1352</v>
      </c>
      <c r="C2063" s="36"/>
      <c r="D2063" s="45"/>
      <c r="E2063" s="85"/>
      <c r="F2063" s="30"/>
      <c r="G2063" s="29"/>
      <c r="H2063" s="15"/>
    </row>
    <row r="2064" spans="1:33" x14ac:dyDescent="0.2">
      <c r="B2064" s="52"/>
      <c r="C2064" s="60" t="s">
        <v>1353</v>
      </c>
      <c r="D2064" s="44"/>
      <c r="E2064" s="86" t="s">
        <v>1034</v>
      </c>
      <c r="F2064" s="28"/>
      <c r="G2064" s="26"/>
      <c r="H2064" s="21" t="b">
        <f>IF(D2067="x",H$2,H$1)</f>
        <v>0</v>
      </c>
      <c r="I2064" s="4"/>
      <c r="J2064" s="4"/>
      <c r="K2064" s="4"/>
      <c r="L2064" s="4"/>
      <c r="M2064" s="4"/>
      <c r="N2064" s="4"/>
      <c r="O2064" s="4"/>
      <c r="P2064" s="4"/>
      <c r="Q2064" s="4"/>
      <c r="R2064" s="4"/>
      <c r="S2064" s="4"/>
      <c r="T2064" s="4"/>
      <c r="U2064" s="4"/>
      <c r="V2064" s="4"/>
      <c r="W2064" s="4"/>
      <c r="X2064" s="4"/>
      <c r="Y2064" s="4"/>
      <c r="Z2064" s="4"/>
      <c r="AA2064" s="4"/>
      <c r="AB2064" s="4"/>
      <c r="AC2064" s="4"/>
      <c r="AD2064" s="4"/>
      <c r="AE2064" s="4"/>
      <c r="AF2064" s="4"/>
      <c r="AG2064" s="4"/>
    </row>
    <row r="2065" spans="1:33" x14ac:dyDescent="0.2">
      <c r="B2065" s="48"/>
      <c r="C2065" s="61" t="s">
        <v>1354</v>
      </c>
      <c r="D2065" s="44"/>
      <c r="E2065" s="86" t="s">
        <v>1035</v>
      </c>
      <c r="F2065" s="22" t="str">
        <f>IF(H2066=1,IF(H2064=H$2,H2064,""),"")</f>
        <v/>
      </c>
      <c r="G2065" s="26"/>
      <c r="H2065" s="21" t="str">
        <f t="shared" ref="H2065" si="682">IF(E$2117="comprobar",COUNTIF(D2064:D2068,"x"),"")</f>
        <v/>
      </c>
      <c r="I2065" s="4"/>
      <c r="J2065" s="4"/>
      <c r="K2065" s="4"/>
      <c r="L2065" s="4"/>
      <c r="M2065" s="4"/>
      <c r="N2065" s="4"/>
      <c r="O2065" s="4"/>
      <c r="P2065" s="4"/>
      <c r="Q2065" s="4"/>
      <c r="R2065" s="4"/>
      <c r="S2065" s="4"/>
      <c r="T2065" s="4"/>
      <c r="U2065" s="4"/>
      <c r="V2065" s="4"/>
      <c r="W2065" s="4"/>
      <c r="X2065" s="4"/>
      <c r="Y2065" s="4"/>
      <c r="Z2065" s="4"/>
      <c r="AA2065" s="4"/>
      <c r="AB2065" s="4"/>
      <c r="AC2065" s="4"/>
      <c r="AD2065" s="4"/>
      <c r="AE2065" s="4"/>
      <c r="AF2065" s="4"/>
      <c r="AG2065" s="4"/>
    </row>
    <row r="2066" spans="1:33" x14ac:dyDescent="0.2">
      <c r="B2066" s="48"/>
      <c r="C2066" s="61" t="s">
        <v>1355</v>
      </c>
      <c r="D2066" s="44"/>
      <c r="E2066" s="86" t="s">
        <v>1036</v>
      </c>
      <c r="F2066" s="23" t="str">
        <f>IF(H2066=-0.33,IF(H2064=H$1,H2064,""),"")</f>
        <v/>
      </c>
      <c r="G2066" s="26"/>
      <c r="H2066" s="24">
        <f t="shared" ref="H2066" si="683">IF(H2065=1,IF(H2064=H$2,1,-0.33),0)</f>
        <v>0</v>
      </c>
      <c r="I2066" s="4"/>
      <c r="J2066" s="4"/>
      <c r="K2066" s="4"/>
      <c r="L2066" s="4"/>
      <c r="M2066" s="4"/>
      <c r="N2066" s="4"/>
      <c r="O2066" s="4"/>
      <c r="P2066" s="4"/>
      <c r="Q2066" s="4"/>
      <c r="R2066" s="4"/>
      <c r="S2066" s="4"/>
      <c r="T2066" s="4"/>
      <c r="U2066" s="4"/>
      <c r="V2066" s="4"/>
      <c r="W2066" s="4"/>
      <c r="X2066" s="4"/>
      <c r="Y2066" s="4"/>
      <c r="Z2066" s="4"/>
      <c r="AA2066" s="4"/>
      <c r="AB2066" s="4"/>
      <c r="AC2066" s="4"/>
      <c r="AD2066" s="4"/>
      <c r="AE2066" s="4"/>
      <c r="AF2066" s="4"/>
      <c r="AG2066" s="4"/>
    </row>
    <row r="2067" spans="1:33" x14ac:dyDescent="0.2">
      <c r="B2067" s="48"/>
      <c r="C2067" s="61" t="s">
        <v>605</v>
      </c>
      <c r="D2067" s="44"/>
      <c r="E2067" s="86" t="s">
        <v>1037</v>
      </c>
      <c r="F2067" s="28"/>
      <c r="G2067" s="26"/>
      <c r="H2067" s="24"/>
      <c r="I2067" s="4"/>
      <c r="J2067" s="4"/>
      <c r="K2067" s="4"/>
      <c r="L2067" s="4"/>
      <c r="M2067" s="4"/>
      <c r="N2067" s="4"/>
      <c r="O2067" s="4"/>
      <c r="P2067" s="4"/>
      <c r="Q2067" s="4"/>
      <c r="R2067" s="4"/>
      <c r="S2067" s="4"/>
      <c r="T2067" s="4"/>
      <c r="U2067" s="4"/>
      <c r="V2067" s="4"/>
      <c r="W2067" s="4"/>
      <c r="X2067" s="4"/>
      <c r="Y2067" s="4"/>
      <c r="Z2067" s="4"/>
      <c r="AA2067" s="4"/>
      <c r="AB2067" s="4"/>
      <c r="AC2067" s="4"/>
      <c r="AD2067" s="4"/>
      <c r="AE2067" s="4"/>
      <c r="AF2067" s="4"/>
      <c r="AG2067" s="4"/>
    </row>
    <row r="2068" spans="1:33" x14ac:dyDescent="0.2">
      <c r="B2068" s="48"/>
      <c r="C2068" s="39"/>
      <c r="D2068" s="44"/>
      <c r="E2068" s="86" t="s">
        <v>1038</v>
      </c>
      <c r="F2068" s="20"/>
      <c r="G2068" s="19"/>
      <c r="H2068" s="24"/>
      <c r="I2068" s="4"/>
      <c r="J2068" s="4"/>
      <c r="K2068" s="4"/>
      <c r="L2068" s="4"/>
      <c r="M2068" s="4"/>
      <c r="N2068" s="4"/>
      <c r="O2068" s="4"/>
      <c r="P2068" s="4"/>
      <c r="Q2068" s="4"/>
      <c r="R2068" s="4"/>
      <c r="S2068" s="4"/>
      <c r="T2068" s="4"/>
      <c r="U2068" s="4"/>
      <c r="V2068" s="4"/>
      <c r="W2068" s="4"/>
      <c r="X2068" s="4"/>
      <c r="Y2068" s="4"/>
      <c r="Z2068" s="4"/>
      <c r="AA2068" s="4"/>
      <c r="AB2068" s="4"/>
      <c r="AC2068" s="4"/>
      <c r="AD2068" s="4"/>
      <c r="AE2068" s="4"/>
      <c r="AF2068" s="4"/>
      <c r="AG2068" s="4"/>
    </row>
    <row r="2069" spans="1:33" s="17" customFormat="1" x14ac:dyDescent="0.2">
      <c r="A2069" s="4"/>
      <c r="B2069" s="49" t="s">
        <v>1356</v>
      </c>
      <c r="C2069" s="36"/>
      <c r="D2069" s="45"/>
      <c r="E2069" s="85"/>
      <c r="F2069" s="30"/>
      <c r="G2069" s="29"/>
      <c r="H2069" s="15"/>
    </row>
    <row r="2070" spans="1:33" ht="32" x14ac:dyDescent="0.2">
      <c r="B2070" s="52"/>
      <c r="C2070" s="60" t="s">
        <v>1357</v>
      </c>
      <c r="D2070" s="44"/>
      <c r="E2070" s="86" t="s">
        <v>1034</v>
      </c>
      <c r="F2070" s="28"/>
      <c r="G2070" s="26"/>
      <c r="H2070" s="21" t="b">
        <f>IF(D2071="x",H$2,H$1)</f>
        <v>0</v>
      </c>
      <c r="I2070" s="4"/>
      <c r="J2070" s="4"/>
      <c r="K2070" s="4"/>
      <c r="L2070" s="4"/>
      <c r="M2070" s="4"/>
      <c r="N2070" s="4"/>
      <c r="O2070" s="4"/>
      <c r="P2070" s="4"/>
      <c r="Q2070" s="4"/>
      <c r="R2070" s="4"/>
      <c r="S2070" s="4"/>
      <c r="T2070" s="4"/>
      <c r="U2070" s="4"/>
      <c r="V2070" s="4"/>
      <c r="W2070" s="4"/>
      <c r="X2070" s="4"/>
      <c r="Y2070" s="4"/>
      <c r="Z2070" s="4"/>
      <c r="AA2070" s="4"/>
      <c r="AB2070" s="4"/>
      <c r="AC2070" s="4"/>
      <c r="AD2070" s="4"/>
      <c r="AE2070" s="4"/>
      <c r="AF2070" s="4"/>
      <c r="AG2070" s="4"/>
    </row>
    <row r="2071" spans="1:33" x14ac:dyDescent="0.2">
      <c r="B2071" s="48"/>
      <c r="C2071" s="61" t="s">
        <v>1358</v>
      </c>
      <c r="D2071" s="44"/>
      <c r="E2071" s="86" t="s">
        <v>1035</v>
      </c>
      <c r="F2071" s="22" t="str">
        <f>IF(H2072=1,IF(H2070=H$2,H2070,""),"")</f>
        <v/>
      </c>
      <c r="G2071" s="26"/>
      <c r="H2071" s="21" t="str">
        <f t="shared" ref="H2071" si="684">IF(E$2117="comprobar",COUNTIF(D2070:D2074,"x"),"")</f>
        <v/>
      </c>
      <c r="I2071" s="4"/>
      <c r="J2071" s="4"/>
      <c r="K2071" s="4"/>
      <c r="L2071" s="4"/>
      <c r="M2071" s="4"/>
      <c r="N2071" s="4"/>
      <c r="O2071" s="4"/>
      <c r="P2071" s="4"/>
      <c r="Q2071" s="4"/>
      <c r="R2071" s="4"/>
      <c r="S2071" s="4"/>
      <c r="T2071" s="4"/>
      <c r="U2071" s="4"/>
      <c r="V2071" s="4"/>
      <c r="W2071" s="4"/>
      <c r="X2071" s="4"/>
      <c r="Y2071" s="4"/>
      <c r="Z2071" s="4"/>
      <c r="AA2071" s="4"/>
      <c r="AB2071" s="4"/>
      <c r="AC2071" s="4"/>
      <c r="AD2071" s="4"/>
      <c r="AE2071" s="4"/>
      <c r="AF2071" s="4"/>
      <c r="AG2071" s="4"/>
    </row>
    <row r="2072" spans="1:33" ht="32" x14ac:dyDescent="0.2">
      <c r="B2072" s="48"/>
      <c r="C2072" s="61" t="s">
        <v>1359</v>
      </c>
      <c r="D2072" s="44"/>
      <c r="E2072" s="86" t="s">
        <v>1036</v>
      </c>
      <c r="F2072" s="23" t="str">
        <f>IF(H2072=-0.33,IF(H2070=H$1,H2070,""),"")</f>
        <v/>
      </c>
      <c r="G2072" s="26"/>
      <c r="H2072" s="24">
        <f t="shared" ref="H2072" si="685">IF(H2071=1,IF(H2070=H$2,1,-0.33),0)</f>
        <v>0</v>
      </c>
      <c r="I2072" s="4"/>
      <c r="J2072" s="4"/>
      <c r="K2072" s="4"/>
      <c r="L2072" s="4"/>
      <c r="M2072" s="4"/>
      <c r="N2072" s="4"/>
      <c r="O2072" s="4"/>
      <c r="P2072" s="4"/>
      <c r="Q2072" s="4"/>
      <c r="R2072" s="4"/>
      <c r="S2072" s="4"/>
      <c r="T2072" s="4"/>
      <c r="U2072" s="4"/>
      <c r="V2072" s="4"/>
      <c r="W2072" s="4"/>
      <c r="X2072" s="4"/>
      <c r="Y2072" s="4"/>
      <c r="Z2072" s="4"/>
      <c r="AA2072" s="4"/>
      <c r="AB2072" s="4"/>
      <c r="AC2072" s="4"/>
      <c r="AD2072" s="4"/>
      <c r="AE2072" s="4"/>
      <c r="AF2072" s="4"/>
      <c r="AG2072" s="4"/>
    </row>
    <row r="2073" spans="1:33" x14ac:dyDescent="0.2">
      <c r="B2073" s="48"/>
      <c r="C2073" s="61" t="s">
        <v>1240</v>
      </c>
      <c r="D2073" s="44"/>
      <c r="E2073" s="86" t="s">
        <v>1037</v>
      </c>
      <c r="F2073" s="28"/>
      <c r="G2073" s="26"/>
      <c r="H2073" s="24"/>
      <c r="I2073" s="4"/>
      <c r="J2073" s="4"/>
      <c r="K2073" s="4"/>
      <c r="L2073" s="4"/>
      <c r="M2073" s="4"/>
      <c r="N2073" s="4"/>
      <c r="O2073" s="4"/>
      <c r="P2073" s="4"/>
      <c r="Q2073" s="4"/>
      <c r="R2073" s="4"/>
      <c r="S2073" s="4"/>
      <c r="T2073" s="4"/>
      <c r="U2073" s="4"/>
      <c r="V2073" s="4"/>
      <c r="W2073" s="4"/>
      <c r="X2073" s="4"/>
      <c r="Y2073" s="4"/>
      <c r="Z2073" s="4"/>
      <c r="AA2073" s="4"/>
      <c r="AB2073" s="4"/>
      <c r="AC2073" s="4"/>
      <c r="AD2073" s="4"/>
      <c r="AE2073" s="4"/>
      <c r="AF2073" s="4"/>
      <c r="AG2073" s="4"/>
    </row>
    <row r="2074" spans="1:33" x14ac:dyDescent="0.2">
      <c r="B2074" s="48"/>
      <c r="C2074" s="39"/>
      <c r="D2074" s="44"/>
      <c r="E2074" s="86" t="s">
        <v>1038</v>
      </c>
      <c r="F2074" s="20"/>
      <c r="G2074" s="19"/>
      <c r="H2074" s="24"/>
      <c r="I2074" s="4"/>
      <c r="J2074" s="4"/>
      <c r="K2074" s="4"/>
      <c r="L2074" s="4"/>
      <c r="M2074" s="4"/>
      <c r="N2074" s="4"/>
      <c r="O2074" s="4"/>
      <c r="P2074" s="4"/>
      <c r="Q2074" s="4"/>
      <c r="R2074" s="4"/>
      <c r="S2074" s="4"/>
      <c r="T2074" s="4"/>
      <c r="U2074" s="4"/>
      <c r="V2074" s="4"/>
      <c r="W2074" s="4"/>
      <c r="X2074" s="4"/>
      <c r="Y2074" s="4"/>
      <c r="Z2074" s="4"/>
      <c r="AA2074" s="4"/>
      <c r="AB2074" s="4"/>
      <c r="AC2074" s="4"/>
      <c r="AD2074" s="4"/>
      <c r="AE2074" s="4"/>
      <c r="AF2074" s="4"/>
      <c r="AG2074" s="4"/>
    </row>
    <row r="2075" spans="1:33" s="17" customFormat="1" x14ac:dyDescent="0.2">
      <c r="A2075" s="4"/>
      <c r="B2075" s="49" t="s">
        <v>1360</v>
      </c>
      <c r="C2075" s="36"/>
      <c r="D2075" s="45"/>
      <c r="E2075" s="85"/>
      <c r="F2075" s="30"/>
      <c r="G2075" s="29"/>
      <c r="H2075" s="15"/>
    </row>
    <row r="2076" spans="1:33" ht="32" x14ac:dyDescent="0.2">
      <c r="B2076" s="52"/>
      <c r="C2076" s="60" t="s">
        <v>1361</v>
      </c>
      <c r="D2076" s="44"/>
      <c r="E2076" s="86" t="s">
        <v>1034</v>
      </c>
      <c r="F2076" s="28"/>
      <c r="G2076" s="26"/>
      <c r="H2076" s="21" t="b">
        <f>IF(D2078="x",H$2,H$1)</f>
        <v>0</v>
      </c>
      <c r="I2076" s="4"/>
      <c r="J2076" s="4"/>
      <c r="K2076" s="4"/>
      <c r="L2076" s="4"/>
      <c r="M2076" s="4"/>
      <c r="N2076" s="4"/>
      <c r="O2076" s="4"/>
      <c r="P2076" s="4"/>
      <c r="Q2076" s="4"/>
      <c r="R2076" s="4"/>
      <c r="S2076" s="4"/>
      <c r="T2076" s="4"/>
      <c r="U2076" s="4"/>
      <c r="V2076" s="4"/>
      <c r="W2076" s="4"/>
      <c r="X2076" s="4"/>
      <c r="Y2076" s="4"/>
      <c r="Z2076" s="4"/>
      <c r="AA2076" s="4"/>
      <c r="AB2076" s="4"/>
      <c r="AC2076" s="4"/>
      <c r="AD2076" s="4"/>
      <c r="AE2076" s="4"/>
      <c r="AF2076" s="4"/>
      <c r="AG2076" s="4"/>
    </row>
    <row r="2077" spans="1:33" x14ac:dyDescent="0.2">
      <c r="B2077" s="48"/>
      <c r="C2077" s="61" t="s">
        <v>1362</v>
      </c>
      <c r="D2077" s="44"/>
      <c r="E2077" s="86" t="s">
        <v>1035</v>
      </c>
      <c r="F2077" s="22" t="str">
        <f>IF(H2078=1,IF(H2076=H$2,H2076,""),"")</f>
        <v/>
      </c>
      <c r="G2077" s="26"/>
      <c r="H2077" s="21" t="str">
        <f t="shared" ref="H2077" si="686">IF(E$2117="comprobar",COUNTIF(D2076:D2080,"x"),"")</f>
        <v/>
      </c>
      <c r="I2077" s="4"/>
      <c r="J2077" s="4"/>
      <c r="K2077" s="4"/>
      <c r="L2077" s="4"/>
      <c r="M2077" s="4"/>
      <c r="N2077" s="4"/>
      <c r="O2077" s="4"/>
      <c r="P2077" s="4"/>
      <c r="Q2077" s="4"/>
      <c r="R2077" s="4"/>
      <c r="S2077" s="4"/>
      <c r="T2077" s="4"/>
      <c r="U2077" s="4"/>
      <c r="V2077" s="4"/>
      <c r="W2077" s="4"/>
      <c r="X2077" s="4"/>
      <c r="Y2077" s="4"/>
      <c r="Z2077" s="4"/>
      <c r="AA2077" s="4"/>
      <c r="AB2077" s="4"/>
      <c r="AC2077" s="4"/>
      <c r="AD2077" s="4"/>
      <c r="AE2077" s="4"/>
      <c r="AF2077" s="4"/>
      <c r="AG2077" s="4"/>
    </row>
    <row r="2078" spans="1:33" ht="32" x14ac:dyDescent="0.2">
      <c r="B2078" s="48"/>
      <c r="C2078" s="61" t="s">
        <v>1363</v>
      </c>
      <c r="D2078" s="44"/>
      <c r="E2078" s="86" t="s">
        <v>1036</v>
      </c>
      <c r="F2078" s="23" t="str">
        <f>IF(H2078=-0.33,IF(H2076=H$1,H2076,""),"")</f>
        <v/>
      </c>
      <c r="G2078" s="26"/>
      <c r="H2078" s="24">
        <f t="shared" ref="H2078" si="687">IF(H2077=1,IF(H2076=H$2,1,-0.33),0)</f>
        <v>0</v>
      </c>
      <c r="I2078" s="4"/>
      <c r="J2078" s="4"/>
      <c r="K2078" s="4"/>
      <c r="L2078" s="4"/>
      <c r="M2078" s="4"/>
      <c r="N2078" s="4"/>
      <c r="O2078" s="4"/>
      <c r="P2078" s="4"/>
      <c r="Q2078" s="4"/>
      <c r="R2078" s="4"/>
      <c r="S2078" s="4"/>
      <c r="T2078" s="4"/>
      <c r="U2078" s="4"/>
      <c r="V2078" s="4"/>
      <c r="W2078" s="4"/>
      <c r="X2078" s="4"/>
      <c r="Y2078" s="4"/>
      <c r="Z2078" s="4"/>
      <c r="AA2078" s="4"/>
      <c r="AB2078" s="4"/>
      <c r="AC2078" s="4"/>
      <c r="AD2078" s="4"/>
      <c r="AE2078" s="4"/>
      <c r="AF2078" s="4"/>
      <c r="AG2078" s="4"/>
    </row>
    <row r="2079" spans="1:33" x14ac:dyDescent="0.2">
      <c r="B2079" s="48"/>
      <c r="C2079" s="61" t="s">
        <v>605</v>
      </c>
      <c r="D2079" s="44"/>
      <c r="E2079" s="86" t="s">
        <v>1037</v>
      </c>
      <c r="F2079" s="28"/>
      <c r="G2079" s="26"/>
      <c r="H2079" s="24"/>
      <c r="I2079" s="4"/>
      <c r="J2079" s="4"/>
      <c r="K2079" s="4"/>
      <c r="L2079" s="4"/>
      <c r="M2079" s="4"/>
      <c r="N2079" s="4"/>
      <c r="O2079" s="4"/>
      <c r="P2079" s="4"/>
      <c r="Q2079" s="4"/>
      <c r="R2079" s="4"/>
      <c r="S2079" s="4"/>
      <c r="T2079" s="4"/>
      <c r="U2079" s="4"/>
      <c r="V2079" s="4"/>
      <c r="W2079" s="4"/>
      <c r="X2079" s="4"/>
      <c r="Y2079" s="4"/>
      <c r="Z2079" s="4"/>
      <c r="AA2079" s="4"/>
      <c r="AB2079" s="4"/>
      <c r="AC2079" s="4"/>
      <c r="AD2079" s="4"/>
      <c r="AE2079" s="4"/>
      <c r="AF2079" s="4"/>
      <c r="AG2079" s="4"/>
    </row>
    <row r="2080" spans="1:33" x14ac:dyDescent="0.2">
      <c r="B2080" s="48"/>
      <c r="C2080" s="39"/>
      <c r="D2080" s="44"/>
      <c r="E2080" s="86" t="s">
        <v>1038</v>
      </c>
      <c r="F2080" s="20"/>
      <c r="G2080" s="19"/>
      <c r="H2080" s="24"/>
      <c r="I2080" s="4"/>
      <c r="J2080" s="4"/>
      <c r="K2080" s="4"/>
      <c r="L2080" s="4"/>
      <c r="M2080" s="4"/>
      <c r="N2080" s="4"/>
      <c r="O2080" s="4"/>
      <c r="P2080" s="4"/>
      <c r="Q2080" s="4"/>
      <c r="R2080" s="4"/>
      <c r="S2080" s="4"/>
      <c r="T2080" s="4"/>
      <c r="U2080" s="4"/>
      <c r="V2080" s="4"/>
      <c r="W2080" s="4"/>
      <c r="X2080" s="4"/>
      <c r="Y2080" s="4"/>
      <c r="Z2080" s="4"/>
      <c r="AA2080" s="4"/>
      <c r="AB2080" s="4"/>
      <c r="AC2080" s="4"/>
      <c r="AD2080" s="4"/>
      <c r="AE2080" s="4"/>
      <c r="AF2080" s="4"/>
      <c r="AG2080" s="4"/>
    </row>
    <row r="2081" spans="1:33" s="17" customFormat="1" x14ac:dyDescent="0.2">
      <c r="A2081" s="4"/>
      <c r="B2081" s="49" t="s">
        <v>1364</v>
      </c>
      <c r="C2081" s="36"/>
      <c r="D2081" s="45"/>
      <c r="E2081" s="85"/>
      <c r="F2081" s="30"/>
      <c r="G2081" s="29"/>
      <c r="H2081" s="15"/>
    </row>
    <row r="2082" spans="1:33" x14ac:dyDescent="0.2">
      <c r="B2082" s="52"/>
      <c r="C2082" s="60" t="s">
        <v>1365</v>
      </c>
      <c r="D2082" s="44"/>
      <c r="E2082" s="86" t="s">
        <v>1034</v>
      </c>
      <c r="F2082" s="28"/>
      <c r="G2082" s="26"/>
      <c r="H2082" s="21" t="b">
        <f>IF(D2082="x",H$2,H$1)</f>
        <v>0</v>
      </c>
      <c r="I2082" s="4"/>
      <c r="J2082" s="4"/>
      <c r="K2082" s="4"/>
      <c r="L2082" s="4"/>
      <c r="M2082" s="4"/>
      <c r="N2082" s="4"/>
      <c r="O2082" s="4"/>
      <c r="P2082" s="4"/>
      <c r="Q2082" s="4"/>
      <c r="R2082" s="4"/>
      <c r="S2082" s="4"/>
      <c r="T2082" s="4"/>
      <c r="U2082" s="4"/>
      <c r="V2082" s="4"/>
      <c r="W2082" s="4"/>
      <c r="X2082" s="4"/>
      <c r="Y2082" s="4"/>
      <c r="Z2082" s="4"/>
      <c r="AA2082" s="4"/>
      <c r="AB2082" s="4"/>
      <c r="AC2082" s="4"/>
      <c r="AD2082" s="4"/>
      <c r="AE2082" s="4"/>
      <c r="AF2082" s="4"/>
      <c r="AG2082" s="4"/>
    </row>
    <row r="2083" spans="1:33" x14ac:dyDescent="0.2">
      <c r="B2083" s="48"/>
      <c r="C2083" s="61" t="s">
        <v>1366</v>
      </c>
      <c r="D2083" s="44"/>
      <c r="E2083" s="86" t="s">
        <v>1035</v>
      </c>
      <c r="F2083" s="22" t="str">
        <f>IF(H2084=1,IF(H2082=H$2,H2082,""),"")</f>
        <v/>
      </c>
      <c r="G2083" s="26"/>
      <c r="H2083" s="21" t="str">
        <f t="shared" ref="H2083" si="688">IF(E$2117="comprobar",COUNTIF(D2082:D2086,"x"),"")</f>
        <v/>
      </c>
      <c r="I2083" s="4"/>
      <c r="J2083" s="4"/>
      <c r="K2083" s="4"/>
      <c r="L2083" s="4"/>
      <c r="M2083" s="4"/>
      <c r="N2083" s="4"/>
      <c r="O2083" s="4"/>
      <c r="P2083" s="4"/>
      <c r="Q2083" s="4"/>
      <c r="R2083" s="4"/>
      <c r="S2083" s="4"/>
      <c r="T2083" s="4"/>
      <c r="U2083" s="4"/>
      <c r="V2083" s="4"/>
      <c r="W2083" s="4"/>
      <c r="X2083" s="4"/>
      <c r="Y2083" s="4"/>
      <c r="Z2083" s="4"/>
      <c r="AA2083" s="4"/>
      <c r="AB2083" s="4"/>
      <c r="AC2083" s="4"/>
      <c r="AD2083" s="4"/>
      <c r="AE2083" s="4"/>
      <c r="AF2083" s="4"/>
      <c r="AG2083" s="4"/>
    </row>
    <row r="2084" spans="1:33" x14ac:dyDescent="0.2">
      <c r="B2084" s="48"/>
      <c r="C2084" s="61" t="s">
        <v>1367</v>
      </c>
      <c r="D2084" s="44"/>
      <c r="E2084" s="86" t="s">
        <v>1036</v>
      </c>
      <c r="F2084" s="23" t="str">
        <f>IF(H2084=-0.33,IF(H2082=H$1,H2082,""),"")</f>
        <v/>
      </c>
      <c r="G2084" s="26"/>
      <c r="H2084" s="24">
        <f t="shared" ref="H2084" si="689">IF(H2083=1,IF(H2082=H$2,1,-0.33),0)</f>
        <v>0</v>
      </c>
      <c r="I2084" s="4"/>
      <c r="J2084" s="4"/>
      <c r="K2084" s="4"/>
      <c r="L2084" s="4"/>
      <c r="M2084" s="4"/>
      <c r="N2084" s="4"/>
      <c r="O2084" s="4"/>
      <c r="P2084" s="4"/>
      <c r="Q2084" s="4"/>
      <c r="R2084" s="4"/>
      <c r="S2084" s="4"/>
      <c r="T2084" s="4"/>
      <c r="U2084" s="4"/>
      <c r="V2084" s="4"/>
      <c r="W2084" s="4"/>
      <c r="X2084" s="4"/>
      <c r="Y2084" s="4"/>
      <c r="Z2084" s="4"/>
      <c r="AA2084" s="4"/>
      <c r="AB2084" s="4"/>
      <c r="AC2084" s="4"/>
      <c r="AD2084" s="4"/>
      <c r="AE2084" s="4"/>
      <c r="AF2084" s="4"/>
      <c r="AG2084" s="4"/>
    </row>
    <row r="2085" spans="1:33" x14ac:dyDescent="0.2">
      <c r="B2085" s="48"/>
      <c r="C2085" s="61" t="s">
        <v>1368</v>
      </c>
      <c r="D2085" s="44"/>
      <c r="E2085" s="86" t="s">
        <v>1037</v>
      </c>
      <c r="F2085" s="28"/>
      <c r="G2085" s="26"/>
      <c r="H2085" s="24"/>
      <c r="I2085" s="4"/>
      <c r="J2085" s="4"/>
      <c r="K2085" s="4"/>
      <c r="L2085" s="4"/>
      <c r="M2085" s="4"/>
      <c r="N2085" s="4"/>
      <c r="O2085" s="4"/>
      <c r="P2085" s="4"/>
      <c r="Q2085" s="4"/>
      <c r="R2085" s="4"/>
      <c r="S2085" s="4"/>
      <c r="T2085" s="4"/>
      <c r="U2085" s="4"/>
      <c r="V2085" s="4"/>
      <c r="W2085" s="4"/>
      <c r="X2085" s="4"/>
      <c r="Y2085" s="4"/>
      <c r="Z2085" s="4"/>
      <c r="AA2085" s="4"/>
      <c r="AB2085" s="4"/>
      <c r="AC2085" s="4"/>
      <c r="AD2085" s="4"/>
      <c r="AE2085" s="4"/>
      <c r="AF2085" s="4"/>
      <c r="AG2085" s="4"/>
    </row>
    <row r="2086" spans="1:33" x14ac:dyDescent="0.2">
      <c r="B2086" s="48"/>
      <c r="C2086" s="39"/>
      <c r="D2086" s="44"/>
      <c r="E2086" s="86" t="s">
        <v>1038</v>
      </c>
      <c r="F2086" s="20"/>
      <c r="G2086" s="19"/>
      <c r="H2086" s="24"/>
      <c r="I2086" s="4"/>
      <c r="J2086" s="4"/>
      <c r="K2086" s="4"/>
      <c r="L2086" s="4"/>
      <c r="M2086" s="4"/>
      <c r="N2086" s="4"/>
      <c r="O2086" s="4"/>
      <c r="P2086" s="4"/>
      <c r="Q2086" s="4"/>
      <c r="R2086" s="4"/>
      <c r="S2086" s="4"/>
      <c r="T2086" s="4"/>
      <c r="U2086" s="4"/>
      <c r="V2086" s="4"/>
      <c r="W2086" s="4"/>
      <c r="X2086" s="4"/>
      <c r="Y2086" s="4"/>
      <c r="Z2086" s="4"/>
      <c r="AA2086" s="4"/>
      <c r="AB2086" s="4"/>
      <c r="AC2086" s="4"/>
      <c r="AD2086" s="4"/>
      <c r="AE2086" s="4"/>
      <c r="AF2086" s="4"/>
      <c r="AG2086" s="4"/>
    </row>
    <row r="2087" spans="1:33" s="17" customFormat="1" x14ac:dyDescent="0.2">
      <c r="A2087" s="4"/>
      <c r="B2087" s="49" t="s">
        <v>1369</v>
      </c>
      <c r="C2087" s="36"/>
      <c r="D2087" s="45"/>
      <c r="E2087" s="85"/>
      <c r="F2087" s="30"/>
      <c r="G2087" s="29"/>
      <c r="H2087" s="15"/>
    </row>
    <row r="2088" spans="1:33" x14ac:dyDescent="0.2">
      <c r="B2088" s="52"/>
      <c r="C2088" s="60" t="s">
        <v>1370</v>
      </c>
      <c r="D2088" s="44"/>
      <c r="E2088" s="86" t="s">
        <v>1034</v>
      </c>
      <c r="F2088" s="28"/>
      <c r="G2088" s="26"/>
      <c r="H2088" s="21" t="b">
        <f>IF(D2089="x",H$2,H$1)</f>
        <v>0</v>
      </c>
      <c r="I2088" s="4"/>
      <c r="J2088" s="4"/>
      <c r="K2088" s="4"/>
      <c r="L2088" s="4"/>
      <c r="M2088" s="4"/>
      <c r="N2088" s="4"/>
      <c r="O2088" s="4"/>
      <c r="P2088" s="4"/>
      <c r="Q2088" s="4"/>
      <c r="R2088" s="4"/>
      <c r="S2088" s="4"/>
      <c r="T2088" s="4"/>
      <c r="U2088" s="4"/>
      <c r="V2088" s="4"/>
      <c r="W2088" s="4"/>
      <c r="X2088" s="4"/>
      <c r="Y2088" s="4"/>
      <c r="Z2088" s="4"/>
      <c r="AA2088" s="4"/>
      <c r="AB2088" s="4"/>
      <c r="AC2088" s="4"/>
      <c r="AD2088" s="4"/>
      <c r="AE2088" s="4"/>
      <c r="AF2088" s="4"/>
      <c r="AG2088" s="4"/>
    </row>
    <row r="2089" spans="1:33" x14ac:dyDescent="0.2">
      <c r="B2089" s="48"/>
      <c r="C2089" s="61" t="s">
        <v>1371</v>
      </c>
      <c r="D2089" s="44"/>
      <c r="E2089" s="86" t="s">
        <v>1035</v>
      </c>
      <c r="F2089" s="22" t="str">
        <f>IF(H2090=1,IF(H2088=H$2,H2088,""),"")</f>
        <v/>
      </c>
      <c r="G2089" s="26"/>
      <c r="H2089" s="21" t="str">
        <f t="shared" ref="H2089" si="690">IF(E$2117="comprobar",COUNTIF(D2088:D2092,"x"),"")</f>
        <v/>
      </c>
      <c r="I2089" s="4"/>
      <c r="J2089" s="4"/>
      <c r="K2089" s="4"/>
      <c r="L2089" s="4"/>
      <c r="M2089" s="4"/>
      <c r="N2089" s="4"/>
      <c r="O2089" s="4"/>
      <c r="P2089" s="4"/>
      <c r="Q2089" s="4"/>
      <c r="R2089" s="4"/>
      <c r="S2089" s="4"/>
      <c r="T2089" s="4"/>
      <c r="U2089" s="4"/>
      <c r="V2089" s="4"/>
      <c r="W2089" s="4"/>
      <c r="X2089" s="4"/>
      <c r="Y2089" s="4"/>
      <c r="Z2089" s="4"/>
      <c r="AA2089" s="4"/>
      <c r="AB2089" s="4"/>
      <c r="AC2089" s="4"/>
      <c r="AD2089" s="4"/>
      <c r="AE2089" s="4"/>
      <c r="AF2089" s="4"/>
      <c r="AG2089" s="4"/>
    </row>
    <row r="2090" spans="1:33" ht="32" x14ac:dyDescent="0.2">
      <c r="B2090" s="48"/>
      <c r="C2090" s="61" t="s">
        <v>1372</v>
      </c>
      <c r="D2090" s="44"/>
      <c r="E2090" s="86" t="s">
        <v>1036</v>
      </c>
      <c r="F2090" s="23" t="str">
        <f>IF(H2090=-0.33,IF(H2088=H$1,H2088,""),"")</f>
        <v/>
      </c>
      <c r="G2090" s="26"/>
      <c r="H2090" s="24">
        <f t="shared" ref="H2090" si="691">IF(H2089=1,IF(H2088=H$2,1,-0.33),0)</f>
        <v>0</v>
      </c>
      <c r="I2090" s="4"/>
      <c r="J2090" s="4"/>
      <c r="K2090" s="4"/>
      <c r="L2090" s="4"/>
      <c r="M2090" s="4"/>
      <c r="N2090" s="4"/>
      <c r="O2090" s="4"/>
      <c r="P2090" s="4"/>
      <c r="Q2090" s="4"/>
      <c r="R2090" s="4"/>
      <c r="S2090" s="4"/>
      <c r="T2090" s="4"/>
      <c r="U2090" s="4"/>
      <c r="V2090" s="4"/>
      <c r="W2090" s="4"/>
      <c r="X2090" s="4"/>
      <c r="Y2090" s="4"/>
      <c r="Z2090" s="4"/>
      <c r="AA2090" s="4"/>
      <c r="AB2090" s="4"/>
      <c r="AC2090" s="4"/>
      <c r="AD2090" s="4"/>
      <c r="AE2090" s="4"/>
      <c r="AF2090" s="4"/>
      <c r="AG2090" s="4"/>
    </row>
    <row r="2091" spans="1:33" x14ac:dyDescent="0.2">
      <c r="B2091" s="48"/>
      <c r="C2091" s="61" t="s">
        <v>1373</v>
      </c>
      <c r="D2091" s="44"/>
      <c r="E2091" s="86" t="s">
        <v>1037</v>
      </c>
      <c r="F2091" s="28"/>
      <c r="G2091" s="26"/>
      <c r="H2091" s="24"/>
      <c r="I2091" s="4"/>
      <c r="J2091" s="4"/>
      <c r="K2091" s="4"/>
      <c r="L2091" s="4"/>
      <c r="M2091" s="4"/>
      <c r="N2091" s="4"/>
      <c r="O2091" s="4"/>
      <c r="P2091" s="4"/>
      <c r="Q2091" s="4"/>
      <c r="R2091" s="4"/>
      <c r="S2091" s="4"/>
      <c r="T2091" s="4"/>
      <c r="U2091" s="4"/>
      <c r="V2091" s="4"/>
      <c r="W2091" s="4"/>
      <c r="X2091" s="4"/>
      <c r="Y2091" s="4"/>
      <c r="Z2091" s="4"/>
      <c r="AA2091" s="4"/>
      <c r="AB2091" s="4"/>
      <c r="AC2091" s="4"/>
      <c r="AD2091" s="4"/>
      <c r="AE2091" s="4"/>
      <c r="AF2091" s="4"/>
      <c r="AG2091" s="4"/>
    </row>
    <row r="2092" spans="1:33" x14ac:dyDescent="0.2">
      <c r="B2092" s="48"/>
      <c r="C2092" s="39"/>
      <c r="D2092" s="44"/>
      <c r="E2092" s="86" t="s">
        <v>1038</v>
      </c>
      <c r="F2092" s="20"/>
      <c r="G2092" s="19"/>
      <c r="H2092" s="24"/>
      <c r="I2092" s="4"/>
      <c r="J2092" s="4"/>
      <c r="K2092" s="4"/>
      <c r="L2092" s="4"/>
      <c r="M2092" s="4"/>
      <c r="N2092" s="4"/>
      <c r="O2092" s="4"/>
      <c r="P2092" s="4"/>
      <c r="Q2092" s="4"/>
      <c r="R2092" s="4"/>
      <c r="S2092" s="4"/>
      <c r="T2092" s="4"/>
      <c r="U2092" s="4"/>
      <c r="V2092" s="4"/>
      <c r="W2092" s="4"/>
      <c r="X2092" s="4"/>
      <c r="Y2092" s="4"/>
      <c r="Z2092" s="4"/>
      <c r="AA2092" s="4"/>
      <c r="AB2092" s="4"/>
      <c r="AC2092" s="4"/>
      <c r="AD2092" s="4"/>
      <c r="AE2092" s="4"/>
      <c r="AF2092" s="4"/>
      <c r="AG2092" s="4"/>
    </row>
    <row r="2093" spans="1:33" s="17" customFormat="1" x14ac:dyDescent="0.2">
      <c r="A2093" s="4"/>
      <c r="B2093" s="49" t="s">
        <v>1374</v>
      </c>
      <c r="C2093" s="36"/>
      <c r="D2093" s="45"/>
      <c r="E2093" s="85"/>
      <c r="F2093" s="30"/>
      <c r="G2093" s="29"/>
      <c r="H2093" s="15"/>
    </row>
    <row r="2094" spans="1:33" x14ac:dyDescent="0.2">
      <c r="B2094" s="52"/>
      <c r="C2094" s="60" t="s">
        <v>1375</v>
      </c>
      <c r="D2094" s="44"/>
      <c r="E2094" s="86" t="s">
        <v>1034</v>
      </c>
      <c r="F2094" s="28"/>
      <c r="G2094" s="26"/>
      <c r="H2094" s="21" t="b">
        <f>IF(D2095="x",H$2,H$1)</f>
        <v>0</v>
      </c>
      <c r="I2094" s="4"/>
      <c r="J2094" s="4"/>
      <c r="K2094" s="4"/>
      <c r="L2094" s="4"/>
      <c r="M2094" s="4"/>
      <c r="N2094" s="4"/>
      <c r="O2094" s="4"/>
      <c r="P2094" s="4"/>
      <c r="Q2094" s="4"/>
      <c r="R2094" s="4"/>
      <c r="S2094" s="4"/>
      <c r="T2094" s="4"/>
      <c r="U2094" s="4"/>
      <c r="V2094" s="4"/>
      <c r="W2094" s="4"/>
      <c r="X2094" s="4"/>
      <c r="Y2094" s="4"/>
      <c r="Z2094" s="4"/>
      <c r="AA2094" s="4"/>
      <c r="AB2094" s="4"/>
      <c r="AC2094" s="4"/>
      <c r="AD2094" s="4"/>
      <c r="AE2094" s="4"/>
      <c r="AF2094" s="4"/>
      <c r="AG2094" s="4"/>
    </row>
    <row r="2095" spans="1:33" x14ac:dyDescent="0.2">
      <c r="B2095" s="48"/>
      <c r="C2095" s="61" t="s">
        <v>1376</v>
      </c>
      <c r="D2095" s="44"/>
      <c r="E2095" s="86" t="s">
        <v>1035</v>
      </c>
      <c r="F2095" s="22" t="str">
        <f>IF(H2096=1,IF(H2094=H$2,H2094,""),"")</f>
        <v/>
      </c>
      <c r="G2095" s="26"/>
      <c r="H2095" s="21" t="str">
        <f t="shared" ref="H2095" si="692">IF(E$2117="comprobar",COUNTIF(D2094:D2098,"x"),"")</f>
        <v/>
      </c>
      <c r="I2095" s="4"/>
      <c r="J2095" s="4"/>
      <c r="K2095" s="4"/>
      <c r="L2095" s="4"/>
      <c r="M2095" s="4"/>
      <c r="N2095" s="4"/>
      <c r="O2095" s="4"/>
      <c r="P2095" s="4"/>
      <c r="Q2095" s="4"/>
      <c r="R2095" s="4"/>
      <c r="S2095" s="4"/>
      <c r="T2095" s="4"/>
      <c r="U2095" s="4"/>
      <c r="V2095" s="4"/>
      <c r="W2095" s="4"/>
      <c r="X2095" s="4"/>
      <c r="Y2095" s="4"/>
      <c r="Z2095" s="4"/>
      <c r="AA2095" s="4"/>
      <c r="AB2095" s="4"/>
      <c r="AC2095" s="4"/>
      <c r="AD2095" s="4"/>
      <c r="AE2095" s="4"/>
      <c r="AF2095" s="4"/>
      <c r="AG2095" s="4"/>
    </row>
    <row r="2096" spans="1:33" x14ac:dyDescent="0.2">
      <c r="B2096" s="48"/>
      <c r="C2096" s="61" t="s">
        <v>1377</v>
      </c>
      <c r="D2096" s="44"/>
      <c r="E2096" s="86" t="s">
        <v>1036</v>
      </c>
      <c r="F2096" s="23" t="str">
        <f>IF(H2096=-0.33,IF(H2094=H$1,H2094,""),"")</f>
        <v/>
      </c>
      <c r="G2096" s="26"/>
      <c r="H2096" s="24">
        <f t="shared" ref="H2096" si="693">IF(H2095=1,IF(H2094=H$2,1,-0.33),0)</f>
        <v>0</v>
      </c>
      <c r="I2096" s="4"/>
      <c r="J2096" s="4"/>
      <c r="K2096" s="4"/>
      <c r="L2096" s="4"/>
      <c r="M2096" s="4"/>
      <c r="N2096" s="4"/>
      <c r="O2096" s="4"/>
      <c r="P2096" s="4"/>
      <c r="Q2096" s="4"/>
      <c r="R2096" s="4"/>
      <c r="S2096" s="4"/>
      <c r="T2096" s="4"/>
      <c r="U2096" s="4"/>
      <c r="V2096" s="4"/>
      <c r="W2096" s="4"/>
      <c r="X2096" s="4"/>
      <c r="Y2096" s="4"/>
      <c r="Z2096" s="4"/>
      <c r="AA2096" s="4"/>
      <c r="AB2096" s="4"/>
      <c r="AC2096" s="4"/>
      <c r="AD2096" s="4"/>
      <c r="AE2096" s="4"/>
      <c r="AF2096" s="4"/>
      <c r="AG2096" s="4"/>
    </row>
    <row r="2097" spans="1:33" x14ac:dyDescent="0.2">
      <c r="B2097" s="48"/>
      <c r="C2097" s="61" t="s">
        <v>1166</v>
      </c>
      <c r="D2097" s="44"/>
      <c r="E2097" s="86" t="s">
        <v>1037</v>
      </c>
      <c r="F2097" s="28"/>
      <c r="G2097" s="26"/>
      <c r="H2097" s="24"/>
      <c r="I2097" s="4"/>
      <c r="J2097" s="4"/>
      <c r="K2097" s="4"/>
      <c r="L2097" s="4"/>
      <c r="M2097" s="4"/>
      <c r="N2097" s="4"/>
      <c r="O2097" s="4"/>
      <c r="P2097" s="4"/>
      <c r="Q2097" s="4"/>
      <c r="R2097" s="4"/>
      <c r="S2097" s="4"/>
      <c r="T2097" s="4"/>
      <c r="U2097" s="4"/>
      <c r="V2097" s="4"/>
      <c r="W2097" s="4"/>
      <c r="X2097" s="4"/>
      <c r="Y2097" s="4"/>
      <c r="Z2097" s="4"/>
      <c r="AA2097" s="4"/>
      <c r="AB2097" s="4"/>
      <c r="AC2097" s="4"/>
      <c r="AD2097" s="4"/>
      <c r="AE2097" s="4"/>
      <c r="AF2097" s="4"/>
      <c r="AG2097" s="4"/>
    </row>
    <row r="2098" spans="1:33" x14ac:dyDescent="0.2">
      <c r="B2098" s="48"/>
      <c r="C2098" s="39"/>
      <c r="D2098" s="44"/>
      <c r="E2098" s="86" t="s">
        <v>1038</v>
      </c>
      <c r="F2098" s="20"/>
      <c r="G2098" s="19"/>
      <c r="H2098" s="24"/>
      <c r="I2098" s="4"/>
      <c r="J2098" s="4"/>
      <c r="K2098" s="4"/>
      <c r="L2098" s="4"/>
      <c r="M2098" s="4"/>
      <c r="N2098" s="4"/>
      <c r="O2098" s="4"/>
      <c r="P2098" s="4"/>
      <c r="Q2098" s="4"/>
      <c r="R2098" s="4"/>
      <c r="S2098" s="4"/>
      <c r="T2098" s="4"/>
      <c r="U2098" s="4"/>
      <c r="V2098" s="4"/>
      <c r="W2098" s="4"/>
      <c r="X2098" s="4"/>
      <c r="Y2098" s="4"/>
      <c r="Z2098" s="4"/>
      <c r="AA2098" s="4"/>
      <c r="AB2098" s="4"/>
      <c r="AC2098" s="4"/>
      <c r="AD2098" s="4"/>
      <c r="AE2098" s="4"/>
      <c r="AF2098" s="4"/>
      <c r="AG2098" s="4"/>
    </row>
    <row r="2099" spans="1:33" s="17" customFormat="1" x14ac:dyDescent="0.2">
      <c r="A2099" s="4"/>
      <c r="B2099" s="49" t="s">
        <v>1378</v>
      </c>
      <c r="C2099" s="36"/>
      <c r="D2099" s="45"/>
      <c r="E2099" s="85"/>
      <c r="F2099" s="30"/>
      <c r="G2099" s="29"/>
      <c r="H2099" s="15"/>
    </row>
    <row r="2100" spans="1:33" x14ac:dyDescent="0.2">
      <c r="B2100" s="52"/>
      <c r="C2100" s="60" t="s">
        <v>1379</v>
      </c>
      <c r="D2100" s="44"/>
      <c r="E2100" s="86" t="s">
        <v>1034</v>
      </c>
      <c r="F2100" s="28"/>
      <c r="G2100" s="26"/>
      <c r="H2100" s="21" t="b">
        <f>IF(D2101="x",H$2,H$1)</f>
        <v>0</v>
      </c>
      <c r="I2100" s="4"/>
      <c r="J2100" s="4"/>
      <c r="K2100" s="4"/>
      <c r="L2100" s="4"/>
      <c r="M2100" s="4"/>
      <c r="N2100" s="4"/>
      <c r="O2100" s="4"/>
      <c r="P2100" s="4"/>
      <c r="Q2100" s="4"/>
      <c r="R2100" s="4"/>
      <c r="S2100" s="4"/>
      <c r="T2100" s="4"/>
      <c r="U2100" s="4"/>
      <c r="V2100" s="4"/>
      <c r="W2100" s="4"/>
      <c r="X2100" s="4"/>
      <c r="Y2100" s="4"/>
      <c r="Z2100" s="4"/>
      <c r="AA2100" s="4"/>
      <c r="AB2100" s="4"/>
      <c r="AC2100" s="4"/>
      <c r="AD2100" s="4"/>
      <c r="AE2100" s="4"/>
      <c r="AF2100" s="4"/>
      <c r="AG2100" s="4"/>
    </row>
    <row r="2101" spans="1:33" x14ac:dyDescent="0.2">
      <c r="B2101" s="48"/>
      <c r="C2101" s="61" t="s">
        <v>1380</v>
      </c>
      <c r="D2101" s="44"/>
      <c r="E2101" s="86" t="s">
        <v>1035</v>
      </c>
      <c r="F2101" s="22" t="str">
        <f>IF(H2102=1,IF(H2100=H$2,H2100,""),"")</f>
        <v/>
      </c>
      <c r="G2101" s="26"/>
      <c r="H2101" s="21" t="str">
        <f t="shared" ref="H2101" si="694">IF(E$2117="comprobar",COUNTIF(D2100:D2104,"x"),"")</f>
        <v/>
      </c>
      <c r="I2101" s="4"/>
      <c r="J2101" s="4"/>
      <c r="K2101" s="4"/>
      <c r="L2101" s="4"/>
      <c r="M2101" s="4"/>
      <c r="N2101" s="4"/>
      <c r="O2101" s="4"/>
      <c r="P2101" s="4"/>
      <c r="Q2101" s="4"/>
      <c r="R2101" s="4"/>
      <c r="S2101" s="4"/>
      <c r="T2101" s="4"/>
      <c r="U2101" s="4"/>
      <c r="V2101" s="4"/>
      <c r="W2101" s="4"/>
      <c r="X2101" s="4"/>
      <c r="Y2101" s="4"/>
      <c r="Z2101" s="4"/>
      <c r="AA2101" s="4"/>
      <c r="AB2101" s="4"/>
      <c r="AC2101" s="4"/>
      <c r="AD2101" s="4"/>
      <c r="AE2101" s="4"/>
      <c r="AF2101" s="4"/>
      <c r="AG2101" s="4"/>
    </row>
    <row r="2102" spans="1:33" x14ac:dyDescent="0.2">
      <c r="B2102" s="48"/>
      <c r="C2102" s="61" t="s">
        <v>1381</v>
      </c>
      <c r="D2102" s="44"/>
      <c r="E2102" s="86" t="s">
        <v>1036</v>
      </c>
      <c r="F2102" s="23" t="str">
        <f>IF(H2102=-0.33,IF(H2100=H$1,H2100,""),"")</f>
        <v/>
      </c>
      <c r="G2102" s="26"/>
      <c r="H2102" s="24">
        <f t="shared" ref="H2102" si="695">IF(H2101=1,IF(H2100=H$2,1,-0.33),0)</f>
        <v>0</v>
      </c>
      <c r="I2102" s="4"/>
      <c r="J2102" s="4"/>
      <c r="K2102" s="4"/>
      <c r="L2102" s="4"/>
      <c r="M2102" s="4"/>
      <c r="N2102" s="4"/>
      <c r="O2102" s="4"/>
      <c r="P2102" s="4"/>
      <c r="Q2102" s="4"/>
      <c r="R2102" s="4"/>
      <c r="S2102" s="4"/>
      <c r="T2102" s="4"/>
      <c r="U2102" s="4"/>
      <c r="V2102" s="4"/>
      <c r="W2102" s="4"/>
      <c r="X2102" s="4"/>
      <c r="Y2102" s="4"/>
      <c r="Z2102" s="4"/>
      <c r="AA2102" s="4"/>
      <c r="AB2102" s="4"/>
      <c r="AC2102" s="4"/>
      <c r="AD2102" s="4"/>
      <c r="AE2102" s="4"/>
      <c r="AF2102" s="4"/>
      <c r="AG2102" s="4"/>
    </row>
    <row r="2103" spans="1:33" x14ac:dyDescent="0.2">
      <c r="B2103" s="48"/>
      <c r="C2103" s="61" t="s">
        <v>1382</v>
      </c>
      <c r="D2103" s="44"/>
      <c r="E2103" s="86" t="s">
        <v>1037</v>
      </c>
      <c r="F2103" s="28"/>
      <c r="G2103" s="26"/>
      <c r="H2103" s="24"/>
      <c r="I2103" s="4"/>
      <c r="J2103" s="4"/>
      <c r="K2103" s="4"/>
      <c r="L2103" s="4"/>
      <c r="M2103" s="4"/>
      <c r="N2103" s="4"/>
      <c r="O2103" s="4"/>
      <c r="P2103" s="4"/>
      <c r="Q2103" s="4"/>
      <c r="R2103" s="4"/>
      <c r="S2103" s="4"/>
      <c r="T2103" s="4"/>
      <c r="U2103" s="4"/>
      <c r="V2103" s="4"/>
      <c r="W2103" s="4"/>
      <c r="X2103" s="4"/>
      <c r="Y2103" s="4"/>
      <c r="Z2103" s="4"/>
      <c r="AA2103" s="4"/>
      <c r="AB2103" s="4"/>
      <c r="AC2103" s="4"/>
      <c r="AD2103" s="4"/>
      <c r="AE2103" s="4"/>
      <c r="AF2103" s="4"/>
      <c r="AG2103" s="4"/>
    </row>
    <row r="2104" spans="1:33" x14ac:dyDescent="0.2">
      <c r="B2104" s="48"/>
      <c r="C2104" s="39"/>
      <c r="D2104" s="44"/>
      <c r="E2104" s="86" t="s">
        <v>1038</v>
      </c>
      <c r="F2104" s="20"/>
      <c r="G2104" s="19"/>
      <c r="H2104" s="24"/>
      <c r="I2104" s="4"/>
      <c r="J2104" s="4"/>
      <c r="K2104" s="4"/>
      <c r="L2104" s="4"/>
      <c r="M2104" s="4"/>
      <c r="N2104" s="4"/>
      <c r="O2104" s="4"/>
      <c r="P2104" s="4"/>
      <c r="Q2104" s="4"/>
      <c r="R2104" s="4"/>
      <c r="S2104" s="4"/>
      <c r="T2104" s="4"/>
      <c r="U2104" s="4"/>
      <c r="V2104" s="4"/>
      <c r="W2104" s="4"/>
      <c r="X2104" s="4"/>
      <c r="Y2104" s="4"/>
      <c r="Z2104" s="4"/>
      <c r="AA2104" s="4"/>
      <c r="AB2104" s="4"/>
      <c r="AC2104" s="4"/>
      <c r="AD2104" s="4"/>
      <c r="AE2104" s="4"/>
      <c r="AF2104" s="4"/>
      <c r="AG2104" s="4"/>
    </row>
    <row r="2105" spans="1:33" s="17" customFormat="1" x14ac:dyDescent="0.2">
      <c r="A2105" s="4"/>
      <c r="B2105" s="49" t="s">
        <v>1383</v>
      </c>
      <c r="C2105" s="36"/>
      <c r="D2105" s="45"/>
      <c r="E2105" s="85"/>
      <c r="F2105" s="30"/>
      <c r="G2105" s="29"/>
      <c r="H2105" s="15"/>
    </row>
    <row r="2106" spans="1:33" ht="32" x14ac:dyDescent="0.2">
      <c r="B2106" s="52"/>
      <c r="C2106" s="60" t="s">
        <v>1384</v>
      </c>
      <c r="D2106" s="44"/>
      <c r="E2106" s="86" t="s">
        <v>1034</v>
      </c>
      <c r="F2106" s="28"/>
      <c r="G2106" s="26"/>
      <c r="H2106" s="21" t="b">
        <f>IF(D2108="x",H$2,H$1)</f>
        <v>0</v>
      </c>
      <c r="I2106" s="4"/>
      <c r="J2106" s="4"/>
      <c r="K2106" s="4"/>
      <c r="L2106" s="4"/>
      <c r="M2106" s="4"/>
      <c r="N2106" s="4"/>
      <c r="O2106" s="4"/>
      <c r="P2106" s="4"/>
      <c r="Q2106" s="4"/>
      <c r="R2106" s="4"/>
      <c r="S2106" s="4"/>
      <c r="T2106" s="4"/>
      <c r="U2106" s="4"/>
      <c r="V2106" s="4"/>
      <c r="W2106" s="4"/>
      <c r="X2106" s="4"/>
      <c r="Y2106" s="4"/>
      <c r="Z2106" s="4"/>
      <c r="AA2106" s="4"/>
      <c r="AB2106" s="4"/>
      <c r="AC2106" s="4"/>
      <c r="AD2106" s="4"/>
      <c r="AE2106" s="4"/>
      <c r="AF2106" s="4"/>
      <c r="AG2106" s="4"/>
    </row>
    <row r="2107" spans="1:33" ht="32" x14ac:dyDescent="0.2">
      <c r="B2107" s="48"/>
      <c r="C2107" s="61" t="s">
        <v>1385</v>
      </c>
      <c r="D2107" s="44"/>
      <c r="E2107" s="86" t="s">
        <v>1035</v>
      </c>
      <c r="F2107" s="22" t="str">
        <f>IF(H2108=1,IF(H2106=H$2,H2106,""),"")</f>
        <v/>
      </c>
      <c r="G2107" s="26"/>
      <c r="H2107" s="21" t="str">
        <f t="shared" ref="H2107" si="696">IF(E$2117="comprobar",COUNTIF(D2106:D2110,"x"),"")</f>
        <v/>
      </c>
      <c r="I2107" s="4"/>
      <c r="J2107" s="4"/>
      <c r="K2107" s="4"/>
      <c r="L2107" s="4"/>
      <c r="M2107" s="4"/>
      <c r="N2107" s="4"/>
      <c r="O2107" s="4"/>
      <c r="P2107" s="4"/>
      <c r="Q2107" s="4"/>
      <c r="R2107" s="4"/>
      <c r="S2107" s="4"/>
      <c r="T2107" s="4"/>
      <c r="U2107" s="4"/>
      <c r="V2107" s="4"/>
      <c r="W2107" s="4"/>
      <c r="X2107" s="4"/>
      <c r="Y2107" s="4"/>
      <c r="Z2107" s="4"/>
      <c r="AA2107" s="4"/>
      <c r="AB2107" s="4"/>
      <c r="AC2107" s="4"/>
      <c r="AD2107" s="4"/>
      <c r="AE2107" s="4"/>
      <c r="AF2107" s="4"/>
      <c r="AG2107" s="4"/>
    </row>
    <row r="2108" spans="1:33" ht="48" x14ac:dyDescent="0.2">
      <c r="B2108" s="48"/>
      <c r="C2108" s="61" t="s">
        <v>1386</v>
      </c>
      <c r="D2108" s="44"/>
      <c r="E2108" s="86" t="s">
        <v>1036</v>
      </c>
      <c r="F2108" s="23" t="str">
        <f>IF(H2108=-0.33,IF(H2106=H$1,H2106,""),"")</f>
        <v/>
      </c>
      <c r="G2108" s="26"/>
      <c r="H2108" s="24">
        <f t="shared" ref="H2108" si="697">IF(H2107=1,IF(H2106=H$2,1,-0.33),0)</f>
        <v>0</v>
      </c>
      <c r="I2108" s="4"/>
      <c r="J2108" s="4"/>
      <c r="K2108" s="4"/>
      <c r="L2108" s="4"/>
      <c r="M2108" s="4"/>
      <c r="N2108" s="4"/>
      <c r="O2108" s="4"/>
      <c r="P2108" s="4"/>
      <c r="Q2108" s="4"/>
      <c r="R2108" s="4"/>
      <c r="S2108" s="4"/>
      <c r="T2108" s="4"/>
      <c r="U2108" s="4"/>
      <c r="V2108" s="4"/>
      <c r="W2108" s="4"/>
      <c r="X2108" s="4"/>
      <c r="Y2108" s="4"/>
      <c r="Z2108" s="4"/>
      <c r="AA2108" s="4"/>
      <c r="AB2108" s="4"/>
      <c r="AC2108" s="4"/>
      <c r="AD2108" s="4"/>
      <c r="AE2108" s="4"/>
      <c r="AF2108" s="4"/>
      <c r="AG2108" s="4"/>
    </row>
    <row r="2109" spans="1:33" x14ac:dyDescent="0.2">
      <c r="B2109" s="48"/>
      <c r="C2109" s="61" t="s">
        <v>1387</v>
      </c>
      <c r="D2109" s="44"/>
      <c r="E2109" s="86" t="s">
        <v>1037</v>
      </c>
      <c r="F2109" s="28"/>
      <c r="G2109" s="26"/>
      <c r="H2109" s="24"/>
      <c r="I2109" s="4"/>
      <c r="J2109" s="4"/>
      <c r="K2109" s="4"/>
      <c r="L2109" s="4"/>
      <c r="M2109" s="4"/>
      <c r="N2109" s="4"/>
      <c r="O2109" s="4"/>
      <c r="P2109" s="4"/>
      <c r="Q2109" s="4"/>
      <c r="R2109" s="4"/>
      <c r="S2109" s="4"/>
      <c r="T2109" s="4"/>
      <c r="U2109" s="4"/>
      <c r="V2109" s="4"/>
      <c r="W2109" s="4"/>
      <c r="X2109" s="4"/>
      <c r="Y2109" s="4"/>
      <c r="Z2109" s="4"/>
      <c r="AA2109" s="4"/>
      <c r="AB2109" s="4"/>
      <c r="AC2109" s="4"/>
      <c r="AD2109" s="4"/>
      <c r="AE2109" s="4"/>
      <c r="AF2109" s="4"/>
      <c r="AG2109" s="4"/>
    </row>
    <row r="2110" spans="1:33" x14ac:dyDescent="0.2">
      <c r="B2110" s="48"/>
      <c r="C2110" s="39"/>
      <c r="D2110" s="44"/>
      <c r="E2110" s="86" t="s">
        <v>1038</v>
      </c>
      <c r="F2110" s="20"/>
      <c r="G2110" s="19"/>
      <c r="H2110" s="24"/>
      <c r="I2110" s="4"/>
      <c r="J2110" s="4"/>
      <c r="K2110" s="4"/>
      <c r="L2110" s="4"/>
      <c r="M2110" s="4"/>
      <c r="N2110" s="4"/>
      <c r="O2110" s="4"/>
      <c r="P2110" s="4"/>
      <c r="Q2110" s="4"/>
      <c r="R2110" s="4"/>
      <c r="S2110" s="4"/>
      <c r="T2110" s="4"/>
      <c r="U2110" s="4"/>
      <c r="V2110" s="4"/>
      <c r="W2110" s="4"/>
      <c r="X2110" s="4"/>
      <c r="Y2110" s="4"/>
      <c r="Z2110" s="4"/>
      <c r="AA2110" s="4"/>
      <c r="AB2110" s="4"/>
      <c r="AC2110" s="4"/>
      <c r="AD2110" s="4"/>
      <c r="AE2110" s="4"/>
      <c r="AF2110" s="4"/>
      <c r="AG2110" s="4"/>
    </row>
    <row r="2111" spans="1:33" s="17" customFormat="1" x14ac:dyDescent="0.2">
      <c r="A2111" s="4"/>
      <c r="B2111" s="49" t="s">
        <v>1388</v>
      </c>
      <c r="C2111" s="36"/>
      <c r="D2111" s="45"/>
      <c r="E2111" s="85"/>
      <c r="F2111" s="30"/>
      <c r="G2111" s="29"/>
      <c r="H2111" s="15"/>
    </row>
    <row r="2112" spans="1:33" x14ac:dyDescent="0.2">
      <c r="B2112" s="52"/>
      <c r="C2112" s="60" t="s">
        <v>1389</v>
      </c>
      <c r="D2112" s="44"/>
      <c r="E2112" s="86" t="s">
        <v>1034</v>
      </c>
      <c r="F2112" s="28"/>
      <c r="G2112" s="26"/>
      <c r="H2112" s="21" t="b">
        <f>IF(D2112="x",H$2,H$1)</f>
        <v>0</v>
      </c>
      <c r="I2112" s="4"/>
      <c r="J2112" s="4"/>
      <c r="K2112" s="4"/>
      <c r="L2112" s="4"/>
      <c r="M2112" s="4"/>
      <c r="N2112" s="4"/>
      <c r="O2112" s="4"/>
      <c r="P2112" s="4"/>
      <c r="Q2112" s="4"/>
      <c r="R2112" s="4"/>
      <c r="S2112" s="4"/>
      <c r="T2112" s="4"/>
      <c r="U2112" s="4"/>
      <c r="V2112" s="4"/>
      <c r="W2112" s="4"/>
      <c r="X2112" s="4"/>
      <c r="Y2112" s="4"/>
      <c r="Z2112" s="4"/>
      <c r="AA2112" s="4"/>
      <c r="AB2112" s="4"/>
      <c r="AC2112" s="4"/>
      <c r="AD2112" s="4"/>
      <c r="AE2112" s="4"/>
      <c r="AF2112" s="4"/>
      <c r="AG2112" s="4"/>
    </row>
    <row r="2113" spans="2:33" x14ac:dyDescent="0.2">
      <c r="B2113" s="48"/>
      <c r="C2113" s="61" t="s">
        <v>1390</v>
      </c>
      <c r="D2113" s="44"/>
      <c r="E2113" s="86" t="s">
        <v>1035</v>
      </c>
      <c r="F2113" s="22" t="str">
        <f>IF(H2114=1,IF(H2112=H$2,H2112,""),"")</f>
        <v/>
      </c>
      <c r="G2113" s="26"/>
      <c r="H2113" s="21" t="str">
        <f>IF(E$2117="comprobar",COUNTIF(D2112:D2116,"x"),"")</f>
        <v/>
      </c>
      <c r="I2113" s="4"/>
      <c r="J2113" s="4"/>
      <c r="K2113" s="4"/>
      <c r="L2113" s="4"/>
      <c r="M2113" s="4"/>
      <c r="N2113" s="4"/>
      <c r="O2113" s="4"/>
      <c r="P2113" s="4"/>
      <c r="Q2113" s="4"/>
      <c r="R2113" s="4"/>
      <c r="S2113" s="4"/>
      <c r="T2113" s="4"/>
      <c r="U2113" s="4"/>
      <c r="V2113" s="4"/>
      <c r="W2113" s="4"/>
      <c r="X2113" s="4"/>
      <c r="Y2113" s="4"/>
      <c r="Z2113" s="4"/>
      <c r="AA2113" s="4"/>
      <c r="AB2113" s="4"/>
      <c r="AC2113" s="4"/>
      <c r="AD2113" s="4"/>
      <c r="AE2113" s="4"/>
      <c r="AF2113" s="4"/>
      <c r="AG2113" s="4"/>
    </row>
    <row r="2114" spans="2:33" x14ac:dyDescent="0.2">
      <c r="B2114" s="48"/>
      <c r="C2114" s="61" t="s">
        <v>1391</v>
      </c>
      <c r="D2114" s="44"/>
      <c r="E2114" s="86" t="s">
        <v>1036</v>
      </c>
      <c r="F2114" s="23" t="str">
        <f>IF(H2114=-0.33,IF(H2112=H$1,H2112,""),"")</f>
        <v/>
      </c>
      <c r="G2114" s="26"/>
      <c r="H2114" s="24">
        <f t="shared" ref="H2114" si="698">IF(H2113=1,IF(H2112=H$2,1,-0.33),0)</f>
        <v>0</v>
      </c>
      <c r="I2114" s="4"/>
      <c r="J2114" s="4"/>
      <c r="K2114" s="4"/>
      <c r="L2114" s="4"/>
      <c r="M2114" s="4"/>
      <c r="N2114" s="4"/>
      <c r="O2114" s="4"/>
      <c r="P2114" s="4"/>
      <c r="Q2114" s="4"/>
      <c r="R2114" s="4"/>
      <c r="S2114" s="4"/>
      <c r="T2114" s="4"/>
      <c r="U2114" s="4"/>
      <c r="V2114" s="4"/>
      <c r="W2114" s="4"/>
      <c r="X2114" s="4"/>
      <c r="Y2114" s="4"/>
      <c r="Z2114" s="4"/>
      <c r="AA2114" s="4"/>
      <c r="AB2114" s="4"/>
      <c r="AC2114" s="4"/>
      <c r="AD2114" s="4"/>
      <c r="AE2114" s="4"/>
      <c r="AF2114" s="4"/>
      <c r="AG2114" s="4"/>
    </row>
    <row r="2115" spans="2:33" x14ac:dyDescent="0.2">
      <c r="B2115" s="48"/>
      <c r="C2115" s="61" t="s">
        <v>1133</v>
      </c>
      <c r="D2115" s="44"/>
      <c r="E2115" s="86" t="s">
        <v>1037</v>
      </c>
      <c r="F2115" s="28"/>
      <c r="G2115" s="26"/>
      <c r="H2115" s="24"/>
      <c r="I2115" s="4"/>
      <c r="J2115" s="4"/>
      <c r="K2115" s="4"/>
      <c r="L2115" s="4"/>
      <c r="M2115" s="4"/>
      <c r="N2115" s="4"/>
      <c r="O2115" s="4"/>
      <c r="P2115" s="4"/>
      <c r="Q2115" s="4"/>
      <c r="R2115" s="4"/>
      <c r="S2115" s="4"/>
      <c r="T2115" s="4"/>
      <c r="U2115" s="4"/>
      <c r="V2115" s="4"/>
      <c r="W2115" s="4"/>
      <c r="X2115" s="4"/>
      <c r="Y2115" s="4"/>
      <c r="Z2115" s="4"/>
      <c r="AA2115" s="4"/>
      <c r="AB2115" s="4"/>
      <c r="AC2115" s="4"/>
      <c r="AD2115" s="4"/>
      <c r="AE2115" s="4"/>
      <c r="AF2115" s="4"/>
      <c r="AG2115" s="4"/>
    </row>
    <row r="2116" spans="2:33" x14ac:dyDescent="0.2">
      <c r="B2116" s="48"/>
      <c r="C2116" s="39"/>
      <c r="D2116" s="44"/>
      <c r="E2116" s="86"/>
      <c r="F2116" s="20"/>
      <c r="G2116" s="19"/>
      <c r="H2116" s="24"/>
      <c r="I2116" s="4"/>
      <c r="J2116" s="4"/>
      <c r="K2116" s="4"/>
      <c r="L2116" s="4"/>
      <c r="M2116" s="4"/>
      <c r="N2116" s="4"/>
      <c r="O2116" s="4"/>
      <c r="P2116" s="4"/>
      <c r="Q2116" s="4"/>
      <c r="R2116" s="4"/>
      <c r="S2116" s="4"/>
      <c r="T2116" s="4"/>
      <c r="U2116" s="4"/>
      <c r="V2116" s="4"/>
      <c r="W2116" s="4"/>
      <c r="X2116" s="4"/>
      <c r="Y2116" s="4"/>
      <c r="Z2116" s="4"/>
      <c r="AA2116" s="4"/>
      <c r="AB2116" s="4"/>
      <c r="AC2116" s="4"/>
      <c r="AD2116" s="4"/>
      <c r="AE2116" s="4"/>
      <c r="AF2116" s="4"/>
      <c r="AG2116" s="4"/>
    </row>
    <row r="2117" spans="2:33" x14ac:dyDescent="0.2">
      <c r="B2117" s="52"/>
      <c r="C2117" s="18"/>
      <c r="D2117" s="73"/>
      <c r="E2117" s="97"/>
      <c r="F2117" s="31" t="s">
        <v>93</v>
      </c>
      <c r="G2117" s="19" t="s">
        <v>91</v>
      </c>
      <c r="H2117" s="19" t="s">
        <v>92</v>
      </c>
      <c r="I2117" s="4"/>
      <c r="J2117" s="4"/>
      <c r="K2117" s="4"/>
      <c r="L2117" s="4"/>
      <c r="M2117" s="4"/>
      <c r="N2117" s="4"/>
      <c r="O2117" s="4"/>
      <c r="P2117" s="4"/>
      <c r="Q2117" s="4"/>
      <c r="R2117" s="4"/>
      <c r="S2117" s="4"/>
      <c r="T2117" s="4"/>
      <c r="U2117" s="4"/>
      <c r="V2117" s="4"/>
      <c r="W2117" s="4"/>
      <c r="X2117" s="4"/>
      <c r="Y2117" s="4"/>
      <c r="Z2117" s="4"/>
      <c r="AA2117" s="4"/>
      <c r="AB2117" s="4"/>
      <c r="AC2117" s="4"/>
      <c r="AD2117" s="4"/>
      <c r="AE2117" s="4"/>
      <c r="AF2117" s="4"/>
      <c r="AG2117" s="4"/>
    </row>
    <row r="2118" spans="2:33" ht="20" x14ac:dyDescent="0.2">
      <c r="B2118" s="52"/>
      <c r="C2118" s="18"/>
      <c r="D2118" s="115"/>
      <c r="E2118" s="115"/>
      <c r="F2118" s="32" t="str">
        <f>IF(E2117="comprobar",H2054+H2048+H2042+H2036+H2030+H2024+H2018+H2012+H2006+H2000+H2060+H2066+H2072+H2078+H2084+H2090+H2096+H2102+H2108+H2114+H1994+H1988+H1982+H1976+H1964+H1970+H1958+H1952+H1946+H1940+H1934+H1928+H1922+H1916+H1910+H1904+H1898+H1892+H1886+H1880,"")</f>
        <v/>
      </c>
      <c r="G2118" s="19">
        <f>40/2</f>
        <v>20</v>
      </c>
      <c r="H2118" s="19"/>
      <c r="I2118" s="4"/>
      <c r="J2118" s="4"/>
      <c r="K2118" s="4"/>
      <c r="L2118" s="4"/>
      <c r="M2118" s="4"/>
      <c r="N2118" s="4"/>
      <c r="O2118" s="4"/>
      <c r="P2118" s="4"/>
      <c r="Q2118" s="4"/>
      <c r="R2118" s="4"/>
      <c r="S2118" s="4"/>
      <c r="T2118" s="4"/>
      <c r="U2118" s="4"/>
      <c r="V2118" s="4"/>
      <c r="W2118" s="4"/>
      <c r="X2118" s="4"/>
      <c r="Y2118" s="4"/>
      <c r="Z2118" s="4"/>
      <c r="AA2118" s="4"/>
      <c r="AB2118" s="4"/>
      <c r="AC2118" s="4"/>
      <c r="AD2118" s="4"/>
      <c r="AE2118" s="4"/>
      <c r="AF2118" s="4"/>
      <c r="AG2118" s="4"/>
    </row>
    <row r="2119" spans="2:33" ht="17" thickBot="1" x14ac:dyDescent="0.25">
      <c r="B2119" s="53"/>
      <c r="C2119" s="33"/>
      <c r="D2119" s="34"/>
      <c r="E2119" s="88"/>
      <c r="F2119" s="35" t="str">
        <f>IF(F2118&gt;G2118,G2117,H2117)</f>
        <v>APROBADO</v>
      </c>
      <c r="G2119" s="19"/>
      <c r="H2119" s="19"/>
      <c r="I2119" s="4"/>
      <c r="J2119" s="4"/>
      <c r="K2119" s="4"/>
      <c r="L2119" s="4"/>
      <c r="M2119" s="4"/>
      <c r="N2119" s="4"/>
      <c r="O2119" s="4"/>
      <c r="P2119" s="4"/>
      <c r="Q2119" s="4"/>
      <c r="R2119" s="4"/>
      <c r="S2119" s="4"/>
      <c r="T2119" s="4"/>
      <c r="U2119" s="4"/>
      <c r="V2119" s="4"/>
      <c r="W2119" s="4"/>
      <c r="X2119" s="4"/>
      <c r="Y2119" s="4"/>
      <c r="Z2119" s="4"/>
      <c r="AA2119" s="4"/>
      <c r="AB2119" s="4"/>
      <c r="AC2119" s="4"/>
      <c r="AD2119" s="4"/>
      <c r="AE2119" s="4"/>
      <c r="AF2119" s="4"/>
      <c r="AG2119" s="4"/>
    </row>
    <row r="2120" spans="2:33" ht="29" x14ac:dyDescent="0.35">
      <c r="B2120" s="54" t="s">
        <v>0</v>
      </c>
      <c r="C2120" s="113" t="s">
        <v>1392</v>
      </c>
      <c r="D2120" s="113"/>
      <c r="E2120" s="113"/>
      <c r="F2120" s="114"/>
    </row>
    <row r="2121" spans="2:33" x14ac:dyDescent="0.2">
      <c r="B2121" s="49" t="s">
        <v>1393</v>
      </c>
      <c r="C2121" s="13"/>
      <c r="D2121" s="14"/>
      <c r="E2121" s="14"/>
      <c r="F2121" s="16"/>
      <c r="G2121" s="15"/>
      <c r="H2121" s="15"/>
    </row>
    <row r="2122" spans="2:33" x14ac:dyDescent="0.2">
      <c r="B2122" s="48"/>
      <c r="C2122" s="56" t="s">
        <v>1394</v>
      </c>
      <c r="D2122" s="44"/>
      <c r="E2122" s="69" t="s">
        <v>1034</v>
      </c>
      <c r="F2122" s="20"/>
      <c r="G2122" s="19"/>
      <c r="H2122" s="21" t="b">
        <f>IF(D2124="x",H$2,H$1)</f>
        <v>0</v>
      </c>
    </row>
    <row r="2123" spans="2:33" x14ac:dyDescent="0.2">
      <c r="B2123" s="48"/>
      <c r="C2123" s="57" t="s">
        <v>1395</v>
      </c>
      <c r="D2123" s="44"/>
      <c r="E2123" s="69" t="s">
        <v>1035</v>
      </c>
      <c r="F2123" s="22"/>
      <c r="G2123" s="19"/>
      <c r="H2123" s="21" t="str">
        <f>IF(E$2241="comprobar",COUNTIF(D2122:D2126,"x"),"")</f>
        <v/>
      </c>
    </row>
    <row r="2124" spans="2:33" x14ac:dyDescent="0.2">
      <c r="B2124" s="48"/>
      <c r="C2124" s="57" t="s">
        <v>1396</v>
      </c>
      <c r="D2124" s="44"/>
      <c r="E2124" s="69" t="s">
        <v>1036</v>
      </c>
      <c r="F2124" s="23"/>
      <c r="G2124" s="19"/>
      <c r="H2124" s="24">
        <f>IF(H2123=1,IF(H2122=H$2,1,-0.33),0)</f>
        <v>0</v>
      </c>
    </row>
    <row r="2125" spans="2:33" x14ac:dyDescent="0.2">
      <c r="B2125" s="48"/>
      <c r="C2125" s="57" t="s">
        <v>1397</v>
      </c>
      <c r="D2125" s="44"/>
      <c r="E2125" s="69" t="s">
        <v>1037</v>
      </c>
      <c r="F2125" s="20"/>
      <c r="G2125" s="19"/>
      <c r="H2125" s="24"/>
    </row>
    <row r="2126" spans="2:33" x14ac:dyDescent="0.2">
      <c r="B2126" s="48"/>
      <c r="C2126" s="8"/>
      <c r="D2126" s="44"/>
      <c r="E2126" s="69" t="s">
        <v>1038</v>
      </c>
      <c r="F2126" s="20"/>
      <c r="G2126" s="19"/>
      <c r="H2126" s="24"/>
    </row>
    <row r="2127" spans="2:33" x14ac:dyDescent="0.2">
      <c r="B2127" s="49" t="s">
        <v>1398</v>
      </c>
      <c r="C2127" s="13"/>
      <c r="D2127" s="45"/>
      <c r="E2127" s="14"/>
      <c r="F2127" s="16"/>
      <c r="G2127" s="15"/>
      <c r="H2127" s="15"/>
    </row>
    <row r="2128" spans="2:33" x14ac:dyDescent="0.2">
      <c r="B2128" s="48"/>
      <c r="C2128" s="56" t="s">
        <v>1399</v>
      </c>
      <c r="D2128" s="44"/>
      <c r="E2128" s="69" t="s">
        <v>1034</v>
      </c>
      <c r="F2128" s="20"/>
      <c r="G2128" s="19"/>
      <c r="H2128" s="21" t="b">
        <f>IF(D2131="x",H$2,H$1)</f>
        <v>0</v>
      </c>
    </row>
    <row r="2129" spans="2:8" x14ac:dyDescent="0.2">
      <c r="B2129" s="52"/>
      <c r="C2129" s="57" t="s">
        <v>1400</v>
      </c>
      <c r="D2129" s="44"/>
      <c r="E2129" s="69" t="s">
        <v>1035</v>
      </c>
      <c r="F2129" s="22"/>
      <c r="G2129" s="19"/>
      <c r="H2129" s="21" t="str">
        <f t="shared" ref="H2129" si="699">IF(E$2241="comprobar",COUNTIF(D2128:D2132,"x"),"")</f>
        <v/>
      </c>
    </row>
    <row r="2130" spans="2:8" x14ac:dyDescent="0.2">
      <c r="B2130" s="48"/>
      <c r="C2130" s="57" t="s">
        <v>1401</v>
      </c>
      <c r="D2130" s="44"/>
      <c r="E2130" s="69" t="s">
        <v>1036</v>
      </c>
      <c r="F2130" s="23"/>
      <c r="G2130" s="19"/>
      <c r="H2130" s="24">
        <f t="shared" ref="H2130" si="700">IF(H2129=1,IF(H2128=H$2,1,-0.33),0)</f>
        <v>0</v>
      </c>
    </row>
    <row r="2131" spans="2:8" x14ac:dyDescent="0.2">
      <c r="B2131" s="48"/>
      <c r="C2131" s="57" t="s">
        <v>1402</v>
      </c>
      <c r="D2131" s="44"/>
      <c r="E2131" s="69" t="s">
        <v>1037</v>
      </c>
      <c r="F2131" s="20"/>
      <c r="G2131" s="19"/>
      <c r="H2131" s="24"/>
    </row>
    <row r="2132" spans="2:8" x14ac:dyDescent="0.2">
      <c r="B2132" s="48"/>
      <c r="C2132" s="8"/>
      <c r="D2132" s="44"/>
      <c r="E2132" s="69" t="s">
        <v>1038</v>
      </c>
      <c r="F2132" s="20"/>
      <c r="G2132" s="19"/>
      <c r="H2132" s="24"/>
    </row>
    <row r="2133" spans="2:8" x14ac:dyDescent="0.2">
      <c r="B2133" s="49" t="s">
        <v>1403</v>
      </c>
      <c r="C2133" s="13"/>
      <c r="D2133" s="45"/>
      <c r="E2133" s="14"/>
      <c r="F2133" s="16"/>
      <c r="G2133" s="15"/>
      <c r="H2133" s="15"/>
    </row>
    <row r="2134" spans="2:8" x14ac:dyDescent="0.2">
      <c r="B2134" s="52"/>
      <c r="C2134" s="56" t="s">
        <v>1404</v>
      </c>
      <c r="D2134" s="44"/>
      <c r="E2134" s="69" t="s">
        <v>1034</v>
      </c>
      <c r="F2134" s="20"/>
      <c r="G2134" s="19"/>
      <c r="H2134" s="21" t="b">
        <f>IF(D2137="x",H$2,H$1)</f>
        <v>0</v>
      </c>
    </row>
    <row r="2135" spans="2:8" x14ac:dyDescent="0.2">
      <c r="B2135" s="48"/>
      <c r="C2135" s="57" t="s">
        <v>1405</v>
      </c>
      <c r="D2135" s="44"/>
      <c r="E2135" s="69" t="s">
        <v>1035</v>
      </c>
      <c r="F2135" s="22"/>
      <c r="G2135" s="19"/>
      <c r="H2135" s="21" t="str">
        <f t="shared" ref="H2135" si="701">IF(E$2241="comprobar",COUNTIF(D2134:D2138,"x"),"")</f>
        <v/>
      </c>
    </row>
    <row r="2136" spans="2:8" x14ac:dyDescent="0.2">
      <c r="B2136" s="48"/>
      <c r="C2136" s="57" t="s">
        <v>1406</v>
      </c>
      <c r="D2136" s="44"/>
      <c r="E2136" s="69" t="s">
        <v>1036</v>
      </c>
      <c r="F2136" s="23"/>
      <c r="G2136" s="19"/>
      <c r="H2136" s="24">
        <f t="shared" ref="H2136" si="702">IF(H2135=1,IF(H2134=H$2,1,-0.33),0)</f>
        <v>0</v>
      </c>
    </row>
    <row r="2137" spans="2:8" x14ac:dyDescent="0.2">
      <c r="B2137" s="52"/>
      <c r="C2137" s="57" t="s">
        <v>1407</v>
      </c>
      <c r="D2137" s="44"/>
      <c r="E2137" s="69" t="s">
        <v>1037</v>
      </c>
      <c r="F2137" s="20"/>
      <c r="G2137" s="19"/>
      <c r="H2137" s="24"/>
    </row>
    <row r="2138" spans="2:8" x14ac:dyDescent="0.2">
      <c r="B2138" s="48"/>
      <c r="C2138" s="8"/>
      <c r="D2138" s="44"/>
      <c r="E2138" s="69" t="s">
        <v>1038</v>
      </c>
      <c r="F2138" s="20"/>
      <c r="G2138" s="19"/>
      <c r="H2138" s="24"/>
    </row>
    <row r="2139" spans="2:8" x14ac:dyDescent="0.2">
      <c r="B2139" s="49" t="s">
        <v>1408</v>
      </c>
      <c r="C2139" s="13"/>
      <c r="D2139" s="45"/>
      <c r="E2139" s="14"/>
      <c r="F2139" s="16"/>
      <c r="G2139" s="15"/>
      <c r="H2139" s="15"/>
    </row>
    <row r="2140" spans="2:8" x14ac:dyDescent="0.2">
      <c r="B2140" s="48"/>
      <c r="C2140" s="56" t="s">
        <v>1409</v>
      </c>
      <c r="D2140" s="44"/>
      <c r="E2140" s="69" t="s">
        <v>1034</v>
      </c>
      <c r="F2140" s="20"/>
      <c r="G2140" s="19"/>
      <c r="H2140" s="21" t="b">
        <f>IF(D2141="x",H$2,H$1)</f>
        <v>0</v>
      </c>
    </row>
    <row r="2141" spans="2:8" x14ac:dyDescent="0.2">
      <c r="B2141" s="52"/>
      <c r="C2141" s="57" t="s">
        <v>1410</v>
      </c>
      <c r="D2141" s="44"/>
      <c r="E2141" s="69" t="s">
        <v>1035</v>
      </c>
      <c r="F2141" s="22"/>
      <c r="G2141" s="19"/>
      <c r="H2141" s="21" t="str">
        <f t="shared" ref="H2141" si="703">IF(E$2241="comprobar",COUNTIF(D2140:D2144,"x"),"")</f>
        <v/>
      </c>
    </row>
    <row r="2142" spans="2:8" x14ac:dyDescent="0.2">
      <c r="B2142" s="48"/>
      <c r="C2142" s="57" t="s">
        <v>1411</v>
      </c>
      <c r="D2142" s="44"/>
      <c r="E2142" s="69" t="s">
        <v>1036</v>
      </c>
      <c r="F2142" s="23"/>
      <c r="G2142" s="19"/>
      <c r="H2142" s="24">
        <f t="shared" ref="H2142" si="704">IF(H2141=1,IF(H2140=H$2,1,-0.33),0)</f>
        <v>0</v>
      </c>
    </row>
    <row r="2143" spans="2:8" x14ac:dyDescent="0.2">
      <c r="B2143" s="48"/>
      <c r="C2143" s="57" t="s">
        <v>1412</v>
      </c>
      <c r="D2143" s="44"/>
      <c r="E2143" s="69" t="s">
        <v>1037</v>
      </c>
      <c r="F2143" s="20"/>
      <c r="G2143" s="19"/>
      <c r="H2143" s="24"/>
    </row>
    <row r="2144" spans="2:8" x14ac:dyDescent="0.2">
      <c r="B2144" s="48"/>
      <c r="C2144" s="8"/>
      <c r="D2144" s="44"/>
      <c r="E2144" s="69" t="s">
        <v>1038</v>
      </c>
      <c r="F2144" s="20"/>
      <c r="G2144" s="19"/>
      <c r="H2144" s="24"/>
    </row>
    <row r="2145" spans="2:8" x14ac:dyDescent="0.2">
      <c r="B2145" s="49" t="s">
        <v>1413</v>
      </c>
      <c r="C2145" s="36"/>
      <c r="D2145" s="45"/>
      <c r="E2145" s="14"/>
      <c r="F2145" s="16"/>
      <c r="G2145" s="15"/>
      <c r="H2145" s="15"/>
    </row>
    <row r="2146" spans="2:8" x14ac:dyDescent="0.2">
      <c r="B2146" s="48"/>
      <c r="C2146" s="60" t="s">
        <v>1414</v>
      </c>
      <c r="D2146" s="44"/>
      <c r="E2146" s="69" t="s">
        <v>1034</v>
      </c>
      <c r="F2146" s="20"/>
      <c r="G2146" s="19"/>
      <c r="H2146" s="21" t="b">
        <f>IF(D2146="x",H$2,H$1)</f>
        <v>0</v>
      </c>
    </row>
    <row r="2147" spans="2:8" x14ac:dyDescent="0.2">
      <c r="B2147" s="48"/>
      <c r="C2147" s="57" t="s">
        <v>1415</v>
      </c>
      <c r="D2147" s="44"/>
      <c r="E2147" s="69" t="s">
        <v>1035</v>
      </c>
      <c r="F2147" s="22"/>
      <c r="G2147" s="19"/>
      <c r="H2147" s="21" t="str">
        <f t="shared" ref="H2147" si="705">IF(E$2241="comprobar",COUNTIF(D2146:D2150,"x"),"")</f>
        <v/>
      </c>
    </row>
    <row r="2148" spans="2:8" x14ac:dyDescent="0.2">
      <c r="B2148" s="48"/>
      <c r="C2148" s="57" t="s">
        <v>1416</v>
      </c>
      <c r="D2148" s="44"/>
      <c r="E2148" s="69" t="s">
        <v>1036</v>
      </c>
      <c r="F2148" s="23"/>
      <c r="G2148" s="19"/>
      <c r="H2148" s="24">
        <f t="shared" ref="H2148" si="706">IF(H2147=1,IF(H2146=H$2,1,-0.33),0)</f>
        <v>0</v>
      </c>
    </row>
    <row r="2149" spans="2:8" x14ac:dyDescent="0.2">
      <c r="B2149" s="48"/>
      <c r="C2149" s="57" t="s">
        <v>1417</v>
      </c>
      <c r="D2149" s="44"/>
      <c r="E2149" s="69" t="s">
        <v>1037</v>
      </c>
      <c r="F2149" s="20"/>
      <c r="G2149" s="19"/>
      <c r="H2149" s="24"/>
    </row>
    <row r="2150" spans="2:8" x14ac:dyDescent="0.2">
      <c r="B2150" s="48"/>
      <c r="C2150" s="8"/>
      <c r="D2150" s="44"/>
      <c r="E2150" s="69" t="s">
        <v>1038</v>
      </c>
      <c r="F2150" s="20"/>
      <c r="G2150" s="19"/>
      <c r="H2150" s="24"/>
    </row>
    <row r="2151" spans="2:8" x14ac:dyDescent="0.2">
      <c r="B2151" s="49" t="s">
        <v>1418</v>
      </c>
      <c r="C2151" s="13"/>
      <c r="D2151" s="45"/>
      <c r="E2151" s="14"/>
      <c r="F2151" s="16"/>
      <c r="G2151" s="15"/>
      <c r="H2151" s="15"/>
    </row>
    <row r="2152" spans="2:8" x14ac:dyDescent="0.2">
      <c r="B2152" s="52"/>
      <c r="C2152" s="56" t="s">
        <v>1419</v>
      </c>
      <c r="D2152" s="44"/>
      <c r="E2152" s="69" t="s">
        <v>1034</v>
      </c>
      <c r="F2152" s="20"/>
      <c r="G2152" s="19"/>
      <c r="H2152" s="21" t="b">
        <f>IF(D2154="x",H$2,H$1)</f>
        <v>0</v>
      </c>
    </row>
    <row r="2153" spans="2:8" x14ac:dyDescent="0.2">
      <c r="B2153" s="48"/>
      <c r="C2153" s="57" t="s">
        <v>1420</v>
      </c>
      <c r="D2153" s="44"/>
      <c r="E2153" s="69" t="s">
        <v>1035</v>
      </c>
      <c r="F2153" s="22"/>
      <c r="G2153" s="19"/>
      <c r="H2153" s="21" t="str">
        <f t="shared" ref="H2153" si="707">IF(E$2241="comprobar",COUNTIF(D2152:D2156,"x"),"")</f>
        <v/>
      </c>
    </row>
    <row r="2154" spans="2:8" x14ac:dyDescent="0.2">
      <c r="B2154" s="48"/>
      <c r="C2154" s="57" t="s">
        <v>1421</v>
      </c>
      <c r="D2154" s="44"/>
      <c r="E2154" s="69" t="s">
        <v>1036</v>
      </c>
      <c r="F2154" s="23"/>
      <c r="G2154" s="19"/>
      <c r="H2154" s="24">
        <f t="shared" ref="H2154" si="708">IF(H2153=1,IF(H2152=H$2,1,-0.33),0)</f>
        <v>0</v>
      </c>
    </row>
    <row r="2155" spans="2:8" x14ac:dyDescent="0.2">
      <c r="B2155" s="52"/>
      <c r="C2155" s="57" t="s">
        <v>1422</v>
      </c>
      <c r="D2155" s="44"/>
      <c r="E2155" s="69" t="s">
        <v>1037</v>
      </c>
      <c r="F2155" s="20"/>
      <c r="G2155" s="19"/>
      <c r="H2155" s="24"/>
    </row>
    <row r="2156" spans="2:8" x14ac:dyDescent="0.2">
      <c r="B2156" s="48"/>
      <c r="C2156" s="8"/>
      <c r="D2156" s="44"/>
      <c r="E2156" s="69" t="s">
        <v>1038</v>
      </c>
      <c r="F2156" s="20"/>
      <c r="G2156" s="19"/>
      <c r="H2156" s="24"/>
    </row>
    <row r="2157" spans="2:8" x14ac:dyDescent="0.2">
      <c r="B2157" s="49" t="s">
        <v>1423</v>
      </c>
      <c r="C2157" s="13"/>
      <c r="D2157" s="45"/>
      <c r="E2157" s="14"/>
      <c r="F2157" s="16"/>
      <c r="G2157" s="15"/>
      <c r="H2157" s="15"/>
    </row>
    <row r="2158" spans="2:8" x14ac:dyDescent="0.2">
      <c r="B2158" s="48"/>
      <c r="C2158" s="56" t="s">
        <v>1424</v>
      </c>
      <c r="D2158" s="44"/>
      <c r="E2158" s="69" t="s">
        <v>1034</v>
      </c>
      <c r="F2158" s="20"/>
      <c r="G2158" s="19"/>
      <c r="H2158" s="21" t="b">
        <f>IF(D2159="x",H$2,H$1)</f>
        <v>0</v>
      </c>
    </row>
    <row r="2159" spans="2:8" x14ac:dyDescent="0.2">
      <c r="B2159" s="52"/>
      <c r="C2159" s="57" t="s">
        <v>1425</v>
      </c>
      <c r="D2159" s="44"/>
      <c r="E2159" s="69" t="s">
        <v>1035</v>
      </c>
      <c r="F2159" s="22"/>
      <c r="G2159" s="19"/>
      <c r="H2159" s="21" t="str">
        <f t="shared" ref="H2159" si="709">IF(E$2241="comprobar",COUNTIF(D2158:D2162,"x"),"")</f>
        <v/>
      </c>
    </row>
    <row r="2160" spans="2:8" x14ac:dyDescent="0.2">
      <c r="B2160" s="52"/>
      <c r="C2160" s="57" t="s">
        <v>1426</v>
      </c>
      <c r="D2160" s="44"/>
      <c r="E2160" s="69" t="s">
        <v>1036</v>
      </c>
      <c r="F2160" s="23"/>
      <c r="G2160" s="19"/>
      <c r="H2160" s="24">
        <f t="shared" ref="H2160" si="710">IF(H2159=1,IF(H2158=H$2,1,-0.33),0)</f>
        <v>0</v>
      </c>
    </row>
    <row r="2161" spans="2:8" x14ac:dyDescent="0.2">
      <c r="B2161" s="48"/>
      <c r="C2161" s="57" t="s">
        <v>1427</v>
      </c>
      <c r="D2161" s="44"/>
      <c r="E2161" s="69" t="s">
        <v>1037</v>
      </c>
      <c r="F2161" s="20"/>
      <c r="G2161" s="19"/>
      <c r="H2161" s="24"/>
    </row>
    <row r="2162" spans="2:8" x14ac:dyDescent="0.2">
      <c r="B2162" s="48"/>
      <c r="C2162" s="8"/>
      <c r="D2162" s="44"/>
      <c r="E2162" s="69" t="s">
        <v>1038</v>
      </c>
      <c r="F2162" s="20"/>
      <c r="G2162" s="19"/>
      <c r="H2162" s="24"/>
    </row>
    <row r="2163" spans="2:8" x14ac:dyDescent="0.2">
      <c r="B2163" s="49" t="s">
        <v>1428</v>
      </c>
      <c r="C2163" s="13"/>
      <c r="D2163" s="45"/>
      <c r="E2163" s="14"/>
      <c r="F2163" s="16"/>
      <c r="G2163" s="15"/>
      <c r="H2163" s="15"/>
    </row>
    <row r="2164" spans="2:8" x14ac:dyDescent="0.2">
      <c r="B2164" s="52"/>
      <c r="C2164" s="56" t="s">
        <v>1429</v>
      </c>
      <c r="D2164" s="44"/>
      <c r="E2164" s="69" t="s">
        <v>1034</v>
      </c>
      <c r="F2164" s="20"/>
      <c r="G2164" s="19"/>
      <c r="H2164" s="21" t="b">
        <f>IF(D2167="x",H$2,H$1)</f>
        <v>0</v>
      </c>
    </row>
    <row r="2165" spans="2:8" x14ac:dyDescent="0.2">
      <c r="B2165" s="48"/>
      <c r="C2165" s="57" t="s">
        <v>1430</v>
      </c>
      <c r="D2165" s="44"/>
      <c r="E2165" s="69" t="s">
        <v>1035</v>
      </c>
      <c r="F2165" s="22"/>
      <c r="G2165" s="19"/>
      <c r="H2165" s="21" t="str">
        <f t="shared" ref="H2165" si="711">IF(E$2241="comprobar",COUNTIF(D2164:D2168,"x"),"")</f>
        <v/>
      </c>
    </row>
    <row r="2166" spans="2:8" x14ac:dyDescent="0.2">
      <c r="B2166" s="52"/>
      <c r="C2166" s="57" t="s">
        <v>1431</v>
      </c>
      <c r="D2166" s="44"/>
      <c r="E2166" s="69" t="s">
        <v>1036</v>
      </c>
      <c r="F2166" s="23"/>
      <c r="G2166" s="19"/>
      <c r="H2166" s="24">
        <f t="shared" ref="H2166" si="712">IF(H2165=1,IF(H2164=H$2,1,-0.33),0)</f>
        <v>0</v>
      </c>
    </row>
    <row r="2167" spans="2:8" x14ac:dyDescent="0.2">
      <c r="B2167" s="48"/>
      <c r="C2167" s="57" t="s">
        <v>165</v>
      </c>
      <c r="D2167" s="44"/>
      <c r="E2167" s="69" t="s">
        <v>1037</v>
      </c>
      <c r="F2167" s="20"/>
      <c r="G2167" s="19"/>
      <c r="H2167" s="24"/>
    </row>
    <row r="2168" spans="2:8" x14ac:dyDescent="0.2">
      <c r="B2168" s="48"/>
      <c r="C2168" s="8"/>
      <c r="D2168" s="44"/>
      <c r="E2168" s="69" t="s">
        <v>1038</v>
      </c>
      <c r="F2168" s="20"/>
      <c r="G2168" s="19"/>
      <c r="H2168" s="24"/>
    </row>
    <row r="2169" spans="2:8" x14ac:dyDescent="0.2">
      <c r="B2169" s="49" t="s">
        <v>1432</v>
      </c>
      <c r="C2169" s="13"/>
      <c r="D2169" s="45"/>
      <c r="E2169" s="14"/>
      <c r="F2169" s="16"/>
      <c r="G2169" s="15"/>
      <c r="H2169" s="15"/>
    </row>
    <row r="2170" spans="2:8" x14ac:dyDescent="0.2">
      <c r="B2170" s="52"/>
      <c r="C2170" s="56" t="s">
        <v>1433</v>
      </c>
      <c r="D2170" s="44"/>
      <c r="E2170" s="69" t="s">
        <v>1034</v>
      </c>
      <c r="F2170" s="20"/>
      <c r="G2170" s="19"/>
      <c r="H2170" s="21" t="b">
        <f>IF(D2171="x",H$2,H$1)</f>
        <v>0</v>
      </c>
    </row>
    <row r="2171" spans="2:8" x14ac:dyDescent="0.2">
      <c r="B2171" s="48"/>
      <c r="C2171" s="57" t="s">
        <v>1434</v>
      </c>
      <c r="D2171" s="44"/>
      <c r="E2171" s="69" t="s">
        <v>1035</v>
      </c>
      <c r="F2171" s="22"/>
      <c r="G2171" s="19"/>
      <c r="H2171" s="21" t="str">
        <f t="shared" ref="H2171" si="713">IF(E$2241="comprobar",COUNTIF(D2170:D2174,"x"),"")</f>
        <v/>
      </c>
    </row>
    <row r="2172" spans="2:8" x14ac:dyDescent="0.2">
      <c r="B2172" s="48"/>
      <c r="C2172" s="57" t="s">
        <v>1435</v>
      </c>
      <c r="D2172" s="44"/>
      <c r="E2172" s="69" t="s">
        <v>1036</v>
      </c>
      <c r="F2172" s="23"/>
      <c r="G2172" s="19"/>
      <c r="H2172" s="24">
        <f t="shared" ref="H2172" si="714">IF(H2171=1,IF(H2170=H$2,1,-0.33),0)</f>
        <v>0</v>
      </c>
    </row>
    <row r="2173" spans="2:8" x14ac:dyDescent="0.2">
      <c r="B2173" s="48"/>
      <c r="C2173" s="57" t="s">
        <v>165</v>
      </c>
      <c r="D2173" s="44"/>
      <c r="E2173" s="69" t="s">
        <v>1037</v>
      </c>
      <c r="F2173" s="20"/>
      <c r="G2173" s="19"/>
      <c r="H2173" s="24"/>
    </row>
    <row r="2174" spans="2:8" x14ac:dyDescent="0.2">
      <c r="B2174" s="48"/>
      <c r="C2174" s="8"/>
      <c r="D2174" s="44"/>
      <c r="E2174" s="69" t="s">
        <v>1038</v>
      </c>
      <c r="F2174" s="12"/>
      <c r="G2174" s="19"/>
      <c r="H2174" s="24"/>
    </row>
    <row r="2175" spans="2:8" x14ac:dyDescent="0.2">
      <c r="B2175" s="49" t="s">
        <v>1436</v>
      </c>
      <c r="C2175" s="13"/>
      <c r="D2175" s="45"/>
      <c r="E2175" s="14"/>
      <c r="F2175" s="30"/>
      <c r="G2175" s="29"/>
      <c r="H2175" s="15"/>
    </row>
    <row r="2176" spans="2:8" x14ac:dyDescent="0.2">
      <c r="B2176" s="48"/>
      <c r="C2176" s="56" t="s">
        <v>1437</v>
      </c>
      <c r="D2176" s="44"/>
      <c r="E2176" s="69" t="s">
        <v>1034</v>
      </c>
      <c r="F2176" s="27"/>
      <c r="G2176" s="26"/>
      <c r="H2176" s="21" t="b">
        <f>IF(D2178="x",H$2,H$1)</f>
        <v>0</v>
      </c>
    </row>
    <row r="2177" spans="2:8" x14ac:dyDescent="0.2">
      <c r="B2177" s="48"/>
      <c r="C2177" s="61" t="s">
        <v>1438</v>
      </c>
      <c r="D2177" s="44"/>
      <c r="E2177" s="69" t="s">
        <v>1035</v>
      </c>
      <c r="F2177" s="22"/>
      <c r="G2177" s="26"/>
      <c r="H2177" s="21" t="str">
        <f t="shared" ref="H2177" si="715">IF(E$2241="comprobar",COUNTIF(D2176:D2180,"x"),"")</f>
        <v/>
      </c>
    </row>
    <row r="2178" spans="2:8" x14ac:dyDescent="0.2">
      <c r="B2178" s="52"/>
      <c r="C2178" s="57" t="s">
        <v>1439</v>
      </c>
      <c r="D2178" s="44"/>
      <c r="E2178" s="69" t="s">
        <v>1036</v>
      </c>
      <c r="F2178" s="23"/>
      <c r="G2178" s="26"/>
      <c r="H2178" s="24">
        <f t="shared" ref="H2178" si="716">IF(H2177=1,IF(H2176=H$2,1,-0.33),0)</f>
        <v>0</v>
      </c>
    </row>
    <row r="2179" spans="2:8" x14ac:dyDescent="0.2">
      <c r="B2179" s="48"/>
      <c r="C2179" s="57" t="s">
        <v>1440</v>
      </c>
      <c r="D2179" s="44"/>
      <c r="E2179" s="69" t="s">
        <v>1037</v>
      </c>
      <c r="F2179" s="28"/>
      <c r="G2179" s="26"/>
      <c r="H2179" s="24"/>
    </row>
    <row r="2180" spans="2:8" x14ac:dyDescent="0.2">
      <c r="B2180" s="48"/>
      <c r="C2180" s="8"/>
      <c r="D2180" s="44"/>
      <c r="E2180" s="69" t="s">
        <v>1038</v>
      </c>
      <c r="F2180" s="28"/>
      <c r="G2180" s="26"/>
      <c r="H2180" s="24"/>
    </row>
    <row r="2181" spans="2:8" x14ac:dyDescent="0.2">
      <c r="B2181" s="49" t="s">
        <v>1441</v>
      </c>
      <c r="C2181" s="13"/>
      <c r="D2181" s="45"/>
      <c r="E2181" s="14"/>
      <c r="F2181" s="30"/>
      <c r="G2181" s="29"/>
      <c r="H2181" s="15"/>
    </row>
    <row r="2182" spans="2:8" x14ac:dyDescent="0.2">
      <c r="B2182" s="48"/>
      <c r="C2182" s="56" t="s">
        <v>1442</v>
      </c>
      <c r="D2182" s="44"/>
      <c r="E2182" s="69" t="s">
        <v>1034</v>
      </c>
      <c r="F2182" s="27"/>
      <c r="G2182" s="26"/>
      <c r="H2182" s="21" t="b">
        <f>IF(D2185="x",H$2,H$1)</f>
        <v>0</v>
      </c>
    </row>
    <row r="2183" spans="2:8" x14ac:dyDescent="0.2">
      <c r="B2183" s="48"/>
      <c r="C2183" s="57" t="s">
        <v>1443</v>
      </c>
      <c r="D2183" s="44"/>
      <c r="E2183" s="69" t="s">
        <v>1035</v>
      </c>
      <c r="F2183" s="22"/>
      <c r="G2183" s="26"/>
      <c r="H2183" s="21" t="str">
        <f t="shared" ref="H2183" si="717">IF(E$2241="comprobar",COUNTIF(D2182:D2186,"x"),"")</f>
        <v/>
      </c>
    </row>
    <row r="2184" spans="2:8" x14ac:dyDescent="0.2">
      <c r="B2184" s="52"/>
      <c r="C2184" s="57" t="s">
        <v>1444</v>
      </c>
      <c r="D2184" s="44"/>
      <c r="E2184" s="69" t="s">
        <v>1036</v>
      </c>
      <c r="F2184" s="23"/>
      <c r="G2184" s="26"/>
      <c r="H2184" s="24">
        <f t="shared" ref="H2184" si="718">IF(H2183=1,IF(H2182=H$2,1,-0.33),0)</f>
        <v>0</v>
      </c>
    </row>
    <row r="2185" spans="2:8" x14ac:dyDescent="0.2">
      <c r="B2185" s="48"/>
      <c r="C2185" s="57" t="s">
        <v>1445</v>
      </c>
      <c r="D2185" s="44"/>
      <c r="E2185" s="69" t="s">
        <v>1037</v>
      </c>
      <c r="F2185" s="20"/>
      <c r="G2185" s="55"/>
      <c r="H2185" s="24"/>
    </row>
    <row r="2186" spans="2:8" x14ac:dyDescent="0.2">
      <c r="B2186" s="48"/>
      <c r="C2186" s="8"/>
      <c r="D2186" s="44"/>
      <c r="E2186" s="69" t="s">
        <v>1038</v>
      </c>
      <c r="F2186" s="28"/>
      <c r="G2186" s="26"/>
      <c r="H2186" s="24"/>
    </row>
    <row r="2187" spans="2:8" x14ac:dyDescent="0.2">
      <c r="B2187" s="49" t="s">
        <v>1446</v>
      </c>
      <c r="C2187" s="13"/>
      <c r="D2187" s="45"/>
      <c r="E2187" s="14"/>
      <c r="F2187" s="30"/>
      <c r="G2187" s="29"/>
      <c r="H2187" s="15"/>
    </row>
    <row r="2188" spans="2:8" x14ac:dyDescent="0.2">
      <c r="B2188" s="48"/>
      <c r="C2188" s="56" t="s">
        <v>1447</v>
      </c>
      <c r="D2188" s="44"/>
      <c r="E2188" s="69" t="s">
        <v>1034</v>
      </c>
      <c r="F2188" s="27"/>
      <c r="G2188" s="26"/>
      <c r="H2188" s="21" t="b">
        <f>IF(D2189="x",H$2,H$1)</f>
        <v>0</v>
      </c>
    </row>
    <row r="2189" spans="2:8" x14ac:dyDescent="0.2">
      <c r="B2189" s="48"/>
      <c r="C2189" s="57" t="s">
        <v>1448</v>
      </c>
      <c r="D2189" s="44"/>
      <c r="E2189" s="69" t="s">
        <v>1035</v>
      </c>
      <c r="F2189" s="22"/>
      <c r="G2189" s="26"/>
      <c r="H2189" s="21" t="str">
        <f t="shared" ref="H2189" si="719">IF(E$2241="comprobar",COUNTIF(D2188:D2192,"x"),"")</f>
        <v/>
      </c>
    </row>
    <row r="2190" spans="2:8" x14ac:dyDescent="0.2">
      <c r="B2190" s="48"/>
      <c r="C2190" s="57" t="s">
        <v>1449</v>
      </c>
      <c r="D2190" s="44"/>
      <c r="E2190" s="69" t="s">
        <v>1036</v>
      </c>
      <c r="F2190" s="23"/>
      <c r="G2190" s="26"/>
      <c r="H2190" s="24">
        <f t="shared" ref="H2190" si="720">IF(H2189=1,IF(H2188=H$2,1,-0.33),0)</f>
        <v>0</v>
      </c>
    </row>
    <row r="2191" spans="2:8" x14ac:dyDescent="0.2">
      <c r="B2191" s="48"/>
      <c r="C2191" s="57" t="s">
        <v>1450</v>
      </c>
      <c r="D2191" s="44"/>
      <c r="E2191" s="69" t="s">
        <v>1037</v>
      </c>
      <c r="F2191" s="28"/>
      <c r="G2191" s="26"/>
      <c r="H2191" s="24"/>
    </row>
    <row r="2192" spans="2:8" x14ac:dyDescent="0.2">
      <c r="B2192" s="48"/>
      <c r="C2192" s="8"/>
      <c r="D2192" s="44"/>
      <c r="E2192" s="69" t="s">
        <v>1038</v>
      </c>
      <c r="F2192" s="28"/>
      <c r="G2192" s="26"/>
      <c r="H2192" s="24"/>
    </row>
    <row r="2193" spans="2:8" x14ac:dyDescent="0.2">
      <c r="B2193" s="49" t="s">
        <v>1451</v>
      </c>
      <c r="C2193" s="13"/>
      <c r="D2193" s="45"/>
      <c r="E2193" s="14"/>
      <c r="F2193" s="16"/>
      <c r="G2193" s="15"/>
      <c r="H2193" s="15"/>
    </row>
    <row r="2194" spans="2:8" x14ac:dyDescent="0.2">
      <c r="B2194" s="48"/>
      <c r="C2194" s="56" t="s">
        <v>1452</v>
      </c>
      <c r="D2194" s="44"/>
      <c r="E2194" s="69" t="s">
        <v>1034</v>
      </c>
      <c r="F2194" s="20"/>
      <c r="G2194" s="19"/>
      <c r="H2194" s="21" t="b">
        <f>IF(D2194="x",H$2,H$1)</f>
        <v>0</v>
      </c>
    </row>
    <row r="2195" spans="2:8" x14ac:dyDescent="0.2">
      <c r="B2195" s="52"/>
      <c r="C2195" s="57" t="s">
        <v>1453</v>
      </c>
      <c r="D2195" s="44"/>
      <c r="E2195" s="69" t="s">
        <v>1035</v>
      </c>
      <c r="F2195" s="22"/>
      <c r="G2195" s="19"/>
      <c r="H2195" s="21" t="str">
        <f t="shared" ref="H2195" si="721">IF(E$2241="comprobar",COUNTIF(D2194:D2198,"x"),"")</f>
        <v/>
      </c>
    </row>
    <row r="2196" spans="2:8" x14ac:dyDescent="0.2">
      <c r="B2196" s="52"/>
      <c r="C2196" s="57" t="s">
        <v>1454</v>
      </c>
      <c r="D2196" s="44"/>
      <c r="E2196" s="69" t="s">
        <v>1036</v>
      </c>
      <c r="F2196" s="23"/>
      <c r="G2196" s="19"/>
      <c r="H2196" s="24">
        <f t="shared" ref="H2196" si="722">IF(H2195=1,IF(H2194=H$2,1,-0.33),0)</f>
        <v>0</v>
      </c>
    </row>
    <row r="2197" spans="2:8" x14ac:dyDescent="0.2">
      <c r="B2197" s="48"/>
      <c r="C2197" s="57" t="s">
        <v>1455</v>
      </c>
      <c r="D2197" s="44"/>
      <c r="E2197" s="69" t="s">
        <v>1037</v>
      </c>
      <c r="F2197" s="20"/>
      <c r="G2197" s="19"/>
      <c r="H2197" s="24"/>
    </row>
    <row r="2198" spans="2:8" x14ac:dyDescent="0.2">
      <c r="B2198" s="48"/>
      <c r="C2198" s="8"/>
      <c r="D2198" s="44"/>
      <c r="E2198" s="69" t="s">
        <v>1038</v>
      </c>
      <c r="F2198" s="20"/>
      <c r="G2198" s="19"/>
      <c r="H2198" s="24"/>
    </row>
    <row r="2199" spans="2:8" x14ac:dyDescent="0.2">
      <c r="B2199" s="49" t="s">
        <v>1456</v>
      </c>
      <c r="C2199" s="13"/>
      <c r="D2199" s="45"/>
      <c r="E2199" s="14"/>
      <c r="F2199" s="30"/>
      <c r="G2199" s="29"/>
      <c r="H2199" s="15"/>
    </row>
    <row r="2200" spans="2:8" ht="32" x14ac:dyDescent="0.2">
      <c r="B2200" s="48"/>
      <c r="C2200" s="60" t="s">
        <v>1457</v>
      </c>
      <c r="D2200" s="44"/>
      <c r="E2200" s="69" t="s">
        <v>1034</v>
      </c>
      <c r="F2200" s="27"/>
      <c r="G2200" s="26"/>
      <c r="H2200" s="21" t="b">
        <f>IF(D2200="x",H$2,H$1)</f>
        <v>0</v>
      </c>
    </row>
    <row r="2201" spans="2:8" x14ac:dyDescent="0.2">
      <c r="B2201" s="48"/>
      <c r="C2201" s="57" t="s">
        <v>1458</v>
      </c>
      <c r="D2201" s="44"/>
      <c r="E2201" s="69" t="s">
        <v>1035</v>
      </c>
      <c r="F2201" s="22"/>
      <c r="G2201" s="26"/>
      <c r="H2201" s="21" t="str">
        <f t="shared" ref="H2201" si="723">IF(E$2241="comprobar",COUNTIF(D2200:D2204,"x"),"")</f>
        <v/>
      </c>
    </row>
    <row r="2202" spans="2:8" x14ac:dyDescent="0.2">
      <c r="B2202" s="48"/>
      <c r="C2202" s="57" t="s">
        <v>1459</v>
      </c>
      <c r="D2202" s="44"/>
      <c r="E2202" s="69" t="s">
        <v>1036</v>
      </c>
      <c r="F2202" s="23"/>
      <c r="G2202" s="26"/>
      <c r="H2202" s="24">
        <f t="shared" ref="H2202" si="724">IF(H2201=1,IF(H2200=H$2,1,-0.33),0)</f>
        <v>0</v>
      </c>
    </row>
    <row r="2203" spans="2:8" x14ac:dyDescent="0.2">
      <c r="B2203" s="48"/>
      <c r="C2203" s="57" t="s">
        <v>590</v>
      </c>
      <c r="D2203" s="44"/>
      <c r="E2203" s="69" t="s">
        <v>1037</v>
      </c>
      <c r="F2203" s="28"/>
      <c r="G2203" s="26"/>
      <c r="H2203" s="24"/>
    </row>
    <row r="2204" spans="2:8" x14ac:dyDescent="0.2">
      <c r="B2204" s="48"/>
      <c r="C2204" s="8"/>
      <c r="D2204" s="44"/>
      <c r="E2204" s="69" t="s">
        <v>1038</v>
      </c>
      <c r="F2204" s="28"/>
      <c r="G2204" s="26"/>
      <c r="H2204" s="24"/>
    </row>
    <row r="2205" spans="2:8" x14ac:dyDescent="0.2">
      <c r="B2205" s="109" t="s">
        <v>1460</v>
      </c>
      <c r="C2205" s="110"/>
      <c r="D2205" s="95"/>
      <c r="E2205" s="14"/>
      <c r="F2205" s="71"/>
      <c r="G2205" s="29"/>
      <c r="H2205" s="15"/>
    </row>
    <row r="2206" spans="2:8" x14ac:dyDescent="0.2">
      <c r="B2206" s="48"/>
      <c r="C2206" s="56" t="s">
        <v>1461</v>
      </c>
      <c r="D2206" s="44"/>
      <c r="E2206" s="69" t="s">
        <v>1034</v>
      </c>
      <c r="F2206" s="28"/>
      <c r="G2206" s="55"/>
      <c r="H2206" s="21" t="b">
        <f>IF(D2207="x",H$2,H$1)</f>
        <v>0</v>
      </c>
    </row>
    <row r="2207" spans="2:8" x14ac:dyDescent="0.2">
      <c r="B2207" s="52"/>
      <c r="C2207" s="57" t="s">
        <v>1462</v>
      </c>
      <c r="D2207" s="44"/>
      <c r="E2207" s="69" t="s">
        <v>1035</v>
      </c>
      <c r="F2207" s="22"/>
      <c r="G2207" s="26"/>
      <c r="H2207" s="21" t="str">
        <f t="shared" ref="H2207" si="725">IF(E$2241="comprobar",COUNTIF(D2206:D2210,"x"),"")</f>
        <v/>
      </c>
    </row>
    <row r="2208" spans="2:8" x14ac:dyDescent="0.2">
      <c r="B2208" s="48"/>
      <c r="C2208" s="57" t="s">
        <v>1463</v>
      </c>
      <c r="D2208" s="44"/>
      <c r="E2208" s="69" t="s">
        <v>1036</v>
      </c>
      <c r="F2208" s="23"/>
      <c r="G2208" s="26"/>
      <c r="H2208" s="24">
        <f t="shared" ref="H2208" si="726">IF(H2207=1,IF(H2206=H$2,1,-0.33),0)</f>
        <v>0</v>
      </c>
    </row>
    <row r="2209" spans="1:8" x14ac:dyDescent="0.2">
      <c r="B2209" s="48"/>
      <c r="C2209" s="57" t="s">
        <v>1464</v>
      </c>
      <c r="D2209" s="44"/>
      <c r="E2209" s="69" t="s">
        <v>1037</v>
      </c>
      <c r="F2209" s="28"/>
      <c r="G2209" s="26"/>
      <c r="H2209" s="24"/>
    </row>
    <row r="2210" spans="1:8" x14ac:dyDescent="0.2">
      <c r="B2210" s="48"/>
      <c r="C2210" s="8"/>
      <c r="D2210" s="44"/>
      <c r="E2210" s="69" t="s">
        <v>1038</v>
      </c>
      <c r="F2210" s="28"/>
      <c r="G2210" s="26"/>
      <c r="H2210" s="24"/>
    </row>
    <row r="2211" spans="1:8" x14ac:dyDescent="0.2">
      <c r="B2211" s="49" t="s">
        <v>1465</v>
      </c>
      <c r="C2211" s="13"/>
      <c r="D2211" s="45"/>
      <c r="E2211" s="14"/>
      <c r="F2211" s="30"/>
      <c r="G2211" s="29"/>
      <c r="H2211" s="15"/>
    </row>
    <row r="2212" spans="1:8" x14ac:dyDescent="0.2">
      <c r="B2212" s="48"/>
      <c r="C2212" s="56" t="s">
        <v>1466</v>
      </c>
      <c r="D2212" s="44"/>
      <c r="E2212" s="69" t="s">
        <v>1034</v>
      </c>
      <c r="F2212" s="27"/>
      <c r="G2212" s="26"/>
      <c r="H2212" s="21" t="b">
        <f>IF(D2213="x",H$2,H$1)</f>
        <v>0</v>
      </c>
    </row>
    <row r="2213" spans="1:8" x14ac:dyDescent="0.2">
      <c r="B2213" s="48"/>
      <c r="C2213" s="57" t="s">
        <v>1467</v>
      </c>
      <c r="D2213" s="44"/>
      <c r="E2213" s="69" t="s">
        <v>1035</v>
      </c>
      <c r="F2213" s="22"/>
      <c r="G2213" s="26"/>
      <c r="H2213" s="21" t="str">
        <f t="shared" ref="H2213" si="727">IF(E$2241="comprobar",COUNTIF(D2212:D2216,"x"),"")</f>
        <v/>
      </c>
    </row>
    <row r="2214" spans="1:8" x14ac:dyDescent="0.2">
      <c r="B2214" s="48"/>
      <c r="C2214" s="57" t="s">
        <v>1468</v>
      </c>
      <c r="D2214" s="44"/>
      <c r="E2214" s="69" t="s">
        <v>1036</v>
      </c>
      <c r="F2214" s="23"/>
      <c r="G2214" s="26"/>
      <c r="H2214" s="24">
        <f t="shared" ref="H2214" si="728">IF(H2213=1,IF(H2212=H$2,1,-0.33),0)</f>
        <v>0</v>
      </c>
    </row>
    <row r="2215" spans="1:8" x14ac:dyDescent="0.2">
      <c r="B2215" s="48"/>
      <c r="C2215" s="57" t="s">
        <v>1469</v>
      </c>
      <c r="D2215" s="44"/>
      <c r="E2215" s="69" t="s">
        <v>1037</v>
      </c>
      <c r="F2215" s="28"/>
      <c r="G2215" s="26"/>
      <c r="H2215" s="24"/>
    </row>
    <row r="2216" spans="1:8" x14ac:dyDescent="0.2">
      <c r="B2216" s="48"/>
      <c r="C2216" s="8"/>
      <c r="D2216" s="44"/>
      <c r="E2216" s="69" t="s">
        <v>1038</v>
      </c>
      <c r="F2216" s="28"/>
      <c r="G2216" s="26"/>
      <c r="H2216" s="24"/>
    </row>
    <row r="2217" spans="1:8" x14ac:dyDescent="0.2">
      <c r="B2217" s="49" t="s">
        <v>1470</v>
      </c>
      <c r="C2217" s="13"/>
      <c r="D2217" s="45"/>
      <c r="E2217" s="14"/>
      <c r="F2217" s="30"/>
      <c r="G2217" s="29"/>
      <c r="H2217" s="15"/>
    </row>
    <row r="2218" spans="1:8" x14ac:dyDescent="0.2">
      <c r="B2218" s="48"/>
      <c r="C2218" s="56" t="s">
        <v>1471</v>
      </c>
      <c r="D2218" s="44"/>
      <c r="E2218" s="69" t="s">
        <v>1034</v>
      </c>
      <c r="F2218" s="28"/>
      <c r="G2218" s="55"/>
      <c r="H2218" s="21" t="b">
        <f>IF(D2221="x",H$2,H$1)</f>
        <v>0</v>
      </c>
    </row>
    <row r="2219" spans="1:8" x14ac:dyDescent="0.2">
      <c r="B2219" s="52"/>
      <c r="C2219" s="57" t="s">
        <v>1472</v>
      </c>
      <c r="D2219" s="44"/>
      <c r="E2219" s="69" t="s">
        <v>1035</v>
      </c>
      <c r="F2219" s="22"/>
      <c r="G2219" s="26"/>
      <c r="H2219" s="21" t="str">
        <f t="shared" ref="H2219" si="729">IF(E$2241="comprobar",COUNTIF(D2218:D2222,"x"),"")</f>
        <v/>
      </c>
    </row>
    <row r="2220" spans="1:8" x14ac:dyDescent="0.2">
      <c r="B2220" s="48"/>
      <c r="C2220" s="57" t="s">
        <v>1473</v>
      </c>
      <c r="D2220" s="44"/>
      <c r="E2220" s="69" t="s">
        <v>1036</v>
      </c>
      <c r="F2220" s="23"/>
      <c r="G2220" s="26"/>
      <c r="H2220" s="24">
        <f t="shared" ref="H2220" si="730">IF(H2219=1,IF(H2218=H$2,1,-0.33),0)</f>
        <v>0</v>
      </c>
    </row>
    <row r="2221" spans="1:8" x14ac:dyDescent="0.2">
      <c r="B2221" s="48"/>
      <c r="C2221" s="57" t="s">
        <v>605</v>
      </c>
      <c r="D2221" s="44"/>
      <c r="E2221" s="69" t="s">
        <v>1037</v>
      </c>
      <c r="F2221" s="28"/>
      <c r="G2221" s="26"/>
      <c r="H2221" s="24"/>
    </row>
    <row r="2222" spans="1:8" x14ac:dyDescent="0.2">
      <c r="B2222" s="48"/>
      <c r="C2222" s="8"/>
      <c r="D2222" s="44"/>
      <c r="E2222" s="69" t="s">
        <v>1038</v>
      </c>
      <c r="F2222" s="28"/>
      <c r="G2222" s="26"/>
      <c r="H2222" s="24"/>
    </row>
    <row r="2223" spans="1:8" s="40" customFormat="1" x14ac:dyDescent="0.2">
      <c r="A2223" s="80"/>
      <c r="B2223" s="109" t="s">
        <v>1474</v>
      </c>
      <c r="C2223" s="110"/>
      <c r="D2223" s="95"/>
      <c r="E2223" s="14"/>
      <c r="F2223" s="71"/>
      <c r="G2223" s="29"/>
      <c r="H2223" s="15"/>
    </row>
    <row r="2224" spans="1:8" x14ac:dyDescent="0.2">
      <c r="B2224" s="52"/>
      <c r="C2224" s="56" t="s">
        <v>1475</v>
      </c>
      <c r="D2224" s="44"/>
      <c r="E2224" s="69" t="s">
        <v>1034</v>
      </c>
      <c r="F2224" s="27"/>
      <c r="G2224" s="26"/>
      <c r="H2224" s="21" t="b">
        <f>IF(D2226="x",H$2,H$1)</f>
        <v>0</v>
      </c>
    </row>
    <row r="2225" spans="2:8" x14ac:dyDescent="0.2">
      <c r="B2225" s="48"/>
      <c r="C2225" s="57" t="s">
        <v>1476</v>
      </c>
      <c r="D2225" s="44"/>
      <c r="E2225" s="69" t="s">
        <v>1035</v>
      </c>
      <c r="F2225" s="22"/>
      <c r="G2225" s="26"/>
      <c r="H2225" s="21" t="str">
        <f t="shared" ref="H2225" si="731">IF(E$2241="comprobar",COUNTIF(D2224:D2228,"x"),"")</f>
        <v/>
      </c>
    </row>
    <row r="2226" spans="2:8" x14ac:dyDescent="0.2">
      <c r="B2226" s="48"/>
      <c r="C2226" s="57" t="s">
        <v>1477</v>
      </c>
      <c r="D2226" s="44"/>
      <c r="E2226" s="69" t="s">
        <v>1036</v>
      </c>
      <c r="F2226" s="23"/>
      <c r="G2226" s="26"/>
      <c r="H2226" s="24">
        <f t="shared" ref="H2226" si="732">IF(H2225=1,IF(H2224=H$2,1,-0.33),0)</f>
        <v>0</v>
      </c>
    </row>
    <row r="2227" spans="2:8" x14ac:dyDescent="0.2">
      <c r="B2227" s="52"/>
      <c r="C2227" s="57" t="s">
        <v>1478</v>
      </c>
      <c r="D2227" s="44"/>
      <c r="E2227" s="69" t="s">
        <v>1037</v>
      </c>
      <c r="F2227" s="28"/>
      <c r="G2227" s="55"/>
      <c r="H2227" s="24"/>
    </row>
    <row r="2228" spans="2:8" x14ac:dyDescent="0.2">
      <c r="B2228" s="48"/>
      <c r="C2228" s="8"/>
      <c r="D2228" s="44"/>
      <c r="E2228" s="69" t="s">
        <v>1038</v>
      </c>
      <c r="F2228" s="28"/>
      <c r="G2228" s="26"/>
      <c r="H2228" s="24"/>
    </row>
    <row r="2229" spans="2:8" x14ac:dyDescent="0.2">
      <c r="B2229" s="49" t="s">
        <v>1479</v>
      </c>
      <c r="C2229" s="13"/>
      <c r="D2229" s="45"/>
      <c r="E2229" s="14"/>
      <c r="F2229" s="30"/>
      <c r="G2229" s="29"/>
      <c r="H2229" s="15"/>
    </row>
    <row r="2230" spans="2:8" x14ac:dyDescent="0.2">
      <c r="B2230" s="48"/>
      <c r="C2230" s="56" t="s">
        <v>1480</v>
      </c>
      <c r="D2230" s="44"/>
      <c r="E2230" s="69" t="s">
        <v>1034</v>
      </c>
      <c r="F2230" s="27"/>
      <c r="G2230" s="26"/>
      <c r="H2230" s="21" t="b">
        <f>IF(D2232="x",H$2,H$1)</f>
        <v>0</v>
      </c>
    </row>
    <row r="2231" spans="2:8" x14ac:dyDescent="0.2">
      <c r="B2231" s="52"/>
      <c r="C2231" s="57" t="s">
        <v>1481</v>
      </c>
      <c r="D2231" s="44"/>
      <c r="E2231" s="69" t="s">
        <v>1035</v>
      </c>
      <c r="F2231" s="22"/>
      <c r="G2231" s="26"/>
      <c r="H2231" s="21" t="str">
        <f t="shared" ref="H2231" si="733">IF(E$2241="comprobar",COUNTIF(D2230:D2234,"x"),"")</f>
        <v/>
      </c>
    </row>
    <row r="2232" spans="2:8" x14ac:dyDescent="0.2">
      <c r="B2232" s="48"/>
      <c r="C2232" s="57" t="s">
        <v>1482</v>
      </c>
      <c r="D2232" s="44"/>
      <c r="E2232" s="69" t="s">
        <v>1036</v>
      </c>
      <c r="F2232" s="23"/>
      <c r="G2232" s="26"/>
      <c r="H2232" s="24">
        <f t="shared" ref="H2232" si="734">IF(H2231=1,IF(H2230=H$2,1,-0.33),0)</f>
        <v>0</v>
      </c>
    </row>
    <row r="2233" spans="2:8" x14ac:dyDescent="0.2">
      <c r="B2233" s="48"/>
      <c r="C2233" s="57" t="s">
        <v>1483</v>
      </c>
      <c r="D2233" s="44"/>
      <c r="E2233" s="69" t="s">
        <v>1037</v>
      </c>
      <c r="F2233" s="28"/>
      <c r="G2233" s="26"/>
      <c r="H2233" s="24"/>
    </row>
    <row r="2234" spans="2:8" x14ac:dyDescent="0.2">
      <c r="B2234" s="48"/>
      <c r="C2234" s="8"/>
      <c r="D2234" s="44"/>
      <c r="E2234" s="69" t="s">
        <v>1038</v>
      </c>
      <c r="F2234" s="28"/>
      <c r="G2234" s="26"/>
      <c r="H2234" s="24"/>
    </row>
    <row r="2235" spans="2:8" x14ac:dyDescent="0.2">
      <c r="B2235" s="49" t="s">
        <v>1484</v>
      </c>
      <c r="C2235" s="36"/>
      <c r="D2235" s="45"/>
      <c r="E2235" s="14"/>
      <c r="F2235" s="30"/>
      <c r="G2235" s="29"/>
      <c r="H2235" s="15"/>
    </row>
    <row r="2236" spans="2:8" x14ac:dyDescent="0.2">
      <c r="B2236" s="48"/>
      <c r="C2236" s="60" t="s">
        <v>1485</v>
      </c>
      <c r="D2236" s="44"/>
      <c r="E2236" s="69" t="s">
        <v>1034</v>
      </c>
      <c r="F2236" s="28"/>
      <c r="G2236" s="55"/>
      <c r="H2236" s="21" t="b">
        <f>IF(D2237="x",H$2,H$1)</f>
        <v>0</v>
      </c>
    </row>
    <row r="2237" spans="2:8" x14ac:dyDescent="0.2">
      <c r="B2237" s="48"/>
      <c r="C2237" s="57" t="s">
        <v>1486</v>
      </c>
      <c r="D2237" s="44"/>
      <c r="E2237" s="69" t="s">
        <v>1035</v>
      </c>
      <c r="F2237" s="22"/>
      <c r="G2237" s="26"/>
      <c r="H2237" s="21" t="str">
        <f t="shared" ref="H2237" si="735">IF(E$2241="comprobar",COUNTIF(D2236:D2240,"x"),"")</f>
        <v/>
      </c>
    </row>
    <row r="2238" spans="2:8" x14ac:dyDescent="0.2">
      <c r="B2238" s="48"/>
      <c r="C2238" s="57" t="s">
        <v>1487</v>
      </c>
      <c r="D2238" s="44"/>
      <c r="E2238" s="69" t="s">
        <v>1036</v>
      </c>
      <c r="F2238" s="23"/>
      <c r="G2238" s="26"/>
      <c r="H2238" s="24">
        <f t="shared" ref="H2238" si="736">IF(H2237=1,IF(H2236=H$2,1,-0.33),0)</f>
        <v>0</v>
      </c>
    </row>
    <row r="2239" spans="2:8" x14ac:dyDescent="0.2">
      <c r="B2239" s="48"/>
      <c r="C2239" s="57" t="s">
        <v>1488</v>
      </c>
      <c r="D2239" s="44"/>
      <c r="E2239" s="69" t="s">
        <v>1037</v>
      </c>
      <c r="F2239" s="28"/>
      <c r="G2239" s="26"/>
      <c r="H2239" s="24"/>
    </row>
    <row r="2240" spans="2:8" x14ac:dyDescent="0.2">
      <c r="B2240" s="48"/>
      <c r="C2240" s="8"/>
      <c r="D2240" s="44"/>
      <c r="E2240" s="69" t="s">
        <v>1038</v>
      </c>
      <c r="F2240" s="20"/>
      <c r="G2240" s="19"/>
      <c r="H2240" s="24"/>
    </row>
    <row r="2241" spans="2:8" x14ac:dyDescent="0.2">
      <c r="B2241" s="52"/>
      <c r="C2241" s="47"/>
      <c r="D2241" s="73"/>
      <c r="E2241" s="92"/>
      <c r="F2241" s="20"/>
      <c r="G2241" s="19"/>
      <c r="H2241" s="19"/>
    </row>
    <row r="2242" spans="2:8" x14ac:dyDescent="0.2">
      <c r="B2242" s="52"/>
      <c r="C2242" s="18"/>
      <c r="D2242" s="66"/>
      <c r="E2242" s="69"/>
      <c r="F2242" s="31" t="s">
        <v>93</v>
      </c>
      <c r="G2242" s="19" t="s">
        <v>91</v>
      </c>
      <c r="H2242" s="19" t="s">
        <v>92</v>
      </c>
    </row>
    <row r="2243" spans="2:8" ht="20" x14ac:dyDescent="0.2">
      <c r="B2243" s="52"/>
      <c r="C2243" s="18"/>
      <c r="D2243" s="66"/>
      <c r="E2243" s="1"/>
      <c r="F2243" s="32" t="str">
        <f>IF(E2241="comprobar",H2178+H2172+H2166+H2160+H2154+H2148+H2142+H2136+H2130+H2124+H2184+H2190+H2196+H2202+H2208+H2214+H2220+H2226+H2232+H2238,"")</f>
        <v/>
      </c>
      <c r="G2243" s="19">
        <f>20/2</f>
        <v>10</v>
      </c>
      <c r="H2243" s="19"/>
    </row>
    <row r="2244" spans="2:8" ht="17" thickBot="1" x14ac:dyDescent="0.25">
      <c r="B2244" s="53"/>
      <c r="C2244" s="33"/>
      <c r="D2244" s="34"/>
      <c r="E2244" s="9"/>
      <c r="F2244" s="35" t="str">
        <f>IF(F2243&gt;G2243,G2242,H2242)</f>
        <v>APROBADO</v>
      </c>
      <c r="G2244" s="19"/>
      <c r="H2244" s="19"/>
    </row>
    <row r="2245" spans="2:8" ht="29" x14ac:dyDescent="0.35">
      <c r="B2245" s="54" t="s">
        <v>0</v>
      </c>
      <c r="C2245" s="113" t="s">
        <v>1489</v>
      </c>
      <c r="D2245" s="113"/>
      <c r="E2245" s="113"/>
      <c r="F2245" s="114"/>
    </row>
    <row r="2246" spans="2:8" x14ac:dyDescent="0.2">
      <c r="B2246" s="49" t="s">
        <v>1490</v>
      </c>
      <c r="C2246" s="13"/>
      <c r="D2246" s="14"/>
      <c r="E2246" s="14"/>
      <c r="F2246" s="16"/>
      <c r="G2246" s="15"/>
      <c r="H2246" s="15"/>
    </row>
    <row r="2247" spans="2:8" x14ac:dyDescent="0.2">
      <c r="B2247" s="48"/>
      <c r="C2247" s="56" t="s">
        <v>496</v>
      </c>
      <c r="D2247" s="44"/>
      <c r="E2247" s="69" t="s">
        <v>1034</v>
      </c>
      <c r="F2247" s="20"/>
      <c r="G2247" s="19"/>
      <c r="H2247" s="21" t="b">
        <f>IF(D2248="x",H$2,H$1)</f>
        <v>0</v>
      </c>
    </row>
    <row r="2248" spans="2:8" x14ac:dyDescent="0.2">
      <c r="B2248" s="48"/>
      <c r="C2248" s="57" t="s">
        <v>1491</v>
      </c>
      <c r="D2248" s="44"/>
      <c r="E2248" s="69" t="s">
        <v>1035</v>
      </c>
      <c r="F2248" s="22"/>
      <c r="G2248" s="19"/>
      <c r="H2248" s="21" t="str">
        <f>IF(E$2336="comprobar",COUNTIF(D2247:D2251,"x"),"")</f>
        <v/>
      </c>
    </row>
    <row r="2249" spans="2:8" x14ac:dyDescent="0.2">
      <c r="B2249" s="48"/>
      <c r="C2249" s="57" t="s">
        <v>1492</v>
      </c>
      <c r="D2249" s="44"/>
      <c r="E2249" s="69" t="s">
        <v>1036</v>
      </c>
      <c r="F2249" s="23"/>
      <c r="G2249" s="19"/>
      <c r="H2249" s="24">
        <f>IF(H2248=1,IF(H2247=H$2,1,-0.33),0)</f>
        <v>0</v>
      </c>
    </row>
    <row r="2250" spans="2:8" x14ac:dyDescent="0.2">
      <c r="B2250" s="48"/>
      <c r="C2250" s="57" t="s">
        <v>1493</v>
      </c>
      <c r="D2250" s="44"/>
      <c r="E2250" s="69" t="s">
        <v>1037</v>
      </c>
      <c r="F2250" s="20"/>
      <c r="G2250" s="19"/>
      <c r="H2250" s="24"/>
    </row>
    <row r="2251" spans="2:8" x14ac:dyDescent="0.2">
      <c r="B2251" s="48"/>
      <c r="C2251" s="8"/>
      <c r="D2251" s="44"/>
      <c r="E2251" s="69" t="s">
        <v>1038</v>
      </c>
      <c r="F2251" s="20"/>
      <c r="G2251" s="19"/>
      <c r="H2251" s="24"/>
    </row>
    <row r="2252" spans="2:8" x14ac:dyDescent="0.2">
      <c r="B2252" s="49" t="s">
        <v>1494</v>
      </c>
      <c r="C2252" s="13"/>
      <c r="D2252" s="45"/>
      <c r="E2252" s="14"/>
      <c r="F2252" s="16"/>
      <c r="G2252" s="15"/>
      <c r="H2252" s="15"/>
    </row>
    <row r="2253" spans="2:8" x14ac:dyDescent="0.2">
      <c r="B2253" s="48"/>
      <c r="C2253" s="56" t="s">
        <v>1495</v>
      </c>
      <c r="D2253" s="44"/>
      <c r="E2253" s="69" t="s">
        <v>1034</v>
      </c>
      <c r="F2253" s="20"/>
      <c r="G2253" s="19"/>
      <c r="H2253" s="21" t="b">
        <f>IF(D2254="x",H$2,H$1)</f>
        <v>0</v>
      </c>
    </row>
    <row r="2254" spans="2:8" x14ac:dyDescent="0.2">
      <c r="B2254" s="52"/>
      <c r="C2254" s="57" t="s">
        <v>1496</v>
      </c>
      <c r="D2254" s="44"/>
      <c r="E2254" s="69" t="s">
        <v>1035</v>
      </c>
      <c r="F2254" s="22"/>
      <c r="G2254" s="19"/>
      <c r="H2254" s="21" t="str">
        <f t="shared" ref="H2254" si="737">IF(E$2336="comprobar",COUNTIF(D2253:D2257,"x"),"")</f>
        <v/>
      </c>
    </row>
    <row r="2255" spans="2:8" x14ac:dyDescent="0.2">
      <c r="B2255" s="48"/>
      <c r="C2255" s="57" t="s">
        <v>1497</v>
      </c>
      <c r="D2255" s="44"/>
      <c r="E2255" s="69" t="s">
        <v>1036</v>
      </c>
      <c r="F2255" s="23"/>
      <c r="G2255" s="19"/>
      <c r="H2255" s="24">
        <f t="shared" ref="H2255" si="738">IF(H2254=1,IF(H2253=H$2,1,-0.33),0)</f>
        <v>0</v>
      </c>
    </row>
    <row r="2256" spans="2:8" x14ac:dyDescent="0.2">
      <c r="B2256" s="48"/>
      <c r="C2256" s="57" t="s">
        <v>1498</v>
      </c>
      <c r="D2256" s="44"/>
      <c r="E2256" s="69" t="s">
        <v>1037</v>
      </c>
      <c r="F2256" s="20"/>
      <c r="G2256" s="19"/>
      <c r="H2256" s="24"/>
    </row>
    <row r="2257" spans="2:8" x14ac:dyDescent="0.2">
      <c r="B2257" s="48"/>
      <c r="C2257" s="8"/>
      <c r="D2257" s="44"/>
      <c r="E2257" s="69" t="s">
        <v>1038</v>
      </c>
      <c r="F2257" s="20"/>
      <c r="G2257" s="19"/>
      <c r="H2257" s="24"/>
    </row>
    <row r="2258" spans="2:8" x14ac:dyDescent="0.2">
      <c r="B2258" s="49" t="s">
        <v>1499</v>
      </c>
      <c r="C2258" s="13"/>
      <c r="D2258" s="45"/>
      <c r="E2258" s="14"/>
      <c r="F2258" s="16"/>
      <c r="G2258" s="15"/>
      <c r="H2258" s="15"/>
    </row>
    <row r="2259" spans="2:8" x14ac:dyDescent="0.2">
      <c r="B2259" s="52"/>
      <c r="C2259" s="56" t="s">
        <v>1500</v>
      </c>
      <c r="D2259" s="44"/>
      <c r="E2259" s="69" t="s">
        <v>1034</v>
      </c>
      <c r="F2259" s="20"/>
      <c r="G2259" s="19"/>
      <c r="H2259" s="21" t="b">
        <f>IF(D2262="x",H$2,H$1)</f>
        <v>0</v>
      </c>
    </row>
    <row r="2260" spans="2:8" x14ac:dyDescent="0.2">
      <c r="B2260" s="48"/>
      <c r="C2260" s="57" t="s">
        <v>1501</v>
      </c>
      <c r="D2260" s="44"/>
      <c r="E2260" s="69" t="s">
        <v>1035</v>
      </c>
      <c r="F2260" s="22"/>
      <c r="G2260" s="19"/>
      <c r="H2260" s="21" t="str">
        <f t="shared" ref="H2260" si="739">IF(E$2336="comprobar",COUNTIF(D2259:D2263,"x"),"")</f>
        <v/>
      </c>
    </row>
    <row r="2261" spans="2:8" x14ac:dyDescent="0.2">
      <c r="B2261" s="48"/>
      <c r="C2261" s="57" t="s">
        <v>1502</v>
      </c>
      <c r="D2261" s="44"/>
      <c r="E2261" s="69" t="s">
        <v>1036</v>
      </c>
      <c r="F2261" s="23"/>
      <c r="G2261" s="19"/>
      <c r="H2261" s="24">
        <f t="shared" ref="H2261" si="740">IF(H2260=1,IF(H2259=H$2,1,-0.33),0)</f>
        <v>0</v>
      </c>
    </row>
    <row r="2262" spans="2:8" x14ac:dyDescent="0.2">
      <c r="B2262" s="52"/>
      <c r="C2262" s="57" t="s">
        <v>165</v>
      </c>
      <c r="D2262" s="44"/>
      <c r="E2262" s="69" t="s">
        <v>1037</v>
      </c>
      <c r="F2262" s="20"/>
      <c r="G2262" s="19"/>
      <c r="H2262" s="24"/>
    </row>
    <row r="2263" spans="2:8" x14ac:dyDescent="0.2">
      <c r="B2263" s="48"/>
      <c r="C2263" s="8"/>
      <c r="D2263" s="44"/>
      <c r="E2263" s="69" t="s">
        <v>1038</v>
      </c>
      <c r="F2263" s="20"/>
      <c r="G2263" s="19"/>
      <c r="H2263" s="24"/>
    </row>
    <row r="2264" spans="2:8" x14ac:dyDescent="0.2">
      <c r="B2264" s="49" t="s">
        <v>1503</v>
      </c>
      <c r="C2264" s="13"/>
      <c r="D2264" s="45"/>
      <c r="E2264" s="14"/>
      <c r="F2264" s="16"/>
      <c r="G2264" s="15"/>
      <c r="H2264" s="15"/>
    </row>
    <row r="2265" spans="2:8" x14ac:dyDescent="0.2">
      <c r="B2265" s="48"/>
      <c r="C2265" s="56" t="s">
        <v>1504</v>
      </c>
      <c r="D2265" s="44"/>
      <c r="E2265" s="69" t="s">
        <v>1034</v>
      </c>
      <c r="F2265" s="20"/>
      <c r="G2265" s="19"/>
      <c r="H2265" s="21" t="b">
        <f>IF(D2268="x",H$2,H$1)</f>
        <v>0</v>
      </c>
    </row>
    <row r="2266" spans="2:8" x14ac:dyDescent="0.2">
      <c r="B2266" s="52"/>
      <c r="C2266" s="57" t="s">
        <v>1505</v>
      </c>
      <c r="D2266" s="44"/>
      <c r="E2266" s="69" t="s">
        <v>1035</v>
      </c>
      <c r="F2266" s="22"/>
      <c r="G2266" s="19"/>
      <c r="H2266" s="21" t="str">
        <f t="shared" ref="H2266" si="741">IF(E$2336="comprobar",COUNTIF(D2265:D2269,"x"),"")</f>
        <v/>
      </c>
    </row>
    <row r="2267" spans="2:8" x14ac:dyDescent="0.2">
      <c r="B2267" s="48"/>
      <c r="C2267" s="57" t="s">
        <v>1506</v>
      </c>
      <c r="D2267" s="44"/>
      <c r="E2267" s="69" t="s">
        <v>1036</v>
      </c>
      <c r="F2267" s="23"/>
      <c r="G2267" s="19"/>
      <c r="H2267" s="24">
        <f t="shared" ref="H2267" si="742">IF(H2266=1,IF(H2265=H$2,1,-0.33),0)</f>
        <v>0</v>
      </c>
    </row>
    <row r="2268" spans="2:8" x14ac:dyDescent="0.2">
      <c r="B2268" s="48"/>
      <c r="C2268" s="57" t="s">
        <v>1507</v>
      </c>
      <c r="D2268" s="44"/>
      <c r="E2268" s="69" t="s">
        <v>1037</v>
      </c>
      <c r="F2268" s="20"/>
      <c r="G2268" s="19"/>
      <c r="H2268" s="24"/>
    </row>
    <row r="2269" spans="2:8" x14ac:dyDescent="0.2">
      <c r="B2269" s="48"/>
      <c r="C2269" s="8"/>
      <c r="D2269" s="44"/>
      <c r="E2269" s="69" t="s">
        <v>1038</v>
      </c>
      <c r="F2269" s="20"/>
      <c r="G2269" s="19"/>
      <c r="H2269" s="24"/>
    </row>
    <row r="2270" spans="2:8" x14ac:dyDescent="0.2">
      <c r="B2270" s="49" t="s">
        <v>1508</v>
      </c>
      <c r="C2270" s="36"/>
      <c r="D2270" s="45"/>
      <c r="E2270" s="14"/>
      <c r="F2270" s="16"/>
      <c r="G2270" s="15"/>
      <c r="H2270" s="15"/>
    </row>
    <row r="2271" spans="2:8" x14ac:dyDescent="0.2">
      <c r="B2271" s="48"/>
      <c r="C2271" s="60" t="s">
        <v>1509</v>
      </c>
      <c r="D2271" s="44"/>
      <c r="E2271" s="69" t="s">
        <v>1034</v>
      </c>
      <c r="F2271" s="20"/>
      <c r="G2271" s="19"/>
      <c r="H2271" s="21" t="b">
        <f>IF(D2273="x",H$2,H$1)</f>
        <v>0</v>
      </c>
    </row>
    <row r="2272" spans="2:8" x14ac:dyDescent="0.2">
      <c r="B2272" s="48"/>
      <c r="C2272" s="57" t="s">
        <v>1510</v>
      </c>
      <c r="D2272" s="44"/>
      <c r="E2272" s="69" t="s">
        <v>1035</v>
      </c>
      <c r="F2272" s="22"/>
      <c r="G2272" s="19"/>
      <c r="H2272" s="21" t="str">
        <f t="shared" ref="H2272" si="743">IF(E$2336="comprobar",COUNTIF(D2271:D2275,"x"),"")</f>
        <v/>
      </c>
    </row>
    <row r="2273" spans="2:8" x14ac:dyDescent="0.2">
      <c r="B2273" s="48"/>
      <c r="C2273" s="57" t="s">
        <v>1511</v>
      </c>
      <c r="D2273" s="44"/>
      <c r="E2273" s="69" t="s">
        <v>1036</v>
      </c>
      <c r="F2273" s="23"/>
      <c r="G2273" s="19"/>
      <c r="H2273" s="24">
        <f t="shared" ref="H2273" si="744">IF(H2272=1,IF(H2271=H$2,1,-0.33),0)</f>
        <v>0</v>
      </c>
    </row>
    <row r="2274" spans="2:8" x14ac:dyDescent="0.2">
      <c r="B2274" s="48"/>
      <c r="C2274" s="57" t="s">
        <v>1512</v>
      </c>
      <c r="D2274" s="44"/>
      <c r="E2274" s="69" t="s">
        <v>1037</v>
      </c>
      <c r="F2274" s="20"/>
      <c r="G2274" s="19"/>
      <c r="H2274" s="24"/>
    </row>
    <row r="2275" spans="2:8" x14ac:dyDescent="0.2">
      <c r="B2275" s="48"/>
      <c r="C2275" s="8"/>
      <c r="D2275" s="44"/>
      <c r="E2275" s="69" t="s">
        <v>1038</v>
      </c>
      <c r="F2275" s="20"/>
      <c r="G2275" s="19"/>
      <c r="H2275" s="24"/>
    </row>
    <row r="2276" spans="2:8" x14ac:dyDescent="0.2">
      <c r="B2276" s="49" t="s">
        <v>1513</v>
      </c>
      <c r="C2276" s="13"/>
      <c r="D2276" s="45"/>
      <c r="E2276" s="14"/>
      <c r="F2276" s="16"/>
      <c r="G2276" s="15"/>
      <c r="H2276" s="15"/>
    </row>
    <row r="2277" spans="2:8" x14ac:dyDescent="0.2">
      <c r="B2277" s="52"/>
      <c r="C2277" s="56" t="s">
        <v>1514</v>
      </c>
      <c r="D2277" s="44"/>
      <c r="E2277" s="69" t="s">
        <v>1034</v>
      </c>
      <c r="F2277" s="20"/>
      <c r="G2277" s="19"/>
      <c r="H2277" s="21" t="b">
        <f>IF(D2277="x",H$2,H$1)</f>
        <v>0</v>
      </c>
    </row>
    <row r="2278" spans="2:8" x14ac:dyDescent="0.2">
      <c r="B2278" s="48"/>
      <c r="C2278" s="57" t="s">
        <v>1515</v>
      </c>
      <c r="D2278" s="44"/>
      <c r="E2278" s="69" t="s">
        <v>1035</v>
      </c>
      <c r="F2278" s="22"/>
      <c r="G2278" s="19"/>
      <c r="H2278" s="21" t="str">
        <f t="shared" ref="H2278" si="745">IF(E$2336="comprobar",COUNTIF(D2277:D2281,"x"),"")</f>
        <v/>
      </c>
    </row>
    <row r="2279" spans="2:8" x14ac:dyDescent="0.2">
      <c r="B2279" s="48"/>
      <c r="C2279" s="57" t="s">
        <v>1516</v>
      </c>
      <c r="D2279" s="44"/>
      <c r="E2279" s="69" t="s">
        <v>1036</v>
      </c>
      <c r="F2279" s="23"/>
      <c r="G2279" s="19"/>
      <c r="H2279" s="24">
        <f t="shared" ref="H2279" si="746">IF(H2278=1,IF(H2277=H$2,1,-0.33),0)</f>
        <v>0</v>
      </c>
    </row>
    <row r="2280" spans="2:8" x14ac:dyDescent="0.2">
      <c r="B2280" s="52"/>
      <c r="C2280" s="57" t="s">
        <v>1517</v>
      </c>
      <c r="D2280" s="44"/>
      <c r="E2280" s="69" t="s">
        <v>1037</v>
      </c>
      <c r="F2280" s="20"/>
      <c r="G2280" s="19"/>
      <c r="H2280" s="24"/>
    </row>
    <row r="2281" spans="2:8" x14ac:dyDescent="0.2">
      <c r="B2281" s="48"/>
      <c r="C2281" s="8"/>
      <c r="D2281" s="44"/>
      <c r="E2281" s="69" t="s">
        <v>1038</v>
      </c>
      <c r="F2281" s="20"/>
      <c r="G2281" s="19"/>
      <c r="H2281" s="24"/>
    </row>
    <row r="2282" spans="2:8" x14ac:dyDescent="0.2">
      <c r="B2282" s="49" t="s">
        <v>1518</v>
      </c>
      <c r="C2282" s="13"/>
      <c r="D2282" s="45"/>
      <c r="E2282" s="14"/>
      <c r="F2282" s="16"/>
      <c r="G2282" s="15"/>
      <c r="H2282" s="15"/>
    </row>
    <row r="2283" spans="2:8" x14ac:dyDescent="0.2">
      <c r="B2283" s="48"/>
      <c r="C2283" s="56" t="s">
        <v>1519</v>
      </c>
      <c r="D2283" s="44"/>
      <c r="E2283" s="69" t="s">
        <v>1034</v>
      </c>
      <c r="F2283" s="20"/>
      <c r="G2283" s="19"/>
      <c r="H2283" s="21" t="b">
        <f>IF(D2286="x",H$2,H$1)</f>
        <v>0</v>
      </c>
    </row>
    <row r="2284" spans="2:8" x14ac:dyDescent="0.2">
      <c r="B2284" s="52"/>
      <c r="C2284" s="57" t="s">
        <v>1520</v>
      </c>
      <c r="D2284" s="44"/>
      <c r="E2284" s="69" t="s">
        <v>1035</v>
      </c>
      <c r="F2284" s="22"/>
      <c r="G2284" s="19"/>
      <c r="H2284" s="21" t="str">
        <f t="shared" ref="H2284" si="747">IF(E$2336="comprobar",COUNTIF(D2283:D2287,"x"),"")</f>
        <v/>
      </c>
    </row>
    <row r="2285" spans="2:8" x14ac:dyDescent="0.2">
      <c r="B2285" s="52"/>
      <c r="C2285" s="57" t="s">
        <v>1521</v>
      </c>
      <c r="D2285" s="44"/>
      <c r="E2285" s="69" t="s">
        <v>1036</v>
      </c>
      <c r="F2285" s="23"/>
      <c r="G2285" s="19"/>
      <c r="H2285" s="24">
        <f t="shared" ref="H2285" si="748">IF(H2284=1,IF(H2283=H$2,1,-0.33),0)</f>
        <v>0</v>
      </c>
    </row>
    <row r="2286" spans="2:8" x14ac:dyDescent="0.2">
      <c r="B2286" s="48"/>
      <c r="C2286" s="57" t="s">
        <v>165</v>
      </c>
      <c r="D2286" s="44"/>
      <c r="E2286" s="69" t="s">
        <v>1037</v>
      </c>
      <c r="F2286" s="20"/>
      <c r="G2286" s="19"/>
      <c r="H2286" s="24"/>
    </row>
    <row r="2287" spans="2:8" x14ac:dyDescent="0.2">
      <c r="D2287" s="44"/>
      <c r="E2287" s="69" t="s">
        <v>1038</v>
      </c>
      <c r="F2287" s="20"/>
      <c r="G2287" s="19"/>
      <c r="H2287" s="24"/>
    </row>
    <row r="2288" spans="2:8" x14ac:dyDescent="0.2">
      <c r="B2288" s="49" t="s">
        <v>1522</v>
      </c>
      <c r="C2288" s="13"/>
      <c r="D2288" s="45"/>
      <c r="E2288" s="14"/>
      <c r="F2288" s="16"/>
      <c r="G2288" s="15"/>
      <c r="H2288" s="15"/>
    </row>
    <row r="2289" spans="1:8" x14ac:dyDescent="0.2">
      <c r="B2289" s="52"/>
      <c r="C2289" s="18" t="s">
        <v>1523</v>
      </c>
      <c r="D2289" s="44"/>
      <c r="E2289" s="69" t="s">
        <v>1034</v>
      </c>
      <c r="F2289" s="20"/>
      <c r="G2289" s="19"/>
      <c r="H2289" s="21" t="b">
        <f>IF(D2291="x",H$2,H$1)</f>
        <v>0</v>
      </c>
    </row>
    <row r="2290" spans="1:8" x14ac:dyDescent="0.2">
      <c r="B2290" s="52"/>
      <c r="C2290" s="56" t="s">
        <v>1524</v>
      </c>
      <c r="D2290" s="44"/>
      <c r="E2290" s="69" t="s">
        <v>1035</v>
      </c>
      <c r="F2290" s="22"/>
      <c r="G2290" s="19"/>
      <c r="H2290" s="21" t="str">
        <f t="shared" ref="H2290" si="749">IF(E$2336="comprobar",COUNTIF(D2289:D2293,"x"),"")</f>
        <v/>
      </c>
    </row>
    <row r="2291" spans="1:8" x14ac:dyDescent="0.2">
      <c r="B2291" s="48"/>
      <c r="C2291" s="57" t="s">
        <v>1525</v>
      </c>
      <c r="D2291" s="44"/>
      <c r="E2291" s="69" t="s">
        <v>1036</v>
      </c>
      <c r="F2291" s="23"/>
      <c r="G2291" s="19"/>
      <c r="H2291" s="24">
        <f t="shared" ref="H2291" si="750">IF(H2290=1,IF(H2289=H$2,1,-0.33),0)</f>
        <v>0</v>
      </c>
    </row>
    <row r="2292" spans="1:8" x14ac:dyDescent="0.2">
      <c r="B2292" s="52"/>
      <c r="C2292" s="57" t="s">
        <v>1526</v>
      </c>
      <c r="D2292" s="44"/>
      <c r="E2292" s="69" t="s">
        <v>1037</v>
      </c>
      <c r="F2292" s="20"/>
      <c r="G2292" s="19"/>
      <c r="H2292" s="24"/>
    </row>
    <row r="2293" spans="1:8" x14ac:dyDescent="0.2">
      <c r="B2293" s="48"/>
      <c r="C2293" s="8"/>
      <c r="D2293" s="44"/>
      <c r="E2293" s="69" t="s">
        <v>1038</v>
      </c>
      <c r="F2293" s="20"/>
      <c r="G2293" s="19"/>
      <c r="H2293" s="24"/>
    </row>
    <row r="2294" spans="1:8" s="40" customFormat="1" x14ac:dyDescent="0.2">
      <c r="A2294" s="80"/>
      <c r="B2294" s="109" t="s">
        <v>1527</v>
      </c>
      <c r="C2294" s="110"/>
      <c r="D2294" s="95"/>
      <c r="E2294" s="14"/>
      <c r="F2294" s="71"/>
      <c r="G2294" s="72"/>
      <c r="H2294" s="72"/>
    </row>
    <row r="2295" spans="1:8" x14ac:dyDescent="0.2">
      <c r="B2295" s="52"/>
      <c r="C2295" s="56" t="s">
        <v>1528</v>
      </c>
      <c r="D2295" s="44"/>
      <c r="E2295" s="69" t="s">
        <v>1034</v>
      </c>
      <c r="F2295" s="20"/>
      <c r="G2295" s="19"/>
      <c r="H2295" s="21" t="b">
        <f>IF(D2296="x",H$2,H$1)</f>
        <v>0</v>
      </c>
    </row>
    <row r="2296" spans="1:8" x14ac:dyDescent="0.2">
      <c r="B2296" s="48"/>
      <c r="C2296" s="57" t="s">
        <v>1524</v>
      </c>
      <c r="D2296" s="44"/>
      <c r="E2296" s="69" t="s">
        <v>1035</v>
      </c>
      <c r="F2296" s="22"/>
      <c r="G2296" s="19"/>
      <c r="H2296" s="21" t="str">
        <f t="shared" ref="H2296" si="751">IF(E$2336="comprobar",COUNTIF(D2295:D2299,"x"),"")</f>
        <v/>
      </c>
    </row>
    <row r="2297" spans="1:8" x14ac:dyDescent="0.2">
      <c r="B2297" s="48"/>
      <c r="C2297" s="57" t="s">
        <v>1525</v>
      </c>
      <c r="D2297" s="44"/>
      <c r="E2297" s="69" t="s">
        <v>1036</v>
      </c>
      <c r="F2297" s="23"/>
      <c r="G2297" s="19"/>
      <c r="H2297" s="24">
        <f t="shared" ref="H2297" si="752">IF(H2296=1,IF(H2295=H$2,1,-0.33),0)</f>
        <v>0</v>
      </c>
    </row>
    <row r="2298" spans="1:8" x14ac:dyDescent="0.2">
      <c r="B2298" s="48"/>
      <c r="C2298" s="57" t="s">
        <v>1529</v>
      </c>
      <c r="D2298" s="44"/>
      <c r="E2298" s="69" t="s">
        <v>1037</v>
      </c>
      <c r="F2298" s="20"/>
      <c r="G2298" s="19"/>
      <c r="H2298" s="24"/>
    </row>
    <row r="2299" spans="1:8" x14ac:dyDescent="0.2">
      <c r="B2299" s="48"/>
      <c r="C2299" s="8"/>
      <c r="D2299" s="44"/>
      <c r="E2299" s="69" t="s">
        <v>1038</v>
      </c>
      <c r="F2299" s="12"/>
      <c r="G2299" s="19"/>
      <c r="H2299" s="24"/>
    </row>
    <row r="2300" spans="1:8" x14ac:dyDescent="0.2">
      <c r="B2300" s="49" t="s">
        <v>1530</v>
      </c>
      <c r="C2300" s="13"/>
      <c r="D2300" s="45"/>
      <c r="E2300" s="14"/>
      <c r="F2300" s="30"/>
      <c r="G2300" s="29"/>
      <c r="H2300" s="15"/>
    </row>
    <row r="2301" spans="1:8" x14ac:dyDescent="0.2">
      <c r="B2301" s="48"/>
      <c r="C2301" s="56" t="s">
        <v>1531</v>
      </c>
      <c r="D2301" s="44"/>
      <c r="E2301" s="69" t="s">
        <v>1034</v>
      </c>
      <c r="F2301" s="27"/>
      <c r="G2301" s="26"/>
      <c r="H2301" s="21" t="b">
        <f>IF(D2304="x",H$2,H$1)</f>
        <v>0</v>
      </c>
    </row>
    <row r="2302" spans="1:8" x14ac:dyDescent="0.2">
      <c r="B2302" s="48"/>
      <c r="C2302" s="61" t="s">
        <v>1532</v>
      </c>
      <c r="D2302" s="44"/>
      <c r="E2302" s="69" t="s">
        <v>1035</v>
      </c>
      <c r="F2302" s="22"/>
      <c r="G2302" s="26"/>
      <c r="H2302" s="21" t="str">
        <f t="shared" ref="H2302" si="753">IF(E$2336="comprobar",COUNTIF(D2301:D2305,"x"),"")</f>
        <v/>
      </c>
    </row>
    <row r="2303" spans="1:8" x14ac:dyDescent="0.2">
      <c r="B2303" s="52"/>
      <c r="C2303" s="57" t="s">
        <v>1533</v>
      </c>
      <c r="D2303" s="44"/>
      <c r="E2303" s="69" t="s">
        <v>1036</v>
      </c>
      <c r="F2303" s="23"/>
      <c r="G2303" s="26"/>
      <c r="H2303" s="24">
        <f t="shared" ref="H2303" si="754">IF(H2302=1,IF(H2301=H$2,1,-0.33),0)</f>
        <v>0</v>
      </c>
    </row>
    <row r="2304" spans="1:8" x14ac:dyDescent="0.2">
      <c r="B2304" s="48"/>
      <c r="C2304" s="57" t="s">
        <v>165</v>
      </c>
      <c r="D2304" s="44"/>
      <c r="E2304" s="69" t="s">
        <v>1037</v>
      </c>
      <c r="F2304" s="28"/>
      <c r="G2304" s="26"/>
      <c r="H2304" s="24"/>
    </row>
    <row r="2305" spans="2:8" x14ac:dyDescent="0.2">
      <c r="B2305" s="48"/>
      <c r="C2305" s="8"/>
      <c r="D2305" s="44"/>
      <c r="E2305" s="69" t="s">
        <v>1038</v>
      </c>
      <c r="F2305" s="28"/>
      <c r="G2305" s="26"/>
      <c r="H2305" s="24"/>
    </row>
    <row r="2306" spans="2:8" x14ac:dyDescent="0.2">
      <c r="B2306" s="49" t="s">
        <v>1534</v>
      </c>
      <c r="C2306" s="13"/>
      <c r="D2306" s="45"/>
      <c r="E2306" s="14"/>
      <c r="F2306" s="30"/>
      <c r="G2306" s="29"/>
      <c r="H2306" s="15"/>
    </row>
    <row r="2307" spans="2:8" x14ac:dyDescent="0.2">
      <c r="B2307" s="48"/>
      <c r="C2307" s="56" t="s">
        <v>1535</v>
      </c>
      <c r="D2307" s="44"/>
      <c r="E2307" s="69" t="s">
        <v>1034</v>
      </c>
      <c r="F2307" s="27"/>
      <c r="G2307" s="26"/>
      <c r="H2307" s="21" t="b">
        <f>IF(D2309="x",H$2,H$1)</f>
        <v>0</v>
      </c>
    </row>
    <row r="2308" spans="2:8" x14ac:dyDescent="0.2">
      <c r="B2308" s="48"/>
      <c r="C2308" s="57" t="s">
        <v>1536</v>
      </c>
      <c r="D2308" s="44"/>
      <c r="E2308" s="69" t="s">
        <v>1035</v>
      </c>
      <c r="F2308" s="22"/>
      <c r="G2308" s="26"/>
      <c r="H2308" s="21" t="str">
        <f t="shared" ref="H2308" si="755">IF(E$2336="comprobar",COUNTIF(D2307:D2311,"x"),"")</f>
        <v/>
      </c>
    </row>
    <row r="2309" spans="2:8" x14ac:dyDescent="0.2">
      <c r="B2309" s="52"/>
      <c r="C2309" s="57" t="s">
        <v>1537</v>
      </c>
      <c r="D2309" s="44"/>
      <c r="E2309" s="69" t="s">
        <v>1036</v>
      </c>
      <c r="F2309" s="23"/>
      <c r="G2309" s="26"/>
      <c r="H2309" s="24">
        <f t="shared" ref="H2309" si="756">IF(H2308=1,IF(H2307=H$2,1,-0.33),0)</f>
        <v>0</v>
      </c>
    </row>
    <row r="2310" spans="2:8" x14ac:dyDescent="0.2">
      <c r="B2310" s="48"/>
      <c r="C2310" s="57" t="s">
        <v>1538</v>
      </c>
      <c r="D2310" s="44"/>
      <c r="E2310" s="69" t="s">
        <v>1037</v>
      </c>
      <c r="F2310" s="20"/>
      <c r="G2310" s="55"/>
      <c r="H2310" s="24"/>
    </row>
    <row r="2311" spans="2:8" x14ac:dyDescent="0.2">
      <c r="B2311" s="48"/>
      <c r="C2311" s="8"/>
      <c r="D2311" s="44"/>
      <c r="E2311" s="69" t="s">
        <v>1038</v>
      </c>
      <c r="F2311" s="28"/>
      <c r="G2311" s="26"/>
      <c r="H2311" s="24"/>
    </row>
    <row r="2312" spans="2:8" x14ac:dyDescent="0.2">
      <c r="B2312" s="49" t="s">
        <v>1539</v>
      </c>
      <c r="C2312" s="13"/>
      <c r="D2312" s="45"/>
      <c r="E2312" s="14"/>
      <c r="F2312" s="30"/>
      <c r="G2312" s="29"/>
      <c r="H2312" s="15"/>
    </row>
    <row r="2313" spans="2:8" x14ac:dyDescent="0.2">
      <c r="B2313" s="48"/>
      <c r="C2313" s="56" t="s">
        <v>1540</v>
      </c>
      <c r="D2313" s="44"/>
      <c r="E2313" s="69" t="s">
        <v>1034</v>
      </c>
      <c r="F2313" s="27"/>
      <c r="G2313" s="26"/>
      <c r="H2313" s="21" t="b">
        <f>IF(D2316="x",H$2,H$1)</f>
        <v>0</v>
      </c>
    </row>
    <row r="2314" spans="2:8" x14ac:dyDescent="0.2">
      <c r="B2314" s="48"/>
      <c r="C2314" s="57" t="s">
        <v>1541</v>
      </c>
      <c r="D2314" s="44"/>
      <c r="E2314" s="69" t="s">
        <v>1035</v>
      </c>
      <c r="F2314" s="22"/>
      <c r="G2314" s="26"/>
      <c r="H2314" s="21" t="str">
        <f t="shared" ref="H2314" si="757">IF(E$2336="comprobar",COUNTIF(D2313:D2317,"x"),"")</f>
        <v/>
      </c>
    </row>
    <row r="2315" spans="2:8" x14ac:dyDescent="0.2">
      <c r="B2315" s="48"/>
      <c r="C2315" s="57" t="s">
        <v>1542</v>
      </c>
      <c r="D2315" s="44"/>
      <c r="E2315" s="69" t="s">
        <v>1036</v>
      </c>
      <c r="F2315" s="23"/>
      <c r="G2315" s="26"/>
      <c r="H2315" s="24">
        <f t="shared" ref="H2315" si="758">IF(H2314=1,IF(H2313=H$2,1,-0.33),0)</f>
        <v>0</v>
      </c>
    </row>
    <row r="2316" spans="2:8" x14ac:dyDescent="0.2">
      <c r="B2316" s="48"/>
      <c r="C2316" s="57" t="s">
        <v>1543</v>
      </c>
      <c r="D2316" s="44"/>
      <c r="E2316" s="69" t="s">
        <v>1037</v>
      </c>
      <c r="F2316" s="28"/>
      <c r="G2316" s="26"/>
      <c r="H2316" s="24"/>
    </row>
    <row r="2317" spans="2:8" x14ac:dyDescent="0.2">
      <c r="B2317" s="48"/>
      <c r="C2317" s="8"/>
      <c r="D2317" s="44"/>
      <c r="E2317" s="69" t="s">
        <v>1038</v>
      </c>
      <c r="F2317" s="28"/>
      <c r="G2317" s="26"/>
      <c r="H2317" s="24"/>
    </row>
    <row r="2318" spans="2:8" x14ac:dyDescent="0.2">
      <c r="B2318" s="109" t="s">
        <v>1544</v>
      </c>
      <c r="C2318" s="110"/>
      <c r="D2318" s="45"/>
      <c r="E2318" s="14"/>
      <c r="F2318" s="16"/>
      <c r="G2318" s="15"/>
      <c r="H2318" s="15"/>
    </row>
    <row r="2319" spans="2:8" x14ac:dyDescent="0.2">
      <c r="B2319" s="48"/>
      <c r="C2319" s="56" t="s">
        <v>1535</v>
      </c>
      <c r="D2319" s="44"/>
      <c r="E2319" s="69" t="s">
        <v>1034</v>
      </c>
      <c r="F2319" s="20"/>
      <c r="G2319" s="19"/>
      <c r="H2319" s="21" t="b">
        <f>IF(D2321="x",H$2,H$1)</f>
        <v>0</v>
      </c>
    </row>
    <row r="2320" spans="2:8" x14ac:dyDescent="0.2">
      <c r="B2320" s="52"/>
      <c r="C2320" s="57" t="s">
        <v>1537</v>
      </c>
      <c r="D2320" s="44"/>
      <c r="E2320" s="69" t="s">
        <v>1035</v>
      </c>
      <c r="F2320" s="22"/>
      <c r="G2320" s="19"/>
      <c r="H2320" s="21" t="str">
        <f t="shared" ref="H2320" si="759">IF(E$2336="comprobar",COUNTIF(D2319:D2323,"x"),"")</f>
        <v/>
      </c>
    </row>
    <row r="2321" spans="2:8" x14ac:dyDescent="0.2">
      <c r="B2321" s="52"/>
      <c r="C2321" s="57" t="s">
        <v>1536</v>
      </c>
      <c r="D2321" s="44"/>
      <c r="E2321" s="69" t="s">
        <v>1036</v>
      </c>
      <c r="F2321" s="23"/>
      <c r="G2321" s="19"/>
      <c r="H2321" s="24">
        <f t="shared" ref="H2321" si="760">IF(H2320=1,IF(H2319=H$2,1,-0.33),0)</f>
        <v>0</v>
      </c>
    </row>
    <row r="2322" spans="2:8" x14ac:dyDescent="0.2">
      <c r="B2322" s="48"/>
      <c r="C2322" s="57" t="s">
        <v>1538</v>
      </c>
      <c r="D2322" s="44"/>
      <c r="E2322" s="69" t="s">
        <v>1037</v>
      </c>
      <c r="F2322" s="20"/>
      <c r="G2322" s="19"/>
      <c r="H2322" s="24"/>
    </row>
    <row r="2323" spans="2:8" x14ac:dyDescent="0.2">
      <c r="B2323" s="48"/>
      <c r="C2323" s="8"/>
      <c r="D2323" s="44"/>
      <c r="E2323" s="69" t="s">
        <v>1038</v>
      </c>
      <c r="F2323" s="20"/>
      <c r="G2323" s="19"/>
      <c r="H2323" s="24"/>
    </row>
    <row r="2324" spans="2:8" x14ac:dyDescent="0.2">
      <c r="B2324" s="49" t="s">
        <v>1545</v>
      </c>
      <c r="C2324" s="13"/>
      <c r="D2324" s="45"/>
      <c r="E2324" s="14"/>
      <c r="F2324" s="30"/>
      <c r="G2324" s="29"/>
      <c r="H2324" s="15"/>
    </row>
    <row r="2325" spans="2:8" x14ac:dyDescent="0.2">
      <c r="B2325" s="48"/>
      <c r="C2325" s="60" t="s">
        <v>1546</v>
      </c>
      <c r="D2325" s="44"/>
      <c r="E2325" s="69" t="s">
        <v>1034</v>
      </c>
      <c r="F2325" s="27"/>
      <c r="G2325" s="26"/>
      <c r="H2325" s="21" t="b">
        <f>IF(D2325="x",H$2,H$1)</f>
        <v>0</v>
      </c>
    </row>
    <row r="2326" spans="2:8" x14ac:dyDescent="0.2">
      <c r="B2326" s="48"/>
      <c r="C2326" s="57" t="s">
        <v>1547</v>
      </c>
      <c r="D2326" s="44"/>
      <c r="E2326" s="69" t="s">
        <v>1035</v>
      </c>
      <c r="F2326" s="22"/>
      <c r="G2326" s="26"/>
      <c r="H2326" s="21" t="str">
        <f t="shared" ref="H2326" si="761">IF(E$2336="comprobar",COUNTIF(D2325:D2329,"x"),"")</f>
        <v/>
      </c>
    </row>
    <row r="2327" spans="2:8" x14ac:dyDescent="0.2">
      <c r="B2327" s="48"/>
      <c r="C2327" s="57" t="s">
        <v>1548</v>
      </c>
      <c r="D2327" s="44"/>
      <c r="E2327" s="69" t="s">
        <v>1036</v>
      </c>
      <c r="F2327" s="23"/>
      <c r="G2327" s="26"/>
      <c r="H2327" s="24">
        <f t="shared" ref="H2327" si="762">IF(H2326=1,IF(H2325=H$2,1,-0.33),0)</f>
        <v>0</v>
      </c>
    </row>
    <row r="2328" spans="2:8" x14ac:dyDescent="0.2">
      <c r="B2328" s="48"/>
      <c r="C2328" s="57" t="s">
        <v>1549</v>
      </c>
      <c r="D2328" s="44"/>
      <c r="E2328" s="69" t="s">
        <v>1037</v>
      </c>
      <c r="F2328" s="28"/>
      <c r="G2328" s="26"/>
      <c r="H2328" s="24"/>
    </row>
    <row r="2329" spans="2:8" x14ac:dyDescent="0.2">
      <c r="B2329" s="48"/>
      <c r="C2329" s="8"/>
      <c r="D2329" s="44"/>
      <c r="E2329" s="69" t="s">
        <v>1038</v>
      </c>
      <c r="F2329" s="28"/>
      <c r="G2329" s="26"/>
      <c r="H2329" s="24"/>
    </row>
    <row r="2330" spans="2:8" x14ac:dyDescent="0.2">
      <c r="B2330" s="109" t="s">
        <v>1550</v>
      </c>
      <c r="C2330" s="110"/>
      <c r="D2330" s="95"/>
      <c r="E2330" s="14"/>
      <c r="F2330" s="71"/>
      <c r="G2330" s="29"/>
      <c r="H2330" s="15"/>
    </row>
    <row r="2331" spans="2:8" x14ac:dyDescent="0.2">
      <c r="B2331" s="48"/>
      <c r="C2331" s="56" t="s">
        <v>1551</v>
      </c>
      <c r="D2331" s="44"/>
      <c r="E2331" s="69" t="s">
        <v>1034</v>
      </c>
      <c r="F2331" s="28"/>
      <c r="G2331" s="55"/>
      <c r="H2331" s="21" t="b">
        <f>IF(D2334="x",H$2,H$1)</f>
        <v>0</v>
      </c>
    </row>
    <row r="2332" spans="2:8" x14ac:dyDescent="0.2">
      <c r="B2332" s="52"/>
      <c r="C2332" s="57" t="s">
        <v>1552</v>
      </c>
      <c r="D2332" s="44"/>
      <c r="E2332" s="69" t="s">
        <v>1035</v>
      </c>
      <c r="F2332" s="22"/>
      <c r="G2332" s="26"/>
      <c r="H2332" s="21" t="str">
        <f t="shared" ref="H2332" si="763">IF(E$2336="comprobar",COUNTIF(D2331:D2335,"x"),"")</f>
        <v/>
      </c>
    </row>
    <row r="2333" spans="2:8" x14ac:dyDescent="0.2">
      <c r="B2333" s="48"/>
      <c r="C2333" s="57" t="s">
        <v>1553</v>
      </c>
      <c r="D2333" s="44"/>
      <c r="E2333" s="69" t="s">
        <v>1036</v>
      </c>
      <c r="F2333" s="23"/>
      <c r="G2333" s="26"/>
      <c r="H2333" s="24">
        <f t="shared" ref="H2333" si="764">IF(H2332=1,IF(H2331=H$2,1,-0.33),0)</f>
        <v>0</v>
      </c>
    </row>
    <row r="2334" spans="2:8" x14ac:dyDescent="0.2">
      <c r="B2334" s="48"/>
      <c r="C2334" s="57" t="s">
        <v>1554</v>
      </c>
      <c r="D2334" s="44"/>
      <c r="E2334" s="69" t="s">
        <v>1037</v>
      </c>
      <c r="F2334" s="28"/>
      <c r="G2334" s="26"/>
      <c r="H2334" s="24"/>
    </row>
    <row r="2335" spans="2:8" x14ac:dyDescent="0.2">
      <c r="B2335" s="48"/>
      <c r="C2335" s="8"/>
      <c r="D2335" s="44"/>
      <c r="E2335" s="69" t="s">
        <v>1038</v>
      </c>
      <c r="F2335" s="28"/>
      <c r="G2335" s="26"/>
      <c r="H2335" s="24"/>
    </row>
    <row r="2336" spans="2:8" x14ac:dyDescent="0.2">
      <c r="B2336" s="52"/>
      <c r="C2336" s="47"/>
      <c r="D2336" s="73"/>
      <c r="E2336" s="92"/>
      <c r="F2336" s="20"/>
      <c r="G2336" s="19"/>
      <c r="H2336" s="19"/>
    </row>
    <row r="2337" spans="1:8" x14ac:dyDescent="0.2">
      <c r="B2337" s="52"/>
      <c r="C2337" s="18"/>
      <c r="D2337" s="73"/>
      <c r="E2337" s="73"/>
      <c r="F2337" s="31" t="s">
        <v>93</v>
      </c>
      <c r="G2337" s="19" t="s">
        <v>91</v>
      </c>
      <c r="H2337" s="19" t="s">
        <v>92</v>
      </c>
    </row>
    <row r="2338" spans="1:8" ht="20" x14ac:dyDescent="0.2">
      <c r="B2338" s="52"/>
      <c r="C2338" s="18"/>
      <c r="D2338" s="66"/>
      <c r="E2338" s="1"/>
      <c r="F2338" s="32" t="str">
        <f>IF(E2336="comprobar",H2303+H2297+H2291+H2285+H2279+H2273+H2267+H2261+H2255+H2249+H2309+H2315+H2321+H2327+H2333,"")</f>
        <v/>
      </c>
      <c r="G2338" s="19">
        <f>15/2</f>
        <v>7.5</v>
      </c>
      <c r="H2338" s="19"/>
    </row>
    <row r="2339" spans="1:8" ht="17" thickBot="1" x14ac:dyDescent="0.25">
      <c r="B2339" s="53"/>
      <c r="C2339" s="33"/>
      <c r="D2339" s="34"/>
      <c r="E2339" s="9"/>
      <c r="F2339" s="35" t="str">
        <f>IF(F2338&gt;G2338,G2337,H2337)</f>
        <v>APROBADO</v>
      </c>
      <c r="G2339" s="19"/>
      <c r="H2339" s="19"/>
    </row>
    <row r="2340" spans="1:8" ht="29" x14ac:dyDescent="0.35">
      <c r="B2340" s="54" t="s">
        <v>0</v>
      </c>
      <c r="C2340" s="113" t="s">
        <v>1555</v>
      </c>
      <c r="D2340" s="113"/>
      <c r="E2340" s="113"/>
      <c r="F2340" s="114"/>
    </row>
    <row r="2341" spans="1:8" s="17" customFormat="1" x14ac:dyDescent="0.2">
      <c r="A2341" s="4"/>
      <c r="B2341" s="49" t="s">
        <v>1556</v>
      </c>
      <c r="C2341" s="36"/>
      <c r="D2341" s="14"/>
      <c r="E2341" s="14"/>
      <c r="F2341" s="16"/>
      <c r="G2341" s="29"/>
      <c r="H2341" s="15"/>
    </row>
    <row r="2342" spans="1:8" x14ac:dyDescent="0.2">
      <c r="B2342" s="48"/>
      <c r="C2342" s="60" t="s">
        <v>1557</v>
      </c>
      <c r="D2342" s="44"/>
      <c r="E2342" s="69" t="s">
        <v>1034</v>
      </c>
      <c r="F2342" s="20"/>
      <c r="G2342" s="26"/>
      <c r="H2342" s="21" t="b">
        <f>IF(D2343="x",H$2,H$1)</f>
        <v>0</v>
      </c>
    </row>
    <row r="2343" spans="1:8" x14ac:dyDescent="0.2">
      <c r="B2343" s="48"/>
      <c r="C2343" s="61" t="s">
        <v>1558</v>
      </c>
      <c r="D2343" s="44"/>
      <c r="E2343" s="69" t="s">
        <v>1035</v>
      </c>
      <c r="F2343" s="22" t="str">
        <f>IF(H2344=1,IF(H2342=H$2,H2342,""),"")</f>
        <v/>
      </c>
      <c r="G2343" s="26"/>
      <c r="H2343" s="21" t="str">
        <f>IF(E$2581="comprobar",COUNTIF(D2342:D2346,"x"),"")</f>
        <v/>
      </c>
    </row>
    <row r="2344" spans="1:8" x14ac:dyDescent="0.2">
      <c r="B2344" s="48"/>
      <c r="C2344" s="61" t="s">
        <v>1559</v>
      </c>
      <c r="D2344" s="44"/>
      <c r="E2344" s="69" t="s">
        <v>1036</v>
      </c>
      <c r="F2344" s="23" t="str">
        <f>IF(H2344=-0.33,IF(H2342=H$1,H2342,""),"")</f>
        <v/>
      </c>
      <c r="G2344" s="26"/>
      <c r="H2344" s="24">
        <f>IF(H2343=1,IF(H2342=H$2,1,-0.33),0)</f>
        <v>0</v>
      </c>
    </row>
    <row r="2345" spans="1:8" x14ac:dyDescent="0.2">
      <c r="B2345" s="48"/>
      <c r="C2345" s="61" t="s">
        <v>1560</v>
      </c>
      <c r="D2345" s="44"/>
      <c r="E2345" s="69" t="s">
        <v>1037</v>
      </c>
      <c r="F2345" s="20"/>
      <c r="G2345" s="26"/>
      <c r="H2345" s="24"/>
    </row>
    <row r="2346" spans="1:8" x14ac:dyDescent="0.2">
      <c r="B2346" s="48"/>
      <c r="C2346" s="39"/>
      <c r="D2346" s="44"/>
      <c r="E2346" s="69" t="s">
        <v>1038</v>
      </c>
      <c r="F2346" s="20"/>
      <c r="G2346" s="19"/>
      <c r="H2346" s="24"/>
    </row>
    <row r="2347" spans="1:8" s="17" customFormat="1" x14ac:dyDescent="0.2">
      <c r="A2347" s="4"/>
      <c r="B2347" s="49" t="s">
        <v>1561</v>
      </c>
      <c r="C2347" s="36"/>
      <c r="D2347" s="45"/>
      <c r="E2347" s="14"/>
      <c r="F2347" s="16"/>
      <c r="G2347" s="29"/>
      <c r="H2347" s="15"/>
    </row>
    <row r="2348" spans="1:8" x14ac:dyDescent="0.2">
      <c r="B2348" s="48"/>
      <c r="C2348" s="60" t="s">
        <v>1562</v>
      </c>
      <c r="D2348" s="44"/>
      <c r="E2348" s="69" t="s">
        <v>1034</v>
      </c>
      <c r="F2348" s="20"/>
      <c r="G2348" s="26"/>
      <c r="H2348" s="21" t="b">
        <f>IF(D2351="x",H$2,H$1)</f>
        <v>0</v>
      </c>
    </row>
    <row r="2349" spans="1:8" x14ac:dyDescent="0.2">
      <c r="B2349" s="52"/>
      <c r="C2349" s="61" t="s">
        <v>1563</v>
      </c>
      <c r="D2349" s="44"/>
      <c r="E2349" s="69" t="s">
        <v>1035</v>
      </c>
      <c r="F2349" s="22" t="str">
        <f>IF(H2350=1,IF(H2348=H$2,H2348,""),"")</f>
        <v/>
      </c>
      <c r="G2349" s="26"/>
      <c r="H2349" s="21" t="str">
        <f>IF(E$2581="comprobar",COUNTIF(D2348:D2352,"x"),"")</f>
        <v/>
      </c>
    </row>
    <row r="2350" spans="1:8" x14ac:dyDescent="0.2">
      <c r="B2350" s="48"/>
      <c r="C2350" s="61" t="s">
        <v>1564</v>
      </c>
      <c r="D2350" s="44"/>
      <c r="E2350" s="69" t="s">
        <v>1036</v>
      </c>
      <c r="F2350" s="23" t="str">
        <f>IF(H2350=-0.33,IF(H2348=H$1,H2348,""),"")</f>
        <v/>
      </c>
      <c r="G2350" s="26"/>
      <c r="H2350" s="24">
        <f t="shared" ref="H2350" si="765">IF(H2349=1,IF(H2348=H$2,1,-0.33),0)</f>
        <v>0</v>
      </c>
    </row>
    <row r="2351" spans="1:8" x14ac:dyDescent="0.2">
      <c r="B2351" s="48"/>
      <c r="C2351" s="61" t="s">
        <v>1565</v>
      </c>
      <c r="D2351" s="44"/>
      <c r="E2351" s="69" t="s">
        <v>1037</v>
      </c>
      <c r="F2351" s="20"/>
      <c r="G2351" s="26"/>
      <c r="H2351" s="24"/>
    </row>
    <row r="2352" spans="1:8" x14ac:dyDescent="0.2">
      <c r="B2352" s="48"/>
      <c r="C2352" s="39"/>
      <c r="D2352" s="44"/>
      <c r="E2352" s="69" t="s">
        <v>1038</v>
      </c>
      <c r="F2352" s="20"/>
      <c r="G2352" s="19"/>
      <c r="H2352" s="24"/>
    </row>
    <row r="2353" spans="1:8" s="17" customFormat="1" x14ac:dyDescent="0.2">
      <c r="A2353" s="4"/>
      <c r="B2353" s="49" t="s">
        <v>1566</v>
      </c>
      <c r="C2353" s="36"/>
      <c r="D2353" s="45"/>
      <c r="E2353" s="14"/>
      <c r="F2353" s="16"/>
      <c r="G2353" s="29"/>
      <c r="H2353" s="15"/>
    </row>
    <row r="2354" spans="1:8" x14ac:dyDescent="0.2">
      <c r="B2354" s="52"/>
      <c r="C2354" s="60" t="s">
        <v>1466</v>
      </c>
      <c r="D2354" s="44"/>
      <c r="E2354" s="69" t="s">
        <v>1034</v>
      </c>
      <c r="F2354" s="20"/>
      <c r="G2354" s="26"/>
      <c r="H2354" s="21" t="b">
        <f>IF(D2355="x",H$2,H$1)</f>
        <v>0</v>
      </c>
    </row>
    <row r="2355" spans="1:8" x14ac:dyDescent="0.2">
      <c r="B2355" s="48"/>
      <c r="C2355" s="61" t="s">
        <v>1467</v>
      </c>
      <c r="D2355" s="44"/>
      <c r="E2355" s="69" t="s">
        <v>1035</v>
      </c>
      <c r="F2355" s="22" t="str">
        <f>IF(H2356=1,IF(H2354=H$2,H2354,""),"")</f>
        <v/>
      </c>
      <c r="G2355" s="26"/>
      <c r="H2355" s="21" t="str">
        <f>IF(E$2581="comprobar",COUNTIF(D2354:D2358,"x"),"")</f>
        <v/>
      </c>
    </row>
    <row r="2356" spans="1:8" x14ac:dyDescent="0.2">
      <c r="B2356" s="48"/>
      <c r="C2356" s="61" t="s">
        <v>1468</v>
      </c>
      <c r="D2356" s="44"/>
      <c r="E2356" s="69" t="s">
        <v>1036</v>
      </c>
      <c r="F2356" s="23" t="str">
        <f>IF(H2356=-0.33,IF(H2354=H$1,H2354,""),"")</f>
        <v/>
      </c>
      <c r="G2356" s="26"/>
      <c r="H2356" s="24">
        <f t="shared" ref="H2356" si="766">IF(H2355=1,IF(H2354=H$2,1,-0.33),0)</f>
        <v>0</v>
      </c>
    </row>
    <row r="2357" spans="1:8" x14ac:dyDescent="0.2">
      <c r="B2357" s="52"/>
      <c r="C2357" s="61" t="s">
        <v>1469</v>
      </c>
      <c r="D2357" s="44"/>
      <c r="E2357" s="69" t="s">
        <v>1037</v>
      </c>
      <c r="F2357" s="20"/>
      <c r="G2357" s="26"/>
      <c r="H2357" s="24"/>
    </row>
    <row r="2358" spans="1:8" x14ac:dyDescent="0.2">
      <c r="B2358" s="48"/>
      <c r="C2358" s="39"/>
      <c r="D2358" s="44"/>
      <c r="E2358" s="69" t="s">
        <v>1038</v>
      </c>
      <c r="F2358" s="20"/>
      <c r="G2358" s="19"/>
      <c r="H2358" s="24"/>
    </row>
    <row r="2359" spans="1:8" s="17" customFormat="1" x14ac:dyDescent="0.2">
      <c r="A2359" s="4"/>
      <c r="B2359" s="49" t="s">
        <v>1567</v>
      </c>
      <c r="C2359" s="36"/>
      <c r="D2359" s="45"/>
      <c r="E2359" s="14"/>
      <c r="F2359" s="16"/>
      <c r="G2359" s="29"/>
      <c r="H2359" s="15"/>
    </row>
    <row r="2360" spans="1:8" x14ac:dyDescent="0.2">
      <c r="B2360" s="48"/>
      <c r="C2360" s="60" t="s">
        <v>1568</v>
      </c>
      <c r="D2360" s="44"/>
      <c r="E2360" s="69" t="s">
        <v>1034</v>
      </c>
      <c r="F2360" s="20"/>
      <c r="G2360" s="26"/>
      <c r="H2360" s="21" t="b">
        <f>IF(D2361="x",H$2,H$1)</f>
        <v>0</v>
      </c>
    </row>
    <row r="2361" spans="1:8" x14ac:dyDescent="0.2">
      <c r="B2361" s="52"/>
      <c r="C2361" s="61" t="s">
        <v>1569</v>
      </c>
      <c r="D2361" s="44"/>
      <c r="E2361" s="69" t="s">
        <v>1035</v>
      </c>
      <c r="F2361" s="22" t="str">
        <f>IF(H2362=1,IF(H2360=H$2,H2360,""),"")</f>
        <v/>
      </c>
      <c r="G2361" s="26"/>
      <c r="H2361" s="21" t="str">
        <f>IF(E$2581="comprobar",COUNTIF(D2360:D2364,"x"),"")</f>
        <v/>
      </c>
    </row>
    <row r="2362" spans="1:8" x14ac:dyDescent="0.2">
      <c r="B2362" s="48"/>
      <c r="C2362" s="61" t="s">
        <v>1570</v>
      </c>
      <c r="D2362" s="44"/>
      <c r="E2362" s="69" t="s">
        <v>1036</v>
      </c>
      <c r="F2362" s="23" t="str">
        <f>IF(H2362=-0.33,IF(H2360=H$1,H2360,""),"")</f>
        <v/>
      </c>
      <c r="G2362" s="26"/>
      <c r="H2362" s="24">
        <f t="shared" ref="H2362" si="767">IF(H2361=1,IF(H2360=H$2,1,-0.33),0)</f>
        <v>0</v>
      </c>
    </row>
    <row r="2363" spans="1:8" x14ac:dyDescent="0.2">
      <c r="B2363" s="48"/>
      <c r="C2363" s="61" t="s">
        <v>1571</v>
      </c>
      <c r="D2363" s="44"/>
      <c r="E2363" s="69" t="s">
        <v>1037</v>
      </c>
      <c r="F2363" s="20"/>
      <c r="G2363" s="26"/>
      <c r="H2363" s="24"/>
    </row>
    <row r="2364" spans="1:8" x14ac:dyDescent="0.2">
      <c r="B2364" s="48"/>
      <c r="C2364" s="39"/>
      <c r="D2364" s="44"/>
      <c r="E2364" s="69" t="s">
        <v>1038</v>
      </c>
      <c r="F2364" s="20"/>
      <c r="G2364" s="19"/>
      <c r="H2364" s="24"/>
    </row>
    <row r="2365" spans="1:8" s="17" customFormat="1" x14ac:dyDescent="0.2">
      <c r="A2365" s="4"/>
      <c r="B2365" s="49" t="s">
        <v>1572</v>
      </c>
      <c r="C2365" s="36"/>
      <c r="D2365" s="45"/>
      <c r="E2365" s="14"/>
      <c r="F2365" s="16"/>
      <c r="G2365" s="29"/>
      <c r="H2365" s="15"/>
    </row>
    <row r="2366" spans="1:8" x14ac:dyDescent="0.2">
      <c r="B2366" s="48"/>
      <c r="C2366" s="60" t="s">
        <v>1573</v>
      </c>
      <c r="D2366" s="44"/>
      <c r="E2366" s="69" t="s">
        <v>1034</v>
      </c>
      <c r="F2366" s="20"/>
      <c r="G2366" s="26"/>
      <c r="H2366" s="21" t="b">
        <f>IF(D2367="x",H$2,H$1)</f>
        <v>0</v>
      </c>
    </row>
    <row r="2367" spans="1:8" x14ac:dyDescent="0.2">
      <c r="B2367" s="48"/>
      <c r="C2367" s="61" t="s">
        <v>1574</v>
      </c>
      <c r="D2367" s="44"/>
      <c r="E2367" s="69" t="s">
        <v>1035</v>
      </c>
      <c r="F2367" s="22" t="str">
        <f>IF(H2368=1,IF(H2366=H$2,H2366,""),"")</f>
        <v/>
      </c>
      <c r="G2367" s="26"/>
      <c r="H2367" s="21" t="str">
        <f>IF(E$2581="comprobar",COUNTIF(D2366:D2370,"x"),"")</f>
        <v/>
      </c>
    </row>
    <row r="2368" spans="1:8" x14ac:dyDescent="0.2">
      <c r="B2368" s="48"/>
      <c r="C2368" s="61" t="s">
        <v>1575</v>
      </c>
      <c r="D2368" s="44"/>
      <c r="E2368" s="69" t="s">
        <v>1036</v>
      </c>
      <c r="F2368" s="23" t="str">
        <f>IF(H2368=-0.33,IF(H2366=H$1,H2366,""),"")</f>
        <v/>
      </c>
      <c r="G2368" s="26"/>
      <c r="H2368" s="24">
        <f t="shared" ref="H2368" si="768">IF(H2367=1,IF(H2366=H$2,1,-0.33),0)</f>
        <v>0</v>
      </c>
    </row>
    <row r="2369" spans="1:8" x14ac:dyDescent="0.2">
      <c r="B2369" s="48"/>
      <c r="C2369" s="61" t="s">
        <v>1576</v>
      </c>
      <c r="D2369" s="44"/>
      <c r="E2369" s="69" t="s">
        <v>1037</v>
      </c>
      <c r="F2369" s="20"/>
      <c r="G2369" s="26"/>
      <c r="H2369" s="24"/>
    </row>
    <row r="2370" spans="1:8" x14ac:dyDescent="0.2">
      <c r="B2370" s="48"/>
      <c r="C2370" s="39"/>
      <c r="D2370" s="44"/>
      <c r="E2370" s="69" t="s">
        <v>1038</v>
      </c>
      <c r="F2370" s="20"/>
      <c r="G2370" s="19"/>
      <c r="H2370" s="24"/>
    </row>
    <row r="2371" spans="1:8" s="17" customFormat="1" x14ac:dyDescent="0.2">
      <c r="A2371" s="4"/>
      <c r="B2371" s="49" t="s">
        <v>1577</v>
      </c>
      <c r="C2371" s="36"/>
      <c r="D2371" s="45"/>
      <c r="E2371" s="14"/>
      <c r="F2371" s="16"/>
      <c r="G2371" s="29"/>
      <c r="H2371" s="15"/>
    </row>
    <row r="2372" spans="1:8" x14ac:dyDescent="0.2">
      <c r="B2372" s="52"/>
      <c r="C2372" s="60" t="s">
        <v>1578</v>
      </c>
      <c r="D2372" s="44"/>
      <c r="E2372" s="69" t="s">
        <v>1034</v>
      </c>
      <c r="F2372" s="20"/>
      <c r="G2372" s="26"/>
      <c r="H2372" s="21" t="b">
        <f>IF(D2375="x",H$2,H$1)</f>
        <v>0</v>
      </c>
    </row>
    <row r="2373" spans="1:8" x14ac:dyDescent="0.2">
      <c r="B2373" s="48"/>
      <c r="C2373" s="61" t="s">
        <v>1579</v>
      </c>
      <c r="D2373" s="44"/>
      <c r="E2373" s="69" t="s">
        <v>1035</v>
      </c>
      <c r="F2373" s="22" t="str">
        <f>IF(H2374=1,IF(H2372=H$2,H2372,""),"")</f>
        <v/>
      </c>
      <c r="G2373" s="26"/>
      <c r="H2373" s="21" t="str">
        <f>IF(E$2581="comprobar",COUNTIF(D2372:D2376,"x"),"")</f>
        <v/>
      </c>
    </row>
    <row r="2374" spans="1:8" x14ac:dyDescent="0.2">
      <c r="B2374" s="48"/>
      <c r="C2374" s="61" t="s">
        <v>1580</v>
      </c>
      <c r="D2374" s="44"/>
      <c r="E2374" s="69" t="s">
        <v>1036</v>
      </c>
      <c r="F2374" s="23" t="str">
        <f>IF(H2374=-0.33,IF(H2372=H$1,H2372,""),"")</f>
        <v/>
      </c>
      <c r="G2374" s="26"/>
      <c r="H2374" s="24">
        <f t="shared" ref="H2374" si="769">IF(H2373=1,IF(H2372=H$2,1,-0.33),0)</f>
        <v>0</v>
      </c>
    </row>
    <row r="2375" spans="1:8" x14ac:dyDescent="0.2">
      <c r="B2375" s="52"/>
      <c r="C2375" s="61" t="s">
        <v>605</v>
      </c>
      <c r="D2375" s="44"/>
      <c r="E2375" s="69" t="s">
        <v>1037</v>
      </c>
      <c r="F2375" s="20"/>
      <c r="G2375" s="26"/>
      <c r="H2375" s="24"/>
    </row>
    <row r="2376" spans="1:8" x14ac:dyDescent="0.2">
      <c r="B2376" s="48"/>
      <c r="C2376" s="39"/>
      <c r="D2376" s="44"/>
      <c r="E2376" s="69" t="s">
        <v>1038</v>
      </c>
      <c r="F2376" s="20"/>
      <c r="G2376" s="19"/>
      <c r="H2376" s="24"/>
    </row>
    <row r="2377" spans="1:8" s="17" customFormat="1" x14ac:dyDescent="0.2">
      <c r="A2377" s="4"/>
      <c r="B2377" s="49" t="s">
        <v>1581</v>
      </c>
      <c r="C2377" s="36"/>
      <c r="D2377" s="45"/>
      <c r="E2377" s="14"/>
      <c r="F2377" s="16"/>
      <c r="G2377" s="29"/>
      <c r="H2377" s="15"/>
    </row>
    <row r="2378" spans="1:8" x14ac:dyDescent="0.2">
      <c r="B2378" s="48"/>
      <c r="C2378" s="60" t="s">
        <v>1582</v>
      </c>
      <c r="D2378" s="44"/>
      <c r="E2378" s="69" t="s">
        <v>1034</v>
      </c>
      <c r="F2378" s="20"/>
      <c r="G2378" s="26"/>
      <c r="H2378" s="21" t="b">
        <f>IF(D2381="x",H$2,H$1)</f>
        <v>0</v>
      </c>
    </row>
    <row r="2379" spans="1:8" x14ac:dyDescent="0.2">
      <c r="B2379" s="52"/>
      <c r="C2379" s="61" t="s">
        <v>1583</v>
      </c>
      <c r="D2379" s="44"/>
      <c r="E2379" s="69" t="s">
        <v>1035</v>
      </c>
      <c r="F2379" s="22" t="str">
        <f>IF(H2380=1,IF(H2378=H$2,H2378,""),"")</f>
        <v/>
      </c>
      <c r="G2379" s="26"/>
      <c r="H2379" s="21" t="str">
        <f>IF(E$2581="comprobar",COUNTIF(D2378:D2382,"x"),"")</f>
        <v/>
      </c>
    </row>
    <row r="2380" spans="1:8" x14ac:dyDescent="0.2">
      <c r="B2380" s="52"/>
      <c r="C2380" s="61" t="s">
        <v>1584</v>
      </c>
      <c r="D2380" s="44"/>
      <c r="E2380" s="69" t="s">
        <v>1036</v>
      </c>
      <c r="F2380" s="23" t="str">
        <f>IF(H2380=-0.33,IF(H2378=H$1,H2378,""),"")</f>
        <v/>
      </c>
      <c r="G2380" s="26"/>
      <c r="H2380" s="24">
        <f t="shared" ref="H2380" si="770">IF(H2379=1,IF(H2378=H$2,1,-0.33),0)</f>
        <v>0</v>
      </c>
    </row>
    <row r="2381" spans="1:8" x14ac:dyDescent="0.2">
      <c r="B2381" s="48"/>
      <c r="C2381" s="61" t="s">
        <v>1585</v>
      </c>
      <c r="D2381" s="44"/>
      <c r="E2381" s="69" t="s">
        <v>1037</v>
      </c>
      <c r="F2381" s="20"/>
      <c r="G2381" s="26"/>
      <c r="H2381" s="24"/>
    </row>
    <row r="2382" spans="1:8" x14ac:dyDescent="0.2">
      <c r="B2382" s="48"/>
      <c r="C2382" s="39"/>
      <c r="D2382" s="44"/>
      <c r="E2382" s="69" t="s">
        <v>1038</v>
      </c>
      <c r="F2382" s="20"/>
      <c r="G2382" s="19"/>
      <c r="H2382" s="24"/>
    </row>
    <row r="2383" spans="1:8" s="17" customFormat="1" x14ac:dyDescent="0.2">
      <c r="A2383" s="4"/>
      <c r="B2383" s="49" t="s">
        <v>1586</v>
      </c>
      <c r="C2383" s="36"/>
      <c r="D2383" s="45"/>
      <c r="E2383" s="14"/>
      <c r="F2383" s="16"/>
      <c r="G2383" s="29"/>
      <c r="H2383" s="15"/>
    </row>
    <row r="2384" spans="1:8" x14ac:dyDescent="0.2">
      <c r="B2384" s="52"/>
      <c r="C2384" s="60" t="s">
        <v>1587</v>
      </c>
      <c r="D2384" s="44"/>
      <c r="E2384" s="69" t="s">
        <v>1034</v>
      </c>
      <c r="F2384" s="20"/>
      <c r="G2384" s="26"/>
      <c r="H2384" s="21" t="b">
        <f>IF(D2387="x",H$2,H$1)</f>
        <v>0</v>
      </c>
    </row>
    <row r="2385" spans="1:8" x14ac:dyDescent="0.2">
      <c r="B2385" s="48"/>
      <c r="C2385" s="61" t="s">
        <v>1588</v>
      </c>
      <c r="D2385" s="44"/>
      <c r="E2385" s="69" t="s">
        <v>1035</v>
      </c>
      <c r="F2385" s="22" t="str">
        <f>IF(H2386=1,IF(H2384=H$2,H2384,""),"")</f>
        <v/>
      </c>
      <c r="G2385" s="26"/>
      <c r="H2385" s="21" t="str">
        <f>IF(E$2581="comprobar",COUNTIF(D2384:D2388,"x"),"")</f>
        <v/>
      </c>
    </row>
    <row r="2386" spans="1:8" x14ac:dyDescent="0.2">
      <c r="B2386" s="52"/>
      <c r="C2386" s="61" t="s">
        <v>1589</v>
      </c>
      <c r="D2386" s="44"/>
      <c r="E2386" s="69" t="s">
        <v>1036</v>
      </c>
      <c r="F2386" s="23" t="str">
        <f>IF(H2386=-0.33,IF(H2384=H$1,H2384,""),"")</f>
        <v/>
      </c>
      <c r="G2386" s="26"/>
      <c r="H2386" s="24">
        <f t="shared" ref="H2386" si="771">IF(H2385=1,IF(H2384=H$2,1,-0.33),0)</f>
        <v>0</v>
      </c>
    </row>
    <row r="2387" spans="1:8" x14ac:dyDescent="0.2">
      <c r="B2387" s="48"/>
      <c r="C2387" s="61" t="s">
        <v>605</v>
      </c>
      <c r="D2387" s="44"/>
      <c r="E2387" s="69" t="s">
        <v>1037</v>
      </c>
      <c r="F2387" s="20"/>
      <c r="G2387" s="26"/>
      <c r="H2387" s="24"/>
    </row>
    <row r="2388" spans="1:8" x14ac:dyDescent="0.2">
      <c r="B2388" s="48"/>
      <c r="C2388" s="39"/>
      <c r="D2388" s="44"/>
      <c r="E2388" s="69" t="s">
        <v>1038</v>
      </c>
      <c r="F2388" s="20"/>
      <c r="G2388" s="19"/>
      <c r="H2388" s="24"/>
    </row>
    <row r="2389" spans="1:8" s="17" customFormat="1" x14ac:dyDescent="0.2">
      <c r="A2389" s="4"/>
      <c r="B2389" s="49" t="s">
        <v>1590</v>
      </c>
      <c r="C2389" s="36"/>
      <c r="D2389" s="45"/>
      <c r="E2389" s="14"/>
      <c r="F2389" s="16"/>
      <c r="G2389" s="29"/>
      <c r="H2389" s="15"/>
    </row>
    <row r="2390" spans="1:8" x14ac:dyDescent="0.2">
      <c r="B2390" s="52"/>
      <c r="C2390" s="60" t="s">
        <v>1591</v>
      </c>
      <c r="D2390" s="44"/>
      <c r="E2390" s="69" t="s">
        <v>1034</v>
      </c>
      <c r="F2390" s="20"/>
      <c r="G2390" s="26"/>
      <c r="H2390" s="21" t="b">
        <f>IF(D2391="x",H$2,H$1)</f>
        <v>0</v>
      </c>
    </row>
    <row r="2391" spans="1:8" x14ac:dyDescent="0.2">
      <c r="B2391" s="48"/>
      <c r="C2391" s="61" t="s">
        <v>1592</v>
      </c>
      <c r="D2391" s="44"/>
      <c r="E2391" s="69" t="s">
        <v>1035</v>
      </c>
      <c r="F2391" s="22" t="str">
        <f>IF(H2392=1,IF(H2390=H$2,H2390,""),"")</f>
        <v/>
      </c>
      <c r="G2391" s="26"/>
      <c r="H2391" s="21" t="str">
        <f>IF(E$2581="comprobar",COUNTIF(D2390:D2394,"x"),"")</f>
        <v/>
      </c>
    </row>
    <row r="2392" spans="1:8" x14ac:dyDescent="0.2">
      <c r="B2392" s="48"/>
      <c r="C2392" s="61" t="s">
        <v>1593</v>
      </c>
      <c r="D2392" s="44"/>
      <c r="E2392" s="69" t="s">
        <v>1036</v>
      </c>
      <c r="F2392" s="23" t="str">
        <f>IF(H2392=-0.33,IF(H2390=H$1,H2390,""),"")</f>
        <v/>
      </c>
      <c r="G2392" s="26"/>
      <c r="H2392" s="24">
        <f t="shared" ref="H2392" si="772">IF(H2391=1,IF(H2390=H$2,1,-0.33),0)</f>
        <v>0</v>
      </c>
    </row>
    <row r="2393" spans="1:8" x14ac:dyDescent="0.2">
      <c r="B2393" s="48"/>
      <c r="C2393" s="61" t="s">
        <v>1594</v>
      </c>
      <c r="D2393" s="44"/>
      <c r="E2393" s="69" t="s">
        <v>1037</v>
      </c>
      <c r="F2393" s="20"/>
      <c r="G2393" s="26"/>
      <c r="H2393" s="24"/>
    </row>
    <row r="2394" spans="1:8" x14ac:dyDescent="0.2">
      <c r="B2394" s="48"/>
      <c r="C2394" s="39"/>
      <c r="D2394" s="44"/>
      <c r="E2394" s="69" t="s">
        <v>1038</v>
      </c>
      <c r="F2394" s="12"/>
      <c r="G2394" s="19"/>
      <c r="H2394" s="24"/>
    </row>
    <row r="2395" spans="1:8" s="17" customFormat="1" x14ac:dyDescent="0.2">
      <c r="A2395" s="4"/>
      <c r="B2395" s="49" t="s">
        <v>1595</v>
      </c>
      <c r="C2395" s="36"/>
      <c r="D2395" s="45"/>
      <c r="E2395" s="14"/>
      <c r="F2395" s="30"/>
      <c r="G2395" s="29"/>
      <c r="H2395" s="15"/>
    </row>
    <row r="2396" spans="1:8" x14ac:dyDescent="0.2">
      <c r="B2396" s="48"/>
      <c r="C2396" s="60" t="s">
        <v>1596</v>
      </c>
      <c r="D2396" s="44"/>
      <c r="E2396" s="69" t="s">
        <v>1034</v>
      </c>
      <c r="F2396" s="27"/>
      <c r="G2396" s="26"/>
      <c r="H2396" s="21" t="b">
        <f>IF(D2398="x",H$2,H$1)</f>
        <v>0</v>
      </c>
    </row>
    <row r="2397" spans="1:8" x14ac:dyDescent="0.2">
      <c r="B2397" s="48"/>
      <c r="C2397" s="61" t="s">
        <v>1597</v>
      </c>
      <c r="D2397" s="44"/>
      <c r="E2397" s="69" t="s">
        <v>1035</v>
      </c>
      <c r="F2397" s="22" t="str">
        <f>IF(H2398=1,IF(H2396=H$2,H2396,""),"")</f>
        <v/>
      </c>
      <c r="G2397" s="26"/>
      <c r="H2397" s="21" t="str">
        <f>IF(E$2581="comprobar",COUNTIF(D2396:D2400,"x"),"")</f>
        <v/>
      </c>
    </row>
    <row r="2398" spans="1:8" x14ac:dyDescent="0.2">
      <c r="B2398" s="52"/>
      <c r="C2398" s="61" t="s">
        <v>1598</v>
      </c>
      <c r="D2398" s="44"/>
      <c r="E2398" s="69" t="s">
        <v>1036</v>
      </c>
      <c r="F2398" s="23" t="str">
        <f>IF(H2398=-0.33,IF(H2396=H$1,H2396,""),"")</f>
        <v/>
      </c>
      <c r="G2398" s="26"/>
      <c r="H2398" s="24">
        <f t="shared" ref="H2398" si="773">IF(H2397=1,IF(H2396=H$2,1,-0.33),0)</f>
        <v>0</v>
      </c>
    </row>
    <row r="2399" spans="1:8" x14ac:dyDescent="0.2">
      <c r="B2399" s="48"/>
      <c r="C2399" s="61" t="s">
        <v>1571</v>
      </c>
      <c r="D2399" s="44"/>
      <c r="E2399" s="69" t="s">
        <v>1037</v>
      </c>
      <c r="F2399" s="28"/>
      <c r="G2399" s="26"/>
      <c r="H2399" s="24"/>
    </row>
    <row r="2400" spans="1:8" x14ac:dyDescent="0.2">
      <c r="B2400" s="48"/>
      <c r="C2400" s="39"/>
      <c r="D2400" s="44"/>
      <c r="E2400" s="69" t="s">
        <v>1038</v>
      </c>
      <c r="F2400" s="28"/>
      <c r="G2400" s="19"/>
      <c r="H2400" s="24"/>
    </row>
    <row r="2401" spans="1:8" s="17" customFormat="1" x14ac:dyDescent="0.2">
      <c r="A2401" s="4"/>
      <c r="B2401" s="49" t="s">
        <v>1599</v>
      </c>
      <c r="C2401" s="36"/>
      <c r="D2401" s="45"/>
      <c r="E2401" s="14"/>
      <c r="F2401" s="30"/>
      <c r="G2401" s="29"/>
      <c r="H2401" s="15"/>
    </row>
    <row r="2402" spans="1:8" x14ac:dyDescent="0.2">
      <c r="B2402" s="48"/>
      <c r="C2402" s="60" t="s">
        <v>1600</v>
      </c>
      <c r="D2402" s="44"/>
      <c r="E2402" s="69" t="s">
        <v>1034</v>
      </c>
      <c r="F2402" s="27"/>
      <c r="G2402" s="26"/>
      <c r="H2402" s="21" t="b">
        <f>IF(D2405="x",H$2,H$1)</f>
        <v>0</v>
      </c>
    </row>
    <row r="2403" spans="1:8" x14ac:dyDescent="0.2">
      <c r="B2403" s="48"/>
      <c r="C2403" s="61" t="s">
        <v>1601</v>
      </c>
      <c r="D2403" s="44"/>
      <c r="E2403" s="69" t="s">
        <v>1035</v>
      </c>
      <c r="F2403" s="22" t="str">
        <f>IF(H2404=1,IF(H2402=H$2,H2402,""),"")</f>
        <v/>
      </c>
      <c r="G2403" s="26"/>
      <c r="H2403" s="21" t="str">
        <f>IF(E$2581="comprobar",COUNTIF(D2402:D2406,"x"),"")</f>
        <v/>
      </c>
    </row>
    <row r="2404" spans="1:8" x14ac:dyDescent="0.2">
      <c r="B2404" s="52"/>
      <c r="C2404" s="61" t="s">
        <v>1602</v>
      </c>
      <c r="D2404" s="44"/>
      <c r="E2404" s="69" t="s">
        <v>1036</v>
      </c>
      <c r="F2404" s="23" t="str">
        <f>IF(H2404=-0.33,IF(H2402=H$1,H2402,""),"")</f>
        <v/>
      </c>
      <c r="G2404" s="26"/>
      <c r="H2404" s="24">
        <f t="shared" ref="H2404" si="774">IF(H2403=1,IF(H2402=H$2,1,-0.33),0)</f>
        <v>0</v>
      </c>
    </row>
    <row r="2405" spans="1:8" x14ac:dyDescent="0.2">
      <c r="B2405" s="48"/>
      <c r="C2405" s="61" t="s">
        <v>1603</v>
      </c>
      <c r="D2405" s="44"/>
      <c r="E2405" s="69" t="s">
        <v>1037</v>
      </c>
      <c r="F2405" s="20"/>
      <c r="G2405" s="26"/>
      <c r="H2405" s="24"/>
    </row>
    <row r="2406" spans="1:8" x14ac:dyDescent="0.2">
      <c r="B2406" s="48"/>
      <c r="C2406" s="39"/>
      <c r="D2406" s="44"/>
      <c r="E2406" s="69" t="s">
        <v>1038</v>
      </c>
      <c r="F2406" s="28"/>
      <c r="G2406" s="19"/>
      <c r="H2406" s="24"/>
    </row>
    <row r="2407" spans="1:8" s="17" customFormat="1" x14ac:dyDescent="0.2">
      <c r="A2407" s="4"/>
      <c r="B2407" s="49" t="s">
        <v>1604</v>
      </c>
      <c r="C2407" s="36"/>
      <c r="D2407" s="45"/>
      <c r="E2407" s="14"/>
      <c r="F2407" s="30"/>
      <c r="G2407" s="29"/>
      <c r="H2407" s="15"/>
    </row>
    <row r="2408" spans="1:8" x14ac:dyDescent="0.2">
      <c r="B2408" s="48"/>
      <c r="C2408" s="60" t="s">
        <v>1605</v>
      </c>
      <c r="D2408" s="44"/>
      <c r="E2408" s="69" t="s">
        <v>1034</v>
      </c>
      <c r="F2408" s="27"/>
      <c r="G2408" s="26"/>
      <c r="H2408" s="21" t="b">
        <f>IF(D2411="x",H$2,H$1)</f>
        <v>0</v>
      </c>
    </row>
    <row r="2409" spans="1:8" x14ac:dyDescent="0.2">
      <c r="B2409" s="48"/>
      <c r="C2409" s="61" t="s">
        <v>1606</v>
      </c>
      <c r="D2409" s="44"/>
      <c r="E2409" s="69" t="s">
        <v>1035</v>
      </c>
      <c r="F2409" s="22" t="str">
        <f>IF(H2410=1,IF(H2408=H$2,H2408,""),"")</f>
        <v/>
      </c>
      <c r="G2409" s="26"/>
      <c r="H2409" s="21" t="str">
        <f>IF(E$2581="comprobar",COUNTIF(D2408:D2412,"x"),"")</f>
        <v/>
      </c>
    </row>
    <row r="2410" spans="1:8" x14ac:dyDescent="0.2">
      <c r="B2410" s="48"/>
      <c r="C2410" s="61" t="s">
        <v>1607</v>
      </c>
      <c r="D2410" s="44"/>
      <c r="E2410" s="69" t="s">
        <v>1036</v>
      </c>
      <c r="F2410" s="23" t="str">
        <f>IF(H2410=-0.33,IF(H2408=H$1,H2408,""),"")</f>
        <v/>
      </c>
      <c r="G2410" s="26"/>
      <c r="H2410" s="24">
        <f t="shared" ref="H2410" si="775">IF(H2409=1,IF(H2408=H$2,1,-0.33),0)</f>
        <v>0</v>
      </c>
    </row>
    <row r="2411" spans="1:8" x14ac:dyDescent="0.2">
      <c r="B2411" s="48"/>
      <c r="C2411" s="61" t="s">
        <v>1469</v>
      </c>
      <c r="D2411" s="44"/>
      <c r="E2411" s="69" t="s">
        <v>1037</v>
      </c>
      <c r="F2411" s="28"/>
      <c r="G2411" s="26"/>
      <c r="H2411" s="24"/>
    </row>
    <row r="2412" spans="1:8" x14ac:dyDescent="0.2">
      <c r="B2412" s="48"/>
      <c r="C2412" s="39"/>
      <c r="D2412" s="44"/>
      <c r="E2412" s="69" t="s">
        <v>1038</v>
      </c>
      <c r="F2412" s="28"/>
      <c r="G2412" s="19"/>
      <c r="H2412" s="24"/>
    </row>
    <row r="2413" spans="1:8" s="17" customFormat="1" x14ac:dyDescent="0.2">
      <c r="A2413" s="4"/>
      <c r="B2413" s="49" t="s">
        <v>1608</v>
      </c>
      <c r="C2413" s="36"/>
      <c r="D2413" s="45"/>
      <c r="E2413" s="14"/>
      <c r="F2413" s="16"/>
      <c r="G2413" s="29"/>
      <c r="H2413" s="15"/>
    </row>
    <row r="2414" spans="1:8" x14ac:dyDescent="0.2">
      <c r="B2414" s="48"/>
      <c r="C2414" s="60" t="s">
        <v>1609</v>
      </c>
      <c r="D2414" s="44"/>
      <c r="E2414" s="69" t="s">
        <v>1034</v>
      </c>
      <c r="F2414" s="20"/>
      <c r="G2414" s="26"/>
      <c r="H2414" s="21" t="b">
        <f>IF(D2415="x",H$2,H$1)</f>
        <v>0</v>
      </c>
    </row>
    <row r="2415" spans="1:8" x14ac:dyDescent="0.2">
      <c r="B2415" s="52"/>
      <c r="C2415" s="61" t="s">
        <v>1610</v>
      </c>
      <c r="D2415" s="44"/>
      <c r="E2415" s="69" t="s">
        <v>1035</v>
      </c>
      <c r="F2415" s="22" t="str">
        <f>IF(H2416=1,IF(H2414=H$2,H2414,""),"")</f>
        <v/>
      </c>
      <c r="G2415" s="26"/>
      <c r="H2415" s="21" t="str">
        <f>IF(E$2581="comprobar",COUNTIF(D2414:D2418,"x"),"")</f>
        <v/>
      </c>
    </row>
    <row r="2416" spans="1:8" x14ac:dyDescent="0.2">
      <c r="B2416" s="52"/>
      <c r="C2416" s="61" t="s">
        <v>1611</v>
      </c>
      <c r="D2416" s="44"/>
      <c r="E2416" s="69" t="s">
        <v>1036</v>
      </c>
      <c r="F2416" s="23" t="str">
        <f>IF(H2416=-0.33,IF(H2414=H$1,H2414,""),"")</f>
        <v/>
      </c>
      <c r="G2416" s="26"/>
      <c r="H2416" s="24">
        <f t="shared" ref="H2416" si="776">IF(H2415=1,IF(H2414=H$2,1,-0.33),0)</f>
        <v>0</v>
      </c>
    </row>
    <row r="2417" spans="1:8" x14ac:dyDescent="0.2">
      <c r="B2417" s="48"/>
      <c r="C2417" s="61" t="s">
        <v>1612</v>
      </c>
      <c r="D2417" s="44"/>
      <c r="E2417" s="69" t="s">
        <v>1037</v>
      </c>
      <c r="F2417" s="20"/>
      <c r="G2417" s="26"/>
      <c r="H2417" s="24"/>
    </row>
    <row r="2418" spans="1:8" x14ac:dyDescent="0.2">
      <c r="B2418" s="48"/>
      <c r="C2418" s="39"/>
      <c r="D2418" s="44"/>
      <c r="E2418" s="69" t="s">
        <v>1038</v>
      </c>
      <c r="F2418" s="20"/>
      <c r="G2418" s="19"/>
      <c r="H2418" s="24"/>
    </row>
    <row r="2419" spans="1:8" s="17" customFormat="1" x14ac:dyDescent="0.2">
      <c r="A2419" s="4"/>
      <c r="B2419" s="49" t="s">
        <v>1613</v>
      </c>
      <c r="C2419" s="36"/>
      <c r="D2419" s="45"/>
      <c r="E2419" s="14"/>
      <c r="F2419" s="30"/>
      <c r="G2419" s="29"/>
      <c r="H2419" s="15"/>
    </row>
    <row r="2420" spans="1:8" x14ac:dyDescent="0.2">
      <c r="B2420" s="48"/>
      <c r="C2420" s="60" t="s">
        <v>1614</v>
      </c>
      <c r="D2420" s="44"/>
      <c r="E2420" s="69" t="s">
        <v>1034</v>
      </c>
      <c r="F2420" s="27"/>
      <c r="G2420" s="26"/>
      <c r="H2420" s="21" t="b">
        <f>IF(D2422="x",H$2,H$1)</f>
        <v>0</v>
      </c>
    </row>
    <row r="2421" spans="1:8" x14ac:dyDescent="0.2">
      <c r="B2421" s="48"/>
      <c r="C2421" s="61" t="s">
        <v>1615</v>
      </c>
      <c r="D2421" s="44"/>
      <c r="E2421" s="69" t="s">
        <v>1035</v>
      </c>
      <c r="F2421" s="22" t="str">
        <f>IF(H2422=1,IF(H2420=H$2,H2420,""),"")</f>
        <v/>
      </c>
      <c r="G2421" s="26"/>
      <c r="H2421" s="21" t="str">
        <f>IF(E$2581="comprobar",COUNTIF(D2420:D2424,"x"),"")</f>
        <v/>
      </c>
    </row>
    <row r="2422" spans="1:8" x14ac:dyDescent="0.2">
      <c r="B2422" s="48"/>
      <c r="C2422" s="61" t="s">
        <v>1616</v>
      </c>
      <c r="D2422" s="44"/>
      <c r="E2422" s="69" t="s">
        <v>1036</v>
      </c>
      <c r="F2422" s="23" t="str">
        <f>IF(H2422=-0.33,IF(H2420=H$1,H2420,""),"")</f>
        <v/>
      </c>
      <c r="G2422" s="26"/>
      <c r="H2422" s="24">
        <f t="shared" ref="H2422" si="777">IF(H2421=1,IF(H2420=H$2,1,-0.33),0)</f>
        <v>0</v>
      </c>
    </row>
    <row r="2423" spans="1:8" x14ac:dyDescent="0.2">
      <c r="B2423" s="48"/>
      <c r="C2423" s="61" t="s">
        <v>1617</v>
      </c>
      <c r="D2423" s="44"/>
      <c r="E2423" s="69" t="s">
        <v>1037</v>
      </c>
      <c r="F2423" s="28"/>
      <c r="G2423" s="26"/>
      <c r="H2423" s="24"/>
    </row>
    <row r="2424" spans="1:8" x14ac:dyDescent="0.2">
      <c r="B2424" s="48"/>
      <c r="C2424" s="39"/>
      <c r="D2424" s="44"/>
      <c r="E2424" s="69" t="s">
        <v>1038</v>
      </c>
      <c r="F2424" s="28"/>
      <c r="G2424" s="19"/>
      <c r="H2424" s="24"/>
    </row>
    <row r="2425" spans="1:8" s="17" customFormat="1" x14ac:dyDescent="0.2">
      <c r="A2425" s="4"/>
      <c r="B2425" s="49" t="s">
        <v>1618</v>
      </c>
      <c r="C2425" s="36"/>
      <c r="D2425" s="45"/>
      <c r="E2425" s="14"/>
      <c r="F2425" s="30"/>
      <c r="G2425" s="29"/>
      <c r="H2425" s="15"/>
    </row>
    <row r="2426" spans="1:8" x14ac:dyDescent="0.2">
      <c r="B2426" s="48"/>
      <c r="C2426" s="60" t="s">
        <v>1619</v>
      </c>
      <c r="D2426" s="44"/>
      <c r="E2426" s="69" t="s">
        <v>1034</v>
      </c>
      <c r="F2426" s="28"/>
      <c r="G2426" s="26"/>
      <c r="H2426" s="21" t="b">
        <f>IF(D2427="x",H$2,H$1)</f>
        <v>0</v>
      </c>
    </row>
    <row r="2427" spans="1:8" x14ac:dyDescent="0.2">
      <c r="B2427" s="52"/>
      <c r="C2427" s="61" t="s">
        <v>1620</v>
      </c>
      <c r="D2427" s="44"/>
      <c r="E2427" s="69" t="s">
        <v>1035</v>
      </c>
      <c r="F2427" s="22" t="str">
        <f>IF(H2428=1,IF(H2426=H$2,H2426,""),"")</f>
        <v/>
      </c>
      <c r="G2427" s="26"/>
      <c r="H2427" s="21" t="str">
        <f>IF(E$2581="comprobar",COUNTIF(D2426:D2430,"x"),"")</f>
        <v/>
      </c>
    </row>
    <row r="2428" spans="1:8" x14ac:dyDescent="0.2">
      <c r="B2428" s="48"/>
      <c r="C2428" s="61" t="s">
        <v>1621</v>
      </c>
      <c r="D2428" s="44"/>
      <c r="E2428" s="69" t="s">
        <v>1036</v>
      </c>
      <c r="F2428" s="23" t="str">
        <f>IF(H2428=-0.33,IF(H2426=H$1,H2426,""),"")</f>
        <v/>
      </c>
      <c r="G2428" s="26"/>
      <c r="H2428" s="24">
        <f t="shared" ref="H2428" si="778">IF(H2427=1,IF(H2426=H$2,1,-0.33),0)</f>
        <v>0</v>
      </c>
    </row>
    <row r="2429" spans="1:8" x14ac:dyDescent="0.2">
      <c r="B2429" s="48"/>
      <c r="C2429" s="61" t="s">
        <v>1622</v>
      </c>
      <c r="D2429" s="44"/>
      <c r="E2429" s="69" t="s">
        <v>1037</v>
      </c>
      <c r="F2429" s="28"/>
      <c r="G2429" s="26"/>
      <c r="H2429" s="24"/>
    </row>
    <row r="2430" spans="1:8" x14ac:dyDescent="0.2">
      <c r="B2430" s="48"/>
      <c r="C2430" s="39"/>
      <c r="D2430" s="44"/>
      <c r="E2430" s="69" t="s">
        <v>1038</v>
      </c>
      <c r="F2430" s="28"/>
      <c r="G2430" s="19"/>
      <c r="H2430" s="24"/>
    </row>
    <row r="2431" spans="1:8" s="17" customFormat="1" x14ac:dyDescent="0.2">
      <c r="A2431" s="4"/>
      <c r="B2431" s="49" t="s">
        <v>1623</v>
      </c>
      <c r="C2431" s="36"/>
      <c r="D2431" s="45"/>
      <c r="E2431" s="14"/>
      <c r="F2431" s="30"/>
      <c r="G2431" s="29"/>
      <c r="H2431" s="15"/>
    </row>
    <row r="2432" spans="1:8" x14ac:dyDescent="0.2">
      <c r="B2432" s="52"/>
      <c r="C2432" s="60" t="s">
        <v>1624</v>
      </c>
      <c r="D2432" s="44"/>
      <c r="E2432" s="69" t="s">
        <v>1034</v>
      </c>
      <c r="F2432" s="27"/>
      <c r="G2432" s="26"/>
      <c r="H2432" s="21" t="b">
        <f>IF(D2432="x",H$2,H$1)</f>
        <v>0</v>
      </c>
    </row>
    <row r="2433" spans="1:8" x14ac:dyDescent="0.2">
      <c r="B2433" s="48"/>
      <c r="C2433" s="61" t="s">
        <v>1625</v>
      </c>
      <c r="D2433" s="44"/>
      <c r="E2433" s="69" t="s">
        <v>1035</v>
      </c>
      <c r="F2433" s="22" t="str">
        <f>IF(H2434=1,IF(H2432=H$2,H2432,""),"")</f>
        <v/>
      </c>
      <c r="G2433" s="26"/>
      <c r="H2433" s="21" t="str">
        <f>IF(E$2581="comprobar",COUNTIF(D2432:D2436,"x"),"")</f>
        <v/>
      </c>
    </row>
    <row r="2434" spans="1:8" x14ac:dyDescent="0.2">
      <c r="B2434" s="48"/>
      <c r="C2434" s="61" t="s">
        <v>1626</v>
      </c>
      <c r="D2434" s="44"/>
      <c r="E2434" s="69" t="s">
        <v>1036</v>
      </c>
      <c r="F2434" s="23" t="str">
        <f>IF(H2434=-0.33,IF(H2432=H$1,H2432,""),"")</f>
        <v/>
      </c>
      <c r="G2434" s="26"/>
      <c r="H2434" s="24">
        <f t="shared" ref="H2434" si="779">IF(H2433=1,IF(H2432=H$2,1,-0.33),0)</f>
        <v>0</v>
      </c>
    </row>
    <row r="2435" spans="1:8" x14ac:dyDescent="0.2">
      <c r="B2435" s="52"/>
      <c r="C2435" s="61" t="s">
        <v>605</v>
      </c>
      <c r="D2435" s="44"/>
      <c r="E2435" s="69" t="s">
        <v>1037</v>
      </c>
      <c r="F2435" s="28"/>
      <c r="G2435" s="26"/>
      <c r="H2435" s="24"/>
    </row>
    <row r="2436" spans="1:8" x14ac:dyDescent="0.2">
      <c r="B2436" s="48"/>
      <c r="C2436" s="39"/>
      <c r="D2436" s="44"/>
      <c r="E2436" s="69" t="s">
        <v>1038</v>
      </c>
      <c r="F2436" s="28"/>
      <c r="G2436" s="19"/>
      <c r="H2436" s="24"/>
    </row>
    <row r="2437" spans="1:8" s="17" customFormat="1" x14ac:dyDescent="0.2">
      <c r="A2437" s="4"/>
      <c r="B2437" s="49" t="s">
        <v>1627</v>
      </c>
      <c r="C2437" s="36"/>
      <c r="D2437" s="45"/>
      <c r="E2437" s="14"/>
      <c r="F2437" s="30"/>
      <c r="G2437" s="29"/>
      <c r="H2437" s="15"/>
    </row>
    <row r="2438" spans="1:8" x14ac:dyDescent="0.2">
      <c r="B2438" s="52"/>
      <c r="C2438" s="60" t="s">
        <v>1628</v>
      </c>
      <c r="D2438" s="44"/>
      <c r="E2438" s="69" t="s">
        <v>1034</v>
      </c>
      <c r="F2438" s="28"/>
      <c r="G2438" s="26"/>
      <c r="H2438" s="21" t="b">
        <f>IF(D2440="x",H$2,H$1)</f>
        <v>0</v>
      </c>
    </row>
    <row r="2439" spans="1:8" x14ac:dyDescent="0.2">
      <c r="B2439" s="48"/>
      <c r="C2439" s="61" t="s">
        <v>1629</v>
      </c>
      <c r="D2439" s="44"/>
      <c r="E2439" s="69" t="s">
        <v>1035</v>
      </c>
      <c r="F2439" s="22" t="str">
        <f>IF(H2440=1,IF(H2438=H$2,H2438,""),"")</f>
        <v/>
      </c>
      <c r="G2439" s="26"/>
      <c r="H2439" s="21" t="str">
        <f>IF(E$2581="comprobar",COUNTIF(D2438:D2442,"x"),"")</f>
        <v/>
      </c>
    </row>
    <row r="2440" spans="1:8" x14ac:dyDescent="0.2">
      <c r="B2440" s="48"/>
      <c r="C2440" s="61" t="s">
        <v>1630</v>
      </c>
      <c r="D2440" s="44"/>
      <c r="E2440" s="69" t="s">
        <v>1036</v>
      </c>
      <c r="F2440" s="23" t="str">
        <f>IF(H2440=-0.33,IF(H2438=H$1,H2438,""),"")</f>
        <v/>
      </c>
      <c r="G2440" s="26"/>
      <c r="H2440" s="24">
        <f t="shared" ref="H2440" si="780">IF(H2439=1,IF(H2438=H$2,1,-0.33),0)</f>
        <v>0</v>
      </c>
    </row>
    <row r="2441" spans="1:8" x14ac:dyDescent="0.2">
      <c r="B2441" s="48"/>
      <c r="C2441" s="61" t="s">
        <v>595</v>
      </c>
      <c r="D2441" s="44"/>
      <c r="E2441" s="69" t="s">
        <v>1037</v>
      </c>
      <c r="F2441" s="28"/>
      <c r="G2441" s="26"/>
      <c r="H2441" s="24"/>
    </row>
    <row r="2442" spans="1:8" x14ac:dyDescent="0.2">
      <c r="B2442" s="48"/>
      <c r="C2442" s="39"/>
      <c r="D2442" s="44"/>
      <c r="E2442" s="69" t="s">
        <v>1038</v>
      </c>
      <c r="F2442" s="28"/>
      <c r="G2442" s="19"/>
      <c r="H2442" s="24"/>
    </row>
    <row r="2443" spans="1:8" s="17" customFormat="1" x14ac:dyDescent="0.2">
      <c r="A2443" s="4"/>
      <c r="B2443" s="49" t="s">
        <v>1631</v>
      </c>
      <c r="C2443" s="36"/>
      <c r="D2443" s="45"/>
      <c r="E2443" s="14"/>
      <c r="F2443" s="30"/>
      <c r="G2443" s="29"/>
      <c r="H2443" s="15"/>
    </row>
    <row r="2444" spans="1:8" x14ac:dyDescent="0.2">
      <c r="B2444" s="48"/>
      <c r="C2444" s="60" t="s">
        <v>1632</v>
      </c>
      <c r="D2444" s="44"/>
      <c r="E2444" s="69" t="s">
        <v>1034</v>
      </c>
      <c r="F2444" s="27"/>
      <c r="G2444" s="26"/>
      <c r="H2444" s="21" t="b">
        <f>IF(D2446="x",H$2,H$1)</f>
        <v>0</v>
      </c>
    </row>
    <row r="2445" spans="1:8" x14ac:dyDescent="0.2">
      <c r="B2445" s="52"/>
      <c r="C2445" s="61" t="s">
        <v>1633</v>
      </c>
      <c r="D2445" s="44"/>
      <c r="E2445" s="69" t="s">
        <v>1035</v>
      </c>
      <c r="F2445" s="22" t="str">
        <f>IF(H2446=1,IF(H2444=H$2,H2444,""),"")</f>
        <v/>
      </c>
      <c r="G2445" s="26"/>
      <c r="H2445" s="21" t="str">
        <f>IF(E$2581="comprobar",COUNTIF(D2444:D2448,"x"),"")</f>
        <v/>
      </c>
    </row>
    <row r="2446" spans="1:8" x14ac:dyDescent="0.2">
      <c r="B2446" s="48"/>
      <c r="C2446" s="61" t="s">
        <v>1634</v>
      </c>
      <c r="D2446" s="44"/>
      <c r="E2446" s="69" t="s">
        <v>1036</v>
      </c>
      <c r="F2446" s="23" t="str">
        <f>IF(H2446=-0.33,IF(H2444=H$1,H2444,""),"")</f>
        <v/>
      </c>
      <c r="G2446" s="26"/>
      <c r="H2446" s="24">
        <f t="shared" ref="H2446" si="781">IF(H2445=1,IF(H2444=H$2,1,-0.33),0)</f>
        <v>0</v>
      </c>
    </row>
    <row r="2447" spans="1:8" x14ac:dyDescent="0.2">
      <c r="B2447" s="48"/>
      <c r="C2447" s="61" t="s">
        <v>605</v>
      </c>
      <c r="D2447" s="44"/>
      <c r="E2447" s="69" t="s">
        <v>1037</v>
      </c>
      <c r="F2447" s="28"/>
      <c r="G2447" s="26"/>
      <c r="H2447" s="24"/>
    </row>
    <row r="2448" spans="1:8" x14ac:dyDescent="0.2">
      <c r="B2448" s="48"/>
      <c r="C2448" s="39"/>
      <c r="D2448" s="44"/>
      <c r="E2448" s="69" t="s">
        <v>1038</v>
      </c>
      <c r="F2448" s="28"/>
      <c r="G2448" s="19"/>
      <c r="H2448" s="24"/>
    </row>
    <row r="2449" spans="1:8" s="62" customFormat="1" x14ac:dyDescent="0.2">
      <c r="A2449" s="101"/>
      <c r="B2449" s="109" t="s">
        <v>1635</v>
      </c>
      <c r="C2449" s="110"/>
      <c r="D2449" s="63"/>
      <c r="E2449" s="14"/>
      <c r="F2449" s="64"/>
      <c r="G2449" s="65"/>
      <c r="H2449" s="15"/>
    </row>
    <row r="2450" spans="1:8" x14ac:dyDescent="0.2">
      <c r="B2450" s="48"/>
      <c r="C2450" s="60" t="s">
        <v>1636</v>
      </c>
      <c r="D2450" s="44"/>
      <c r="E2450" s="69" t="s">
        <v>1034</v>
      </c>
      <c r="F2450" s="27"/>
      <c r="G2450" s="26"/>
      <c r="H2450" s="21" t="b">
        <f>IF(D2452="x",H$2,H$1)</f>
        <v>0</v>
      </c>
    </row>
    <row r="2451" spans="1:8" x14ac:dyDescent="0.2">
      <c r="B2451" s="48"/>
      <c r="C2451" s="61" t="s">
        <v>1637</v>
      </c>
      <c r="D2451" s="44"/>
      <c r="E2451" s="69" t="s">
        <v>1035</v>
      </c>
      <c r="F2451" s="22" t="str">
        <f>IF(H2452=1,IF(H2450=H$2,H2450,""),"")</f>
        <v/>
      </c>
      <c r="G2451" s="26"/>
      <c r="H2451" s="21" t="str">
        <f>IF(E$2581="comprobar",COUNTIF(D2450:D2454,"x"),"")</f>
        <v/>
      </c>
    </row>
    <row r="2452" spans="1:8" x14ac:dyDescent="0.2">
      <c r="B2452" s="52"/>
      <c r="C2452" s="61" t="s">
        <v>1638</v>
      </c>
      <c r="D2452" s="44"/>
      <c r="E2452" s="69" t="s">
        <v>1036</v>
      </c>
      <c r="F2452" s="23" t="str">
        <f>IF(H2452=-0.33,IF(H2450=H$1,H2450,""),"")</f>
        <v/>
      </c>
      <c r="G2452" s="26"/>
      <c r="H2452" s="24">
        <f t="shared" ref="H2452" si="782">IF(H2451=1,IF(H2450=H$2,1,-0.33),0)</f>
        <v>0</v>
      </c>
    </row>
    <row r="2453" spans="1:8" x14ac:dyDescent="0.2">
      <c r="B2453" s="48"/>
      <c r="C2453" s="61" t="s">
        <v>605</v>
      </c>
      <c r="D2453" s="44"/>
      <c r="E2453" s="69" t="s">
        <v>1037</v>
      </c>
      <c r="F2453" s="28"/>
      <c r="G2453" s="26"/>
      <c r="H2453" s="24"/>
    </row>
    <row r="2454" spans="1:8" x14ac:dyDescent="0.2">
      <c r="B2454" s="48"/>
      <c r="C2454" s="39"/>
      <c r="D2454" s="44"/>
      <c r="E2454" s="69" t="s">
        <v>1038</v>
      </c>
      <c r="F2454" s="28"/>
      <c r="G2454" s="19"/>
      <c r="H2454" s="24"/>
    </row>
    <row r="2455" spans="1:8" s="17" customFormat="1" x14ac:dyDescent="0.2">
      <c r="A2455" s="4"/>
      <c r="B2455" s="49" t="s">
        <v>1639</v>
      </c>
      <c r="C2455" s="36"/>
      <c r="D2455" s="45"/>
      <c r="E2455" s="14"/>
      <c r="F2455" s="30"/>
      <c r="G2455" s="29"/>
      <c r="H2455" s="15"/>
    </row>
    <row r="2456" spans="1:8" x14ac:dyDescent="0.2">
      <c r="B2456" s="52"/>
      <c r="C2456" s="60" t="s">
        <v>1640</v>
      </c>
      <c r="D2456" s="44"/>
      <c r="E2456" s="69" t="s">
        <v>1034</v>
      </c>
      <c r="F2456" s="28"/>
      <c r="G2456" s="26"/>
      <c r="H2456" s="21" t="b">
        <f>IF(D2456="x",H$2,H$1)</f>
        <v>0</v>
      </c>
    </row>
    <row r="2457" spans="1:8" x14ac:dyDescent="0.2">
      <c r="B2457" s="48"/>
      <c r="C2457" s="61" t="s">
        <v>1641</v>
      </c>
      <c r="D2457" s="44"/>
      <c r="E2457" s="69" t="s">
        <v>1035</v>
      </c>
      <c r="F2457" s="22" t="str">
        <f>IF(H2458=1,IF(H2456=H$2,H2456,""),"")</f>
        <v/>
      </c>
      <c r="G2457" s="26"/>
      <c r="H2457" s="21" t="str">
        <f>IF(E$2581="comprobar",COUNTIF(D2456:D2460,"x"),"")</f>
        <v/>
      </c>
    </row>
    <row r="2458" spans="1:8" x14ac:dyDescent="0.2">
      <c r="B2458" s="48"/>
      <c r="C2458" s="61" t="s">
        <v>1642</v>
      </c>
      <c r="D2458" s="44"/>
      <c r="E2458" s="69" t="s">
        <v>1036</v>
      </c>
      <c r="F2458" s="23" t="str">
        <f>IF(H2458=-0.33,IF(H2456=H$1,H2456,""),"")</f>
        <v/>
      </c>
      <c r="G2458" s="26"/>
      <c r="H2458" s="24">
        <f t="shared" ref="H2458" si="783">IF(H2457=1,IF(H2456=H$2,1,-0.33),0)</f>
        <v>0</v>
      </c>
    </row>
    <row r="2459" spans="1:8" x14ac:dyDescent="0.2">
      <c r="B2459" s="48"/>
      <c r="C2459" s="61" t="s">
        <v>605</v>
      </c>
      <c r="D2459" s="44"/>
      <c r="E2459" s="69" t="s">
        <v>1037</v>
      </c>
      <c r="F2459" s="28"/>
      <c r="G2459" s="26"/>
      <c r="H2459" s="24"/>
    </row>
    <row r="2460" spans="1:8" x14ac:dyDescent="0.2">
      <c r="B2460" s="48"/>
      <c r="C2460" s="39"/>
      <c r="D2460" s="44"/>
      <c r="E2460" s="69" t="s">
        <v>1038</v>
      </c>
      <c r="F2460" s="20"/>
      <c r="G2460" s="19"/>
      <c r="H2460" s="24"/>
    </row>
    <row r="2461" spans="1:8" s="17" customFormat="1" x14ac:dyDescent="0.2">
      <c r="A2461" s="4"/>
      <c r="B2461" s="49" t="s">
        <v>1643</v>
      </c>
      <c r="C2461" s="36"/>
      <c r="D2461" s="45"/>
      <c r="E2461" s="14"/>
      <c r="F2461" s="30"/>
      <c r="G2461" s="29"/>
      <c r="H2461" s="15"/>
    </row>
    <row r="2462" spans="1:8" x14ac:dyDescent="0.2">
      <c r="B2462" s="52"/>
      <c r="C2462" s="60" t="s">
        <v>1644</v>
      </c>
      <c r="D2462" s="44"/>
      <c r="E2462" s="69" t="s">
        <v>1034</v>
      </c>
      <c r="F2462" s="28"/>
      <c r="G2462" s="26"/>
      <c r="H2462" s="21" t="b">
        <f>IF(D2463="x",H$2,H$1)</f>
        <v>0</v>
      </c>
    </row>
    <row r="2463" spans="1:8" x14ac:dyDescent="0.2">
      <c r="B2463" s="48"/>
      <c r="C2463" s="61" t="s">
        <v>1645</v>
      </c>
      <c r="D2463" s="44"/>
      <c r="E2463" s="69" t="s">
        <v>1035</v>
      </c>
      <c r="F2463" s="22" t="str">
        <f>IF(H2464=1,IF(H2462=H$2,H2462,""),"")</f>
        <v/>
      </c>
      <c r="G2463" s="26"/>
      <c r="H2463" s="21" t="str">
        <f>IF(E$2581="comprobar",COUNTIF(D2462:D2466,"x"),"")</f>
        <v/>
      </c>
    </row>
    <row r="2464" spans="1:8" x14ac:dyDescent="0.2">
      <c r="B2464" s="48"/>
      <c r="C2464" s="61" t="s">
        <v>1646</v>
      </c>
      <c r="D2464" s="44"/>
      <c r="E2464" s="69" t="s">
        <v>1036</v>
      </c>
      <c r="F2464" s="23" t="str">
        <f>IF(H2464=-0.33,IF(H2462=H$1,H2462,""),"")</f>
        <v/>
      </c>
      <c r="G2464" s="26"/>
      <c r="H2464" s="24">
        <f t="shared" ref="H2464" si="784">IF(H2463=1,IF(H2462=H$2,1,-0.33),0)</f>
        <v>0</v>
      </c>
    </row>
    <row r="2465" spans="1:8" x14ac:dyDescent="0.2">
      <c r="B2465" s="48"/>
      <c r="C2465" s="61" t="s">
        <v>605</v>
      </c>
      <c r="D2465" s="44"/>
      <c r="E2465" s="69" t="s">
        <v>1037</v>
      </c>
      <c r="F2465" s="28"/>
      <c r="G2465" s="26"/>
      <c r="H2465" s="24"/>
    </row>
    <row r="2466" spans="1:8" x14ac:dyDescent="0.2">
      <c r="B2466" s="48"/>
      <c r="C2466" s="39"/>
      <c r="D2466" s="44"/>
      <c r="E2466" s="69" t="s">
        <v>1038</v>
      </c>
      <c r="F2466" s="20"/>
      <c r="G2466" s="19"/>
      <c r="H2466" s="24"/>
    </row>
    <row r="2467" spans="1:8" s="17" customFormat="1" x14ac:dyDescent="0.2">
      <c r="A2467" s="4"/>
      <c r="B2467" s="49" t="s">
        <v>1647</v>
      </c>
      <c r="C2467" s="36"/>
      <c r="D2467" s="45"/>
      <c r="E2467" s="14"/>
      <c r="F2467" s="30"/>
      <c r="G2467" s="29"/>
      <c r="H2467" s="15"/>
    </row>
    <row r="2468" spans="1:8" x14ac:dyDescent="0.2">
      <c r="B2468" s="52"/>
      <c r="C2468" s="60" t="s">
        <v>1648</v>
      </c>
      <c r="D2468" s="44"/>
      <c r="E2468" s="69" t="s">
        <v>1034</v>
      </c>
      <c r="F2468" s="28"/>
      <c r="G2468" s="26"/>
      <c r="H2468" s="21" t="b">
        <f>IF(D2470="x",H$2,H$1)</f>
        <v>0</v>
      </c>
    </row>
    <row r="2469" spans="1:8" x14ac:dyDescent="0.2">
      <c r="B2469" s="48"/>
      <c r="C2469" s="61" t="s">
        <v>1649</v>
      </c>
      <c r="D2469" s="44"/>
      <c r="E2469" s="69" t="s">
        <v>1035</v>
      </c>
      <c r="F2469" s="22" t="str">
        <f>IF(H2470=1,IF(H2468=H$2,H2468,""),"")</f>
        <v/>
      </c>
      <c r="G2469" s="26"/>
      <c r="H2469" s="21" t="str">
        <f>IF(E$2581="comprobar",COUNTIF(D2468:D2472,"x"),"")</f>
        <v/>
      </c>
    </row>
    <row r="2470" spans="1:8" x14ac:dyDescent="0.2">
      <c r="B2470" s="48"/>
      <c r="C2470" s="61" t="s">
        <v>1650</v>
      </c>
      <c r="D2470" s="44"/>
      <c r="E2470" s="69" t="s">
        <v>1036</v>
      </c>
      <c r="F2470" s="23" t="str">
        <f>IF(H2470=-0.33,IF(H2468=H$1,H2468,""),"")</f>
        <v/>
      </c>
      <c r="G2470" s="26"/>
      <c r="H2470" s="24">
        <f t="shared" ref="H2470" si="785">IF(H2469=1,IF(H2468=H$2,1,-0.33),0)</f>
        <v>0</v>
      </c>
    </row>
    <row r="2471" spans="1:8" x14ac:dyDescent="0.2">
      <c r="B2471" s="48"/>
      <c r="C2471" s="61" t="s">
        <v>1651</v>
      </c>
      <c r="D2471" s="44"/>
      <c r="E2471" s="69" t="s">
        <v>1037</v>
      </c>
      <c r="F2471" s="28"/>
      <c r="G2471" s="26"/>
      <c r="H2471" s="24"/>
    </row>
    <row r="2472" spans="1:8" x14ac:dyDescent="0.2">
      <c r="B2472" s="48"/>
      <c r="C2472" s="39"/>
      <c r="D2472" s="44"/>
      <c r="E2472" s="69" t="s">
        <v>1038</v>
      </c>
      <c r="F2472" s="20"/>
      <c r="G2472" s="19"/>
      <c r="H2472" s="24"/>
    </row>
    <row r="2473" spans="1:8" s="17" customFormat="1" x14ac:dyDescent="0.2">
      <c r="A2473" s="4"/>
      <c r="B2473" s="49" t="s">
        <v>1652</v>
      </c>
      <c r="C2473" s="36"/>
      <c r="D2473" s="45"/>
      <c r="E2473" s="14"/>
      <c r="F2473" s="30"/>
      <c r="G2473" s="29"/>
      <c r="H2473" s="15"/>
    </row>
    <row r="2474" spans="1:8" x14ac:dyDescent="0.2">
      <c r="B2474" s="52"/>
      <c r="C2474" s="60" t="s">
        <v>1653</v>
      </c>
      <c r="D2474" s="44"/>
      <c r="E2474" s="69" t="s">
        <v>1034</v>
      </c>
      <c r="F2474" s="28"/>
      <c r="G2474" s="26"/>
      <c r="H2474" s="21" t="b">
        <f>IF(D2476="x",H$2,H$1)</f>
        <v>0</v>
      </c>
    </row>
    <row r="2475" spans="1:8" x14ac:dyDescent="0.2">
      <c r="B2475" s="48"/>
      <c r="C2475" s="61" t="s">
        <v>1654</v>
      </c>
      <c r="D2475" s="44"/>
      <c r="E2475" s="69" t="s">
        <v>1035</v>
      </c>
      <c r="F2475" s="22" t="str">
        <f>IF(H2476=1,IF(H2474=H$2,H2474,""),"")</f>
        <v/>
      </c>
      <c r="G2475" s="26"/>
      <c r="H2475" s="21" t="str">
        <f>IF(E$2581="comprobar",COUNTIF(D2474:D2478,"x"),"")</f>
        <v/>
      </c>
    </row>
    <row r="2476" spans="1:8" x14ac:dyDescent="0.2">
      <c r="B2476" s="48"/>
      <c r="C2476" s="61" t="s">
        <v>1655</v>
      </c>
      <c r="D2476" s="44"/>
      <c r="E2476" s="69" t="s">
        <v>1036</v>
      </c>
      <c r="F2476" s="23" t="str">
        <f>IF(H2476=-0.33,IF(H2474=H$1,H2474,""),"")</f>
        <v/>
      </c>
      <c r="G2476" s="26"/>
      <c r="H2476" s="24">
        <f t="shared" ref="H2476" si="786">IF(H2475=1,IF(H2474=H$2,1,-0.33),0)</f>
        <v>0</v>
      </c>
    </row>
    <row r="2477" spans="1:8" x14ac:dyDescent="0.2">
      <c r="B2477" s="48"/>
      <c r="C2477" s="61" t="s">
        <v>605</v>
      </c>
      <c r="D2477" s="44"/>
      <c r="E2477" s="69" t="s">
        <v>1037</v>
      </c>
      <c r="F2477" s="28"/>
      <c r="G2477" s="26"/>
      <c r="H2477" s="24"/>
    </row>
    <row r="2478" spans="1:8" x14ac:dyDescent="0.2">
      <c r="B2478" s="48"/>
      <c r="C2478" s="39"/>
      <c r="D2478" s="44"/>
      <c r="E2478" s="69" t="s">
        <v>1038</v>
      </c>
      <c r="F2478" s="20"/>
      <c r="G2478" s="19"/>
      <c r="H2478" s="24"/>
    </row>
    <row r="2479" spans="1:8" s="17" customFormat="1" x14ac:dyDescent="0.2">
      <c r="A2479" s="4"/>
      <c r="B2479" s="49" t="s">
        <v>1656</v>
      </c>
      <c r="C2479" s="36"/>
      <c r="D2479" s="45"/>
      <c r="E2479" s="14"/>
      <c r="F2479" s="30"/>
      <c r="G2479" s="29"/>
      <c r="H2479" s="15"/>
    </row>
    <row r="2480" spans="1:8" x14ac:dyDescent="0.2">
      <c r="B2480" s="52"/>
      <c r="C2480" s="60" t="s">
        <v>1657</v>
      </c>
      <c r="D2480" s="44"/>
      <c r="E2480" s="69" t="s">
        <v>1034</v>
      </c>
      <c r="F2480" s="28"/>
      <c r="G2480" s="26"/>
      <c r="H2480" s="21" t="b">
        <f>IF(D2482="x",H$2,H$1)</f>
        <v>0</v>
      </c>
    </row>
    <row r="2481" spans="1:8" x14ac:dyDescent="0.2">
      <c r="B2481" s="48"/>
      <c r="C2481" s="61" t="s">
        <v>1658</v>
      </c>
      <c r="D2481" s="44"/>
      <c r="E2481" s="69" t="s">
        <v>1035</v>
      </c>
      <c r="F2481" s="22" t="str">
        <f>IF(H2482=1,IF(H2480=H$2,H2480,""),"")</f>
        <v/>
      </c>
      <c r="G2481" s="26"/>
      <c r="H2481" s="21" t="str">
        <f>IF(E$2581="comprobar",COUNTIF(D2480:D2484,"x"),"")</f>
        <v/>
      </c>
    </row>
    <row r="2482" spans="1:8" x14ac:dyDescent="0.2">
      <c r="B2482" s="48"/>
      <c r="C2482" s="61" t="s">
        <v>1659</v>
      </c>
      <c r="D2482" s="44"/>
      <c r="E2482" s="69" t="s">
        <v>1036</v>
      </c>
      <c r="F2482" s="23" t="str">
        <f>IF(H2482=-0.33,IF(H2480=H$1,H2480,""),"")</f>
        <v/>
      </c>
      <c r="G2482" s="26"/>
      <c r="H2482" s="24">
        <f t="shared" ref="H2482" si="787">IF(H2481=1,IF(H2480=H$2,1,-0.33),0)</f>
        <v>0</v>
      </c>
    </row>
    <row r="2483" spans="1:8" x14ac:dyDescent="0.2">
      <c r="B2483" s="48"/>
      <c r="C2483" s="61" t="s">
        <v>1660</v>
      </c>
      <c r="D2483" s="44"/>
      <c r="E2483" s="69" t="s">
        <v>1037</v>
      </c>
      <c r="F2483" s="28"/>
      <c r="G2483" s="26"/>
      <c r="H2483" s="24"/>
    </row>
    <row r="2484" spans="1:8" x14ac:dyDescent="0.2">
      <c r="B2484" s="48"/>
      <c r="C2484" s="39"/>
      <c r="D2484" s="44"/>
      <c r="E2484" s="69" t="s">
        <v>1038</v>
      </c>
      <c r="F2484" s="20"/>
      <c r="G2484" s="19"/>
      <c r="H2484" s="24"/>
    </row>
    <row r="2485" spans="1:8" s="17" customFormat="1" x14ac:dyDescent="0.2">
      <c r="A2485" s="4"/>
      <c r="B2485" s="49" t="s">
        <v>1661</v>
      </c>
      <c r="C2485" s="36"/>
      <c r="D2485" s="45"/>
      <c r="E2485" s="14"/>
      <c r="F2485" s="30"/>
      <c r="G2485" s="29"/>
      <c r="H2485" s="15"/>
    </row>
    <row r="2486" spans="1:8" x14ac:dyDescent="0.2">
      <c r="B2486" s="52"/>
      <c r="C2486" s="60" t="s">
        <v>1662</v>
      </c>
      <c r="D2486" s="44"/>
      <c r="E2486" s="69" t="s">
        <v>1034</v>
      </c>
      <c r="F2486" s="28"/>
      <c r="G2486" s="26"/>
      <c r="H2486" s="21" t="b">
        <f>IF(D2487="x",H$2,H$1)</f>
        <v>0</v>
      </c>
    </row>
    <row r="2487" spans="1:8" x14ac:dyDescent="0.2">
      <c r="B2487" s="48"/>
      <c r="C2487" s="61" t="s">
        <v>1663</v>
      </c>
      <c r="D2487" s="44"/>
      <c r="E2487" s="69" t="s">
        <v>1035</v>
      </c>
      <c r="F2487" s="22" t="str">
        <f>IF(H2488=1,IF(H2486=H$2,H2486,""),"")</f>
        <v/>
      </c>
      <c r="G2487" s="26"/>
      <c r="H2487" s="21" t="str">
        <f>IF(E$2581="comprobar",COUNTIF(D2486:D2490,"x"),"")</f>
        <v/>
      </c>
    </row>
    <row r="2488" spans="1:8" x14ac:dyDescent="0.2">
      <c r="B2488" s="48"/>
      <c r="C2488" s="61" t="s">
        <v>1664</v>
      </c>
      <c r="D2488" s="44"/>
      <c r="E2488" s="69" t="s">
        <v>1036</v>
      </c>
      <c r="F2488" s="23" t="str">
        <f>IF(H2488=-0.33,IF(H2486=H$1,H2486,""),"")</f>
        <v/>
      </c>
      <c r="G2488" s="26"/>
      <c r="H2488" s="24">
        <f t="shared" ref="H2488" si="788">IF(H2487=1,IF(H2486=H$2,1,-0.33),0)</f>
        <v>0</v>
      </c>
    </row>
    <row r="2489" spans="1:8" x14ac:dyDescent="0.2">
      <c r="B2489" s="48"/>
      <c r="C2489" s="61" t="s">
        <v>595</v>
      </c>
      <c r="D2489" s="44"/>
      <c r="E2489" s="69" t="s">
        <v>1037</v>
      </c>
      <c r="F2489" s="28"/>
      <c r="G2489" s="26"/>
      <c r="H2489" s="24"/>
    </row>
    <row r="2490" spans="1:8" x14ac:dyDescent="0.2">
      <c r="B2490" s="48"/>
      <c r="C2490" s="39"/>
      <c r="D2490" s="44"/>
      <c r="E2490" s="69" t="s">
        <v>1038</v>
      </c>
      <c r="F2490" s="20"/>
      <c r="G2490" s="19"/>
      <c r="H2490" s="24"/>
    </row>
    <row r="2491" spans="1:8" s="17" customFormat="1" x14ac:dyDescent="0.2">
      <c r="A2491" s="4"/>
      <c r="B2491" s="49" t="s">
        <v>1665</v>
      </c>
      <c r="C2491" s="36"/>
      <c r="D2491" s="45"/>
      <c r="E2491" s="14"/>
      <c r="F2491" s="30"/>
      <c r="G2491" s="29"/>
      <c r="H2491" s="15"/>
    </row>
    <row r="2492" spans="1:8" x14ac:dyDescent="0.2">
      <c r="B2492" s="52"/>
      <c r="C2492" s="60" t="s">
        <v>1666</v>
      </c>
      <c r="D2492" s="44"/>
      <c r="E2492" s="69" t="s">
        <v>1034</v>
      </c>
      <c r="F2492" s="28"/>
      <c r="G2492" s="26"/>
      <c r="H2492" s="21" t="b">
        <f>IF(D2495="x",H$2,H$1)</f>
        <v>0</v>
      </c>
    </row>
    <row r="2493" spans="1:8" x14ac:dyDescent="0.2">
      <c r="B2493" s="48"/>
      <c r="C2493" s="61" t="s">
        <v>1667</v>
      </c>
      <c r="D2493" s="44"/>
      <c r="E2493" s="69" t="s">
        <v>1035</v>
      </c>
      <c r="F2493" s="22" t="str">
        <f>IF(H2494=1,IF(H2492=H$2,H2492,""),"")</f>
        <v/>
      </c>
      <c r="G2493" s="26"/>
      <c r="H2493" s="21" t="str">
        <f>IF(E$2581="comprobar",COUNTIF(D2492:D2496,"x"),"")</f>
        <v/>
      </c>
    </row>
    <row r="2494" spans="1:8" x14ac:dyDescent="0.2">
      <c r="B2494" s="48"/>
      <c r="C2494" s="61" t="s">
        <v>1668</v>
      </c>
      <c r="D2494" s="44"/>
      <c r="E2494" s="69" t="s">
        <v>1036</v>
      </c>
      <c r="F2494" s="23" t="str">
        <f>IF(H2494=-0.33,IF(H2492=H$1,H2492,""),"")</f>
        <v/>
      </c>
      <c r="G2494" s="26"/>
      <c r="H2494" s="24">
        <f t="shared" ref="H2494" si="789">IF(H2493=1,IF(H2492=H$2,1,-0.33),0)</f>
        <v>0</v>
      </c>
    </row>
    <row r="2495" spans="1:8" x14ac:dyDescent="0.2">
      <c r="B2495" s="48"/>
      <c r="C2495" s="61" t="s">
        <v>1669</v>
      </c>
      <c r="D2495" s="44"/>
      <c r="E2495" s="69" t="s">
        <v>1037</v>
      </c>
      <c r="F2495" s="28"/>
      <c r="G2495" s="26"/>
      <c r="H2495" s="24"/>
    </row>
    <row r="2496" spans="1:8" x14ac:dyDescent="0.2">
      <c r="B2496" s="48"/>
      <c r="C2496" s="39"/>
      <c r="D2496" s="44"/>
      <c r="E2496" s="69" t="s">
        <v>1038</v>
      </c>
      <c r="F2496" s="20"/>
      <c r="G2496" s="19"/>
      <c r="H2496" s="24"/>
    </row>
    <row r="2497" spans="1:8" s="17" customFormat="1" x14ac:dyDescent="0.2">
      <c r="A2497" s="4"/>
      <c r="B2497" s="49" t="s">
        <v>1670</v>
      </c>
      <c r="C2497" s="36"/>
      <c r="D2497" s="45"/>
      <c r="E2497" s="14"/>
      <c r="F2497" s="30"/>
      <c r="G2497" s="29"/>
      <c r="H2497" s="15"/>
    </row>
    <row r="2498" spans="1:8" x14ac:dyDescent="0.2">
      <c r="B2498" s="52"/>
      <c r="C2498" s="60" t="s">
        <v>1671</v>
      </c>
      <c r="D2498" s="44"/>
      <c r="E2498" s="69" t="s">
        <v>1034</v>
      </c>
      <c r="F2498" s="28"/>
      <c r="G2498" s="26"/>
      <c r="H2498" s="21" t="b">
        <f>IF(D2500="x",H$2,H$1)</f>
        <v>0</v>
      </c>
    </row>
    <row r="2499" spans="1:8" x14ac:dyDescent="0.2">
      <c r="B2499" s="48"/>
      <c r="C2499" s="61" t="s">
        <v>1672</v>
      </c>
      <c r="D2499" s="44"/>
      <c r="E2499" s="69" t="s">
        <v>1035</v>
      </c>
      <c r="F2499" s="22" t="str">
        <f>IF(H2500=1,IF(H2498=H$2,H2498,""),"")</f>
        <v/>
      </c>
      <c r="G2499" s="26"/>
      <c r="H2499" s="21" t="str">
        <f>IF(E$2581="comprobar",COUNTIF(D2498:D2502,"x"),"")</f>
        <v/>
      </c>
    </row>
    <row r="2500" spans="1:8" x14ac:dyDescent="0.2">
      <c r="B2500" s="48"/>
      <c r="C2500" s="61" t="s">
        <v>1673</v>
      </c>
      <c r="D2500" s="44"/>
      <c r="E2500" s="69" t="s">
        <v>1036</v>
      </c>
      <c r="F2500" s="23" t="str">
        <f>IF(H2500=-0.33,IF(H2498=H$1,H2498,""),"")</f>
        <v/>
      </c>
      <c r="G2500" s="26"/>
      <c r="H2500" s="24">
        <f t="shared" ref="H2500" si="790">IF(H2499=1,IF(H2498=H$2,1,-0.33),0)</f>
        <v>0</v>
      </c>
    </row>
    <row r="2501" spans="1:8" x14ac:dyDescent="0.2">
      <c r="B2501" s="48"/>
      <c r="C2501" s="61" t="s">
        <v>1674</v>
      </c>
      <c r="D2501" s="44"/>
      <c r="E2501" s="69" t="s">
        <v>1037</v>
      </c>
      <c r="F2501" s="28"/>
      <c r="G2501" s="26"/>
      <c r="H2501" s="24"/>
    </row>
    <row r="2502" spans="1:8" x14ac:dyDescent="0.2">
      <c r="B2502" s="48"/>
      <c r="C2502" s="39"/>
      <c r="D2502" s="44"/>
      <c r="E2502" s="69" t="s">
        <v>1038</v>
      </c>
      <c r="F2502" s="20"/>
      <c r="G2502" s="19"/>
      <c r="H2502" s="24"/>
    </row>
    <row r="2503" spans="1:8" s="17" customFormat="1" x14ac:dyDescent="0.2">
      <c r="A2503" s="4"/>
      <c r="B2503" s="49" t="s">
        <v>1675</v>
      </c>
      <c r="C2503" s="36"/>
      <c r="D2503" s="45"/>
      <c r="E2503" s="14"/>
      <c r="F2503" s="30"/>
      <c r="G2503" s="29"/>
      <c r="H2503" s="15"/>
    </row>
    <row r="2504" spans="1:8" x14ac:dyDescent="0.2">
      <c r="B2504" s="52"/>
      <c r="C2504" s="60" t="s">
        <v>1676</v>
      </c>
      <c r="D2504" s="44"/>
      <c r="E2504" s="69" t="s">
        <v>1034</v>
      </c>
      <c r="F2504" s="28"/>
      <c r="G2504" s="26"/>
      <c r="H2504" s="21" t="b">
        <f>IF(D2505="x",H$2,H$1)</f>
        <v>0</v>
      </c>
    </row>
    <row r="2505" spans="1:8" x14ac:dyDescent="0.2">
      <c r="B2505" s="48"/>
      <c r="C2505" s="61" t="s">
        <v>1677</v>
      </c>
      <c r="D2505" s="44"/>
      <c r="E2505" s="69" t="s">
        <v>1035</v>
      </c>
      <c r="F2505" s="22" t="str">
        <f>IF(H2506=1,IF(H2504=H$2,H2504,""),"")</f>
        <v/>
      </c>
      <c r="G2505" s="26"/>
      <c r="H2505" s="21" t="str">
        <f>IF(E$2581="comprobar",COUNTIF(D2504:D2508,"x"),"")</f>
        <v/>
      </c>
    </row>
    <row r="2506" spans="1:8" x14ac:dyDescent="0.2">
      <c r="B2506" s="48"/>
      <c r="C2506" s="61" t="s">
        <v>1678</v>
      </c>
      <c r="D2506" s="44"/>
      <c r="E2506" s="69" t="s">
        <v>1036</v>
      </c>
      <c r="F2506" s="23" t="str">
        <f>IF(H2506=-0.33,IF(H2504=H$1,H2504,""),"")</f>
        <v/>
      </c>
      <c r="G2506" s="26"/>
      <c r="H2506" s="24">
        <f t="shared" ref="H2506" si="791">IF(H2505=1,IF(H2504=H$2,1,-0.33),0)</f>
        <v>0</v>
      </c>
    </row>
    <row r="2507" spans="1:8" x14ac:dyDescent="0.2">
      <c r="B2507" s="48"/>
      <c r="C2507" s="61" t="s">
        <v>1679</v>
      </c>
      <c r="D2507" s="44"/>
      <c r="E2507" s="69" t="s">
        <v>1037</v>
      </c>
      <c r="F2507" s="28"/>
      <c r="G2507" s="26"/>
      <c r="H2507" s="24"/>
    </row>
    <row r="2508" spans="1:8" x14ac:dyDescent="0.2">
      <c r="B2508" s="48"/>
      <c r="C2508" s="39"/>
      <c r="D2508" s="44"/>
      <c r="E2508" s="69" t="s">
        <v>1038</v>
      </c>
      <c r="F2508" s="20"/>
      <c r="G2508" s="19"/>
      <c r="H2508" s="24"/>
    </row>
    <row r="2509" spans="1:8" s="17" customFormat="1" x14ac:dyDescent="0.2">
      <c r="A2509" s="4"/>
      <c r="B2509" s="49" t="s">
        <v>1680</v>
      </c>
      <c r="C2509" s="36"/>
      <c r="D2509" s="45"/>
      <c r="E2509" s="14"/>
      <c r="F2509" s="30"/>
      <c r="G2509" s="29"/>
      <c r="H2509" s="15"/>
    </row>
    <row r="2510" spans="1:8" x14ac:dyDescent="0.2">
      <c r="B2510" s="52"/>
      <c r="C2510" s="60" t="s">
        <v>1681</v>
      </c>
      <c r="D2510" s="44"/>
      <c r="E2510" s="69" t="s">
        <v>1034</v>
      </c>
      <c r="F2510" s="28"/>
      <c r="G2510" s="26"/>
      <c r="H2510" s="21" t="b">
        <f>IF(D2513="x",H$2,H$1)</f>
        <v>0</v>
      </c>
    </row>
    <row r="2511" spans="1:8" x14ac:dyDescent="0.2">
      <c r="B2511" s="48"/>
      <c r="C2511" s="61" t="s">
        <v>1682</v>
      </c>
      <c r="D2511" s="44"/>
      <c r="E2511" s="69" t="s">
        <v>1035</v>
      </c>
      <c r="F2511" s="22" t="str">
        <f>IF(H2512=1,IF(H2510=H$2,H2510,""),"")</f>
        <v/>
      </c>
      <c r="G2511" s="26"/>
      <c r="H2511" s="21" t="str">
        <f>IF(E$2581="comprobar",COUNTIF(D2510:D2514,"x"),"")</f>
        <v/>
      </c>
    </row>
    <row r="2512" spans="1:8" x14ac:dyDescent="0.2">
      <c r="B2512" s="48"/>
      <c r="C2512" s="61" t="s">
        <v>1683</v>
      </c>
      <c r="D2512" s="44"/>
      <c r="E2512" s="69" t="s">
        <v>1036</v>
      </c>
      <c r="F2512" s="23" t="str">
        <f>IF(H2512=-0.33,IF(H2510=H$1,H2510,""),"")</f>
        <v/>
      </c>
      <c r="G2512" s="26"/>
      <c r="H2512" s="24">
        <f t="shared" ref="H2512" si="792">IF(H2511=1,IF(H2510=H$2,1,-0.33),0)</f>
        <v>0</v>
      </c>
    </row>
    <row r="2513" spans="1:8" x14ac:dyDescent="0.2">
      <c r="B2513" s="48"/>
      <c r="C2513" s="61" t="s">
        <v>605</v>
      </c>
      <c r="D2513" s="44"/>
      <c r="E2513" s="69" t="s">
        <v>1037</v>
      </c>
      <c r="F2513" s="28"/>
      <c r="G2513" s="26"/>
      <c r="H2513" s="24"/>
    </row>
    <row r="2514" spans="1:8" x14ac:dyDescent="0.2">
      <c r="B2514" s="48"/>
      <c r="C2514" s="39"/>
      <c r="D2514" s="44"/>
      <c r="E2514" s="69" t="s">
        <v>1038</v>
      </c>
      <c r="F2514" s="20"/>
      <c r="G2514" s="19"/>
      <c r="H2514" s="24"/>
    </row>
    <row r="2515" spans="1:8" s="17" customFormat="1" x14ac:dyDescent="0.2">
      <c r="A2515" s="4"/>
      <c r="B2515" s="49" t="s">
        <v>1684</v>
      </c>
      <c r="C2515" s="36"/>
      <c r="D2515" s="45"/>
      <c r="E2515" s="14"/>
      <c r="F2515" s="30"/>
      <c r="G2515" s="29"/>
      <c r="H2515" s="15"/>
    </row>
    <row r="2516" spans="1:8" x14ac:dyDescent="0.2">
      <c r="B2516" s="52"/>
      <c r="C2516" s="60" t="s">
        <v>1535</v>
      </c>
      <c r="D2516" s="44"/>
      <c r="E2516" s="69" t="s">
        <v>1034</v>
      </c>
      <c r="F2516" s="28"/>
      <c r="G2516" s="26"/>
      <c r="H2516" s="21" t="b">
        <f>IF(D2518="x",H$2,H$1)</f>
        <v>0</v>
      </c>
    </row>
    <row r="2517" spans="1:8" x14ac:dyDescent="0.2">
      <c r="B2517" s="48"/>
      <c r="C2517" s="61" t="s">
        <v>1536</v>
      </c>
      <c r="D2517" s="44"/>
      <c r="E2517" s="69" t="s">
        <v>1035</v>
      </c>
      <c r="F2517" s="22" t="str">
        <f>IF(H2518=1,IF(H2516=H$2,H2516,""),"")</f>
        <v/>
      </c>
      <c r="G2517" s="26"/>
      <c r="H2517" s="21" t="str">
        <f>IF(E$2581="comprobar",COUNTIF(D2516:D2520,"x"),"")</f>
        <v/>
      </c>
    </row>
    <row r="2518" spans="1:8" x14ac:dyDescent="0.2">
      <c r="B2518" s="48"/>
      <c r="C2518" s="61" t="s">
        <v>1685</v>
      </c>
      <c r="D2518" s="44"/>
      <c r="E2518" s="69" t="s">
        <v>1036</v>
      </c>
      <c r="F2518" s="23" t="str">
        <f>IF(H2518=-0.33,IF(H2516=H$1,H2516,""),"")</f>
        <v/>
      </c>
      <c r="G2518" s="26"/>
      <c r="H2518" s="24">
        <f t="shared" ref="H2518" si="793">IF(H2517=1,IF(H2516=H$2,1,-0.33),0)</f>
        <v>0</v>
      </c>
    </row>
    <row r="2519" spans="1:8" x14ac:dyDescent="0.2">
      <c r="B2519" s="48"/>
      <c r="C2519" s="61" t="s">
        <v>1538</v>
      </c>
      <c r="D2519" s="44"/>
      <c r="E2519" s="69" t="s">
        <v>1037</v>
      </c>
      <c r="F2519" s="28"/>
      <c r="G2519" s="26"/>
      <c r="H2519" s="24"/>
    </row>
    <row r="2520" spans="1:8" x14ac:dyDescent="0.2">
      <c r="B2520" s="48"/>
      <c r="C2520" s="39"/>
      <c r="D2520" s="44"/>
      <c r="E2520" s="69" t="s">
        <v>1038</v>
      </c>
      <c r="F2520" s="20"/>
      <c r="G2520" s="19"/>
      <c r="H2520" s="24"/>
    </row>
    <row r="2521" spans="1:8" s="17" customFormat="1" x14ac:dyDescent="0.2">
      <c r="A2521" s="4"/>
      <c r="B2521" s="49" t="s">
        <v>1686</v>
      </c>
      <c r="C2521" s="36"/>
      <c r="D2521" s="45"/>
      <c r="E2521" s="14"/>
      <c r="F2521" s="30"/>
      <c r="G2521" s="29"/>
      <c r="H2521" s="15"/>
    </row>
    <row r="2522" spans="1:8" x14ac:dyDescent="0.2">
      <c r="B2522" s="52"/>
      <c r="C2522" s="60" t="s">
        <v>1523</v>
      </c>
      <c r="D2522" s="44"/>
      <c r="E2522" s="69" t="s">
        <v>1034</v>
      </c>
      <c r="F2522" s="28"/>
      <c r="G2522" s="26"/>
      <c r="H2522" s="21" t="b">
        <f>IF(D2525="x",H$2,H$1)</f>
        <v>0</v>
      </c>
    </row>
    <row r="2523" spans="1:8" x14ac:dyDescent="0.2">
      <c r="B2523" s="48"/>
      <c r="C2523" s="61" t="s">
        <v>1524</v>
      </c>
      <c r="D2523" s="44"/>
      <c r="E2523" s="69" t="s">
        <v>1035</v>
      </c>
      <c r="F2523" s="22" t="str">
        <f>IF(H2524=1,IF(H2522=H$2,H2522,""),"")</f>
        <v/>
      </c>
      <c r="G2523" s="26"/>
      <c r="H2523" s="21" t="str">
        <f>IF(E$2581="comprobar",COUNTIF(D2522:D2526,"x"),"")</f>
        <v/>
      </c>
    </row>
    <row r="2524" spans="1:8" x14ac:dyDescent="0.2">
      <c r="B2524" s="48"/>
      <c r="C2524" s="61" t="s">
        <v>1526</v>
      </c>
      <c r="D2524" s="44"/>
      <c r="E2524" s="69" t="s">
        <v>1036</v>
      </c>
      <c r="F2524" s="23" t="str">
        <f>IF(H2524=-0.33,IF(H2522=H$1,H2522,""),"")</f>
        <v/>
      </c>
      <c r="G2524" s="26"/>
      <c r="H2524" s="24">
        <f t="shared" ref="H2524" si="794">IF(H2523=1,IF(H2522=H$2,1,-0.33),0)</f>
        <v>0</v>
      </c>
    </row>
    <row r="2525" spans="1:8" x14ac:dyDescent="0.2">
      <c r="B2525" s="48"/>
      <c r="C2525" s="61" t="s">
        <v>1525</v>
      </c>
      <c r="D2525" s="44"/>
      <c r="E2525" s="69" t="s">
        <v>1037</v>
      </c>
      <c r="F2525" s="28"/>
      <c r="G2525" s="26"/>
      <c r="H2525" s="24"/>
    </row>
    <row r="2526" spans="1:8" x14ac:dyDescent="0.2">
      <c r="B2526" s="48"/>
      <c r="C2526" s="39"/>
      <c r="D2526" s="44"/>
      <c r="E2526" s="69" t="s">
        <v>1038</v>
      </c>
      <c r="F2526" s="20"/>
      <c r="G2526" s="19"/>
      <c r="H2526" s="24"/>
    </row>
    <row r="2527" spans="1:8" s="17" customFormat="1" x14ac:dyDescent="0.2">
      <c r="A2527" s="4"/>
      <c r="B2527" s="49" t="s">
        <v>1687</v>
      </c>
      <c r="C2527" s="36"/>
      <c r="D2527" s="45"/>
      <c r="E2527" s="14"/>
      <c r="F2527" s="30"/>
      <c r="G2527" s="29"/>
      <c r="H2527" s="15"/>
    </row>
    <row r="2528" spans="1:8" x14ac:dyDescent="0.2">
      <c r="B2528" s="52"/>
      <c r="C2528" s="60" t="s">
        <v>1531</v>
      </c>
      <c r="D2528" s="44"/>
      <c r="E2528" s="69" t="s">
        <v>1034</v>
      </c>
      <c r="F2528" s="28"/>
      <c r="G2528" s="26"/>
      <c r="H2528" s="21" t="b">
        <f>IF(D2531="x",H$2,H$1)</f>
        <v>0</v>
      </c>
    </row>
    <row r="2529" spans="1:8" x14ac:dyDescent="0.2">
      <c r="B2529" s="48"/>
      <c r="C2529" s="61" t="s">
        <v>1532</v>
      </c>
      <c r="D2529" s="44"/>
      <c r="E2529" s="69" t="s">
        <v>1035</v>
      </c>
      <c r="F2529" s="22" t="str">
        <f>IF(H2530=1,IF(H2528=H$2,H2528,""),"")</f>
        <v/>
      </c>
      <c r="G2529" s="26"/>
      <c r="H2529" s="21" t="str">
        <f>IF(E$2581="comprobar",COUNTIF(D2528:D2532,"x"),"")</f>
        <v/>
      </c>
    </row>
    <row r="2530" spans="1:8" x14ac:dyDescent="0.2">
      <c r="B2530" s="48"/>
      <c r="C2530" s="61" t="s">
        <v>1688</v>
      </c>
      <c r="D2530" s="44"/>
      <c r="E2530" s="69" t="s">
        <v>1036</v>
      </c>
      <c r="F2530" s="23" t="str">
        <f>IF(H2530=-0.33,IF(H2528=H$1,H2528,""),"")</f>
        <v/>
      </c>
      <c r="G2530" s="26"/>
      <c r="H2530" s="24">
        <f t="shared" ref="H2530" si="795">IF(H2529=1,IF(H2528=H$2,1,-0.33),0)</f>
        <v>0</v>
      </c>
    </row>
    <row r="2531" spans="1:8" x14ac:dyDescent="0.2">
      <c r="B2531" s="48"/>
      <c r="C2531" s="61" t="s">
        <v>717</v>
      </c>
      <c r="D2531" s="44"/>
      <c r="E2531" s="69" t="s">
        <v>1037</v>
      </c>
      <c r="F2531" s="28"/>
      <c r="G2531" s="26"/>
      <c r="H2531" s="24"/>
    </row>
    <row r="2532" spans="1:8" x14ac:dyDescent="0.2">
      <c r="B2532" s="48"/>
      <c r="C2532" s="39"/>
      <c r="D2532" s="44"/>
      <c r="E2532" s="69" t="s">
        <v>1038</v>
      </c>
      <c r="F2532" s="20"/>
      <c r="G2532" s="19"/>
      <c r="H2532" s="24"/>
    </row>
    <row r="2533" spans="1:8" s="17" customFormat="1" x14ac:dyDescent="0.2">
      <c r="A2533" s="4"/>
      <c r="B2533" s="49" t="s">
        <v>1689</v>
      </c>
      <c r="C2533" s="36"/>
      <c r="D2533" s="45"/>
      <c r="E2533" s="14"/>
      <c r="F2533" s="30"/>
      <c r="G2533" s="29"/>
      <c r="H2533" s="15"/>
    </row>
    <row r="2534" spans="1:8" x14ac:dyDescent="0.2">
      <c r="B2534" s="52"/>
      <c r="C2534" s="60" t="s">
        <v>1690</v>
      </c>
      <c r="D2534" s="44"/>
      <c r="E2534" s="69" t="s">
        <v>1034</v>
      </c>
      <c r="F2534" s="28"/>
      <c r="G2534" s="26"/>
      <c r="H2534" s="21" t="b">
        <f>IF(D2536="x",H$2,H$1)</f>
        <v>0</v>
      </c>
    </row>
    <row r="2535" spans="1:8" x14ac:dyDescent="0.2">
      <c r="B2535" s="48"/>
      <c r="C2535" s="61" t="s">
        <v>1691</v>
      </c>
      <c r="D2535" s="44"/>
      <c r="E2535" s="69" t="s">
        <v>1035</v>
      </c>
      <c r="F2535" s="22" t="str">
        <f>IF(H2536=1,IF(H2534=H$2,H2534,""),"")</f>
        <v/>
      </c>
      <c r="G2535" s="26"/>
      <c r="H2535" s="21" t="str">
        <f>IF(E$2581="comprobar",COUNTIF(D2534:D2538,"x"),"")</f>
        <v/>
      </c>
    </row>
    <row r="2536" spans="1:8" x14ac:dyDescent="0.2">
      <c r="B2536" s="48"/>
      <c r="C2536" s="61" t="s">
        <v>1692</v>
      </c>
      <c r="D2536" s="44"/>
      <c r="E2536" s="69" t="s">
        <v>1036</v>
      </c>
      <c r="F2536" s="23" t="str">
        <f>IF(H2536=-0.33,IF(H2534=H$1,H2534,""),"")</f>
        <v/>
      </c>
      <c r="G2536" s="26"/>
      <c r="H2536" s="24">
        <f t="shared" ref="H2536" si="796">IF(H2535=1,IF(H2534=H$2,1,-0.33),0)</f>
        <v>0</v>
      </c>
    </row>
    <row r="2537" spans="1:8" x14ac:dyDescent="0.2">
      <c r="B2537" s="48"/>
      <c r="C2537" s="61" t="s">
        <v>1693</v>
      </c>
      <c r="D2537" s="44"/>
      <c r="E2537" s="69" t="s">
        <v>1037</v>
      </c>
      <c r="F2537" s="28"/>
      <c r="G2537" s="26"/>
      <c r="H2537" s="24"/>
    </row>
    <row r="2538" spans="1:8" x14ac:dyDescent="0.2">
      <c r="B2538" s="48"/>
      <c r="C2538" s="39"/>
      <c r="D2538" s="44"/>
      <c r="E2538" s="69" t="s">
        <v>1038</v>
      </c>
      <c r="F2538" s="20"/>
      <c r="G2538" s="19"/>
      <c r="H2538" s="24"/>
    </row>
    <row r="2539" spans="1:8" s="17" customFormat="1" x14ac:dyDescent="0.2">
      <c r="A2539" s="4"/>
      <c r="B2539" s="49" t="s">
        <v>1694</v>
      </c>
      <c r="C2539" s="36"/>
      <c r="D2539" s="45"/>
      <c r="E2539" s="14"/>
      <c r="F2539" s="30"/>
      <c r="G2539" s="29"/>
      <c r="H2539" s="15"/>
    </row>
    <row r="2540" spans="1:8" x14ac:dyDescent="0.2">
      <c r="B2540" s="52"/>
      <c r="C2540" s="60" t="s">
        <v>1695</v>
      </c>
      <c r="D2540" s="44"/>
      <c r="E2540" s="69" t="s">
        <v>1034</v>
      </c>
      <c r="F2540" s="28"/>
      <c r="G2540" s="26"/>
      <c r="H2540" s="21" t="b">
        <f>IF(D2543="x",H$2,H$1)</f>
        <v>0</v>
      </c>
    </row>
    <row r="2541" spans="1:8" x14ac:dyDescent="0.2">
      <c r="B2541" s="48"/>
      <c r="C2541" s="61" t="s">
        <v>1696</v>
      </c>
      <c r="D2541" s="44"/>
      <c r="E2541" s="69" t="s">
        <v>1035</v>
      </c>
      <c r="F2541" s="22" t="str">
        <f>IF(H2542=1,IF(H2540=H$2,H2540,""),"")</f>
        <v/>
      </c>
      <c r="G2541" s="26"/>
      <c r="H2541" s="21" t="str">
        <f>IF(E$2581="comprobar",COUNTIF(D2540:D2544,"x"),"")</f>
        <v/>
      </c>
    </row>
    <row r="2542" spans="1:8" x14ac:dyDescent="0.2">
      <c r="B2542" s="48"/>
      <c r="C2542" s="61" t="s">
        <v>1697</v>
      </c>
      <c r="D2542" s="44"/>
      <c r="E2542" s="69" t="s">
        <v>1036</v>
      </c>
      <c r="F2542" s="23" t="str">
        <f>IF(H2542=-0.33,IF(H2540=H$1,H2540,""),"")</f>
        <v/>
      </c>
      <c r="G2542" s="26"/>
      <c r="H2542" s="24">
        <f t="shared" ref="H2542" si="797">IF(H2541=1,IF(H2540=H$2,1,-0.33),0)</f>
        <v>0</v>
      </c>
    </row>
    <row r="2543" spans="1:8" x14ac:dyDescent="0.2">
      <c r="B2543" s="48"/>
      <c r="C2543" s="61" t="s">
        <v>1698</v>
      </c>
      <c r="D2543" s="44"/>
      <c r="E2543" s="69" t="s">
        <v>1037</v>
      </c>
      <c r="F2543" s="28"/>
      <c r="G2543" s="26"/>
      <c r="H2543" s="24"/>
    </row>
    <row r="2544" spans="1:8" x14ac:dyDescent="0.2">
      <c r="B2544" s="48"/>
      <c r="C2544" s="39"/>
      <c r="D2544" s="44"/>
      <c r="E2544" s="69" t="s">
        <v>1038</v>
      </c>
      <c r="F2544" s="20"/>
      <c r="G2544" s="19"/>
      <c r="H2544" s="24"/>
    </row>
    <row r="2545" spans="1:8" s="17" customFormat="1" x14ac:dyDescent="0.2">
      <c r="A2545" s="4"/>
      <c r="B2545" s="49" t="s">
        <v>1699</v>
      </c>
      <c r="C2545" s="36"/>
      <c r="D2545" s="45"/>
      <c r="E2545" s="14"/>
      <c r="F2545" s="30"/>
      <c r="G2545" s="29"/>
      <c r="H2545" s="15"/>
    </row>
    <row r="2546" spans="1:8" x14ac:dyDescent="0.2">
      <c r="B2546" s="52"/>
      <c r="C2546" s="60" t="s">
        <v>1528</v>
      </c>
      <c r="D2546" s="44"/>
      <c r="E2546" s="69" t="s">
        <v>1034</v>
      </c>
      <c r="F2546" s="28"/>
      <c r="G2546" s="26"/>
      <c r="H2546" s="21" t="b">
        <f>IF(D2547="x",H$2,H$1)</f>
        <v>0</v>
      </c>
    </row>
    <row r="2547" spans="1:8" x14ac:dyDescent="0.2">
      <c r="B2547" s="48"/>
      <c r="C2547" s="61" t="s">
        <v>1700</v>
      </c>
      <c r="D2547" s="44"/>
      <c r="E2547" s="69" t="s">
        <v>1035</v>
      </c>
      <c r="F2547" s="22" t="str">
        <f>IF(H2548=1,IF(H2546=H$2,H2546,""),"")</f>
        <v/>
      </c>
      <c r="G2547" s="26"/>
      <c r="H2547" s="21" t="str">
        <f>IF(E$2581="comprobar",COUNTIF(D2546:D2550,"x"),"")</f>
        <v/>
      </c>
    </row>
    <row r="2548" spans="1:8" x14ac:dyDescent="0.2">
      <c r="B2548" s="48"/>
      <c r="C2548" s="61" t="s">
        <v>1701</v>
      </c>
      <c r="D2548" s="44"/>
      <c r="E2548" s="69" t="s">
        <v>1036</v>
      </c>
      <c r="F2548" s="23" t="str">
        <f>IF(H2548=-0.33,IF(H2546=H$1,H2546,""),"")</f>
        <v/>
      </c>
      <c r="G2548" s="26"/>
      <c r="H2548" s="24">
        <f t="shared" ref="H2548" si="798">IF(H2547=1,IF(H2546=H$2,1,-0.33),0)</f>
        <v>0</v>
      </c>
    </row>
    <row r="2549" spans="1:8" x14ac:dyDescent="0.2">
      <c r="B2549" s="48"/>
      <c r="C2549" s="61" t="s">
        <v>1702</v>
      </c>
      <c r="D2549" s="44"/>
      <c r="E2549" s="69" t="s">
        <v>1037</v>
      </c>
      <c r="F2549" s="28"/>
      <c r="G2549" s="26"/>
      <c r="H2549" s="24"/>
    </row>
    <row r="2550" spans="1:8" x14ac:dyDescent="0.2">
      <c r="B2550" s="48"/>
      <c r="C2550" s="39"/>
      <c r="D2550" s="44"/>
      <c r="E2550" s="69" t="s">
        <v>1038</v>
      </c>
      <c r="F2550" s="20"/>
      <c r="G2550" s="19"/>
      <c r="H2550" s="24"/>
    </row>
    <row r="2551" spans="1:8" s="17" customFormat="1" x14ac:dyDescent="0.2">
      <c r="A2551" s="4"/>
      <c r="B2551" s="49" t="s">
        <v>1703</v>
      </c>
      <c r="C2551" s="36"/>
      <c r="D2551" s="45"/>
      <c r="E2551" s="14"/>
      <c r="F2551" s="30"/>
      <c r="G2551" s="29"/>
      <c r="H2551" s="15"/>
    </row>
    <row r="2552" spans="1:8" x14ac:dyDescent="0.2">
      <c r="B2552" s="52"/>
      <c r="C2552" s="60" t="s">
        <v>1704</v>
      </c>
      <c r="D2552" s="44"/>
      <c r="E2552" s="69" t="s">
        <v>1034</v>
      </c>
      <c r="F2552" s="28"/>
      <c r="G2552" s="26"/>
      <c r="H2552" s="21" t="b">
        <f>IF(D2555="x",H$2,H$1)</f>
        <v>0</v>
      </c>
    </row>
    <row r="2553" spans="1:8" x14ac:dyDescent="0.2">
      <c r="B2553" s="48"/>
      <c r="C2553" s="61" t="s">
        <v>1705</v>
      </c>
      <c r="D2553" s="44"/>
      <c r="E2553" s="69" t="s">
        <v>1035</v>
      </c>
      <c r="F2553" s="22" t="str">
        <f>IF(H2554=1,IF(H2552=H$2,H2552,""),"")</f>
        <v/>
      </c>
      <c r="G2553" s="26"/>
      <c r="H2553" s="21" t="str">
        <f>IF(E$2581="comprobar",COUNTIF(D2552:D2556,"x"),"")</f>
        <v/>
      </c>
    </row>
    <row r="2554" spans="1:8" x14ac:dyDescent="0.2">
      <c r="B2554" s="48"/>
      <c r="C2554" s="61" t="s">
        <v>1706</v>
      </c>
      <c r="D2554" s="44"/>
      <c r="E2554" s="69" t="s">
        <v>1036</v>
      </c>
      <c r="F2554" s="23" t="str">
        <f>IF(H2554=-0.33,IF(H2552=H$1,H2552,""),"")</f>
        <v/>
      </c>
      <c r="G2554" s="26"/>
      <c r="H2554" s="24">
        <f t="shared" ref="H2554" si="799">IF(H2553=1,IF(H2552=H$2,1,-0.33),0)</f>
        <v>0</v>
      </c>
    </row>
    <row r="2555" spans="1:8" x14ac:dyDescent="0.2">
      <c r="B2555" s="48"/>
      <c r="C2555" s="61" t="s">
        <v>1707</v>
      </c>
      <c r="D2555" s="44"/>
      <c r="E2555" s="69" t="s">
        <v>1037</v>
      </c>
      <c r="F2555" s="28"/>
      <c r="G2555" s="26"/>
      <c r="H2555" s="24"/>
    </row>
    <row r="2556" spans="1:8" x14ac:dyDescent="0.2">
      <c r="B2556" s="48"/>
      <c r="C2556" s="39"/>
      <c r="D2556" s="44"/>
      <c r="E2556" s="69" t="s">
        <v>1038</v>
      </c>
      <c r="F2556" s="20"/>
      <c r="G2556" s="19"/>
      <c r="H2556" s="24"/>
    </row>
    <row r="2557" spans="1:8" s="17" customFormat="1" x14ac:dyDescent="0.2">
      <c r="A2557" s="4"/>
      <c r="B2557" s="49" t="s">
        <v>1708</v>
      </c>
      <c r="C2557" s="36"/>
      <c r="D2557" s="45"/>
      <c r="E2557" s="14"/>
      <c r="F2557" s="30"/>
      <c r="G2557" s="29"/>
      <c r="H2557" s="15"/>
    </row>
    <row r="2558" spans="1:8" x14ac:dyDescent="0.2">
      <c r="B2558" s="52"/>
      <c r="C2558" s="60" t="s">
        <v>1709</v>
      </c>
      <c r="D2558" s="44"/>
      <c r="E2558" s="69" t="s">
        <v>1034</v>
      </c>
      <c r="F2558" s="28"/>
      <c r="G2558" s="26"/>
      <c r="H2558" s="21" t="b">
        <f>IF(D2560="x",H$2,H$1)</f>
        <v>0</v>
      </c>
    </row>
    <row r="2559" spans="1:8" x14ac:dyDescent="0.2">
      <c r="B2559" s="48"/>
      <c r="C2559" s="61" t="s">
        <v>1710</v>
      </c>
      <c r="D2559" s="44"/>
      <c r="E2559" s="69" t="s">
        <v>1035</v>
      </c>
      <c r="F2559" s="22" t="str">
        <f>IF(H2560=1,IF(H2558=H$2,H2558,""),"")</f>
        <v/>
      </c>
      <c r="G2559" s="26"/>
      <c r="H2559" s="21" t="str">
        <f>IF(E$2581="comprobar",COUNTIF(D2558:D2562,"x"),"")</f>
        <v/>
      </c>
    </row>
    <row r="2560" spans="1:8" x14ac:dyDescent="0.2">
      <c r="B2560" s="48"/>
      <c r="C2560" s="61" t="s">
        <v>1711</v>
      </c>
      <c r="D2560" s="44"/>
      <c r="E2560" s="69" t="s">
        <v>1036</v>
      </c>
      <c r="F2560" s="23" t="str">
        <f>IF(H2560=-0.33,IF(H2558=H$1,H2558,""),"")</f>
        <v/>
      </c>
      <c r="G2560" s="26"/>
      <c r="H2560" s="24">
        <f t="shared" ref="H2560" si="800">IF(H2559=1,IF(H2558=H$2,1,-0.33),0)</f>
        <v>0</v>
      </c>
    </row>
    <row r="2561" spans="1:8" x14ac:dyDescent="0.2">
      <c r="B2561" s="48"/>
      <c r="C2561" s="61" t="s">
        <v>1712</v>
      </c>
      <c r="D2561" s="44"/>
      <c r="E2561" s="69" t="s">
        <v>1037</v>
      </c>
      <c r="F2561" s="28"/>
      <c r="G2561" s="26"/>
      <c r="H2561" s="24"/>
    </row>
    <row r="2562" spans="1:8" x14ac:dyDescent="0.2">
      <c r="B2562" s="48"/>
      <c r="C2562" s="39"/>
      <c r="D2562" s="44"/>
      <c r="E2562" s="69" t="s">
        <v>1038</v>
      </c>
      <c r="F2562" s="20"/>
      <c r="G2562" s="19"/>
      <c r="H2562" s="24"/>
    </row>
    <row r="2563" spans="1:8" s="17" customFormat="1" x14ac:dyDescent="0.2">
      <c r="A2563" s="4"/>
      <c r="B2563" s="49" t="s">
        <v>1713</v>
      </c>
      <c r="C2563" s="36"/>
      <c r="D2563" s="45"/>
      <c r="E2563" s="14"/>
      <c r="F2563" s="30"/>
      <c r="G2563" s="29"/>
      <c r="H2563" s="15"/>
    </row>
    <row r="2564" spans="1:8" x14ac:dyDescent="0.2">
      <c r="B2564" s="52"/>
      <c r="C2564" s="60" t="s">
        <v>1714</v>
      </c>
      <c r="D2564" s="44"/>
      <c r="E2564" s="69" t="s">
        <v>1034</v>
      </c>
      <c r="F2564" s="28"/>
      <c r="G2564" s="26"/>
      <c r="H2564" s="21" t="b">
        <f>IF(D2565="x",H$2,H$1)</f>
        <v>0</v>
      </c>
    </row>
    <row r="2565" spans="1:8" x14ac:dyDescent="0.2">
      <c r="B2565" s="48"/>
      <c r="C2565" s="61" t="s">
        <v>1715</v>
      </c>
      <c r="D2565" s="44"/>
      <c r="E2565" s="69" t="s">
        <v>1035</v>
      </c>
      <c r="F2565" s="22" t="str">
        <f>IF(H2566=1,IF(H2564=H$2,H2564,""),"")</f>
        <v/>
      </c>
      <c r="G2565" s="26"/>
      <c r="H2565" s="21" t="str">
        <f>IF(E$2581="comprobar",COUNTIF(D2564:D2568,"x"),"")</f>
        <v/>
      </c>
    </row>
    <row r="2566" spans="1:8" x14ac:dyDescent="0.2">
      <c r="B2566" s="48"/>
      <c r="C2566" s="61" t="s">
        <v>1716</v>
      </c>
      <c r="D2566" s="44"/>
      <c r="E2566" s="69" t="s">
        <v>1036</v>
      </c>
      <c r="F2566" s="23" t="str">
        <f>IF(H2566=-0.33,IF(H2564=H$1,H2564,""),"")</f>
        <v/>
      </c>
      <c r="G2566" s="26"/>
      <c r="H2566" s="24">
        <f t="shared" ref="H2566" si="801">IF(H2565=1,IF(H2564=H$2,1,-0.33),0)</f>
        <v>0</v>
      </c>
    </row>
    <row r="2567" spans="1:8" x14ac:dyDescent="0.2">
      <c r="B2567" s="48"/>
      <c r="C2567" s="61" t="s">
        <v>605</v>
      </c>
      <c r="D2567" s="44"/>
      <c r="E2567" s="69" t="s">
        <v>1037</v>
      </c>
      <c r="F2567" s="28"/>
      <c r="G2567" s="26"/>
      <c r="H2567" s="24"/>
    </row>
    <row r="2568" spans="1:8" x14ac:dyDescent="0.2">
      <c r="B2568" s="48"/>
      <c r="C2568" s="39"/>
      <c r="D2568" s="44"/>
      <c r="E2568" s="69" t="s">
        <v>1038</v>
      </c>
      <c r="F2568" s="20"/>
      <c r="G2568" s="19"/>
      <c r="H2568" s="24"/>
    </row>
    <row r="2569" spans="1:8" s="17" customFormat="1" x14ac:dyDescent="0.2">
      <c r="A2569" s="4"/>
      <c r="B2569" s="76" t="s">
        <v>1717</v>
      </c>
      <c r="C2569" s="77"/>
      <c r="D2569" s="45"/>
      <c r="E2569" s="14"/>
      <c r="F2569" s="30"/>
      <c r="G2569" s="29"/>
      <c r="H2569" s="15"/>
    </row>
    <row r="2570" spans="1:8" x14ac:dyDescent="0.2">
      <c r="B2570" s="52"/>
      <c r="C2570" s="56" t="s">
        <v>1718</v>
      </c>
      <c r="D2570" s="44"/>
      <c r="E2570" s="69" t="s">
        <v>1034</v>
      </c>
      <c r="F2570" s="28"/>
      <c r="G2570" s="26"/>
      <c r="H2570" s="21" t="b">
        <f>IF(D2572="x",H$2,H$1)</f>
        <v>0</v>
      </c>
    </row>
    <row r="2571" spans="1:8" x14ac:dyDescent="0.2">
      <c r="B2571" s="52"/>
      <c r="C2571" s="74" t="s">
        <v>1719</v>
      </c>
      <c r="D2571" s="44"/>
      <c r="E2571" s="69" t="s">
        <v>1035</v>
      </c>
      <c r="F2571" s="22" t="str">
        <f>IF(H2572=1,IF(H2570=H$2,H2570,""),"")</f>
        <v/>
      </c>
      <c r="G2571" s="26"/>
      <c r="H2571" s="21" t="str">
        <f>IF(E$2581="comprobar",COUNTIF(D2570:D2574,"x"),"")</f>
        <v/>
      </c>
    </row>
    <row r="2572" spans="1:8" x14ac:dyDescent="0.2">
      <c r="B2572" s="48"/>
      <c r="C2572" s="75" t="s">
        <v>1720</v>
      </c>
      <c r="D2572" s="44"/>
      <c r="E2572" s="69" t="s">
        <v>1036</v>
      </c>
      <c r="F2572" s="23" t="str">
        <f>IF(H2572=-0.33,IF(H2570=H$1,H2570,""),"")</f>
        <v/>
      </c>
      <c r="G2572" s="26"/>
      <c r="H2572" s="24">
        <f t="shared" ref="H2572" si="802">IF(H2571=1,IF(H2570=H$2,1,-0.33),0)</f>
        <v>0</v>
      </c>
    </row>
    <row r="2573" spans="1:8" x14ac:dyDescent="0.2">
      <c r="B2573" s="48"/>
      <c r="C2573" s="61" t="s">
        <v>1721</v>
      </c>
      <c r="D2573" s="44"/>
      <c r="E2573" s="69" t="s">
        <v>1037</v>
      </c>
      <c r="F2573" s="28"/>
      <c r="G2573" s="26"/>
      <c r="H2573" s="24"/>
    </row>
    <row r="2574" spans="1:8" x14ac:dyDescent="0.2">
      <c r="B2574" s="48"/>
      <c r="C2574" s="39"/>
      <c r="D2574" s="44"/>
      <c r="E2574" s="69" t="s">
        <v>1038</v>
      </c>
      <c r="F2574" s="20"/>
      <c r="G2574" s="19"/>
      <c r="H2574" s="24"/>
    </row>
    <row r="2575" spans="1:8" s="17" customFormat="1" x14ac:dyDescent="0.2">
      <c r="A2575" s="4"/>
      <c r="B2575" s="76" t="s">
        <v>1722</v>
      </c>
      <c r="C2575" s="78"/>
      <c r="D2575" s="45"/>
      <c r="E2575" s="14"/>
      <c r="F2575" s="30"/>
      <c r="G2575" s="29"/>
      <c r="H2575" s="15"/>
    </row>
    <row r="2576" spans="1:8" x14ac:dyDescent="0.2">
      <c r="B2576" s="48"/>
      <c r="C2576" s="61" t="s">
        <v>1723</v>
      </c>
      <c r="D2576" s="44"/>
      <c r="E2576" s="69" t="s">
        <v>1034</v>
      </c>
      <c r="F2576" s="28"/>
      <c r="G2576" s="26"/>
      <c r="H2576" s="21" t="b">
        <f>IF(D2576="x",H$2,H$1)</f>
        <v>0</v>
      </c>
    </row>
    <row r="2577" spans="2:8" x14ac:dyDescent="0.2">
      <c r="B2577" s="52"/>
      <c r="C2577" s="79" t="s">
        <v>1724</v>
      </c>
      <c r="D2577" s="44"/>
      <c r="E2577" s="69" t="s">
        <v>1035</v>
      </c>
      <c r="F2577" s="22" t="str">
        <f>IF(H2578=1,IF(H2576=H$2,H2576,""),"")</f>
        <v/>
      </c>
      <c r="G2577" s="26"/>
      <c r="H2577" s="21" t="str">
        <f>IF(E$2581="comprobar",COUNTIF(D2576:D2579,"x"),"")</f>
        <v/>
      </c>
    </row>
    <row r="2578" spans="2:8" ht="32" x14ac:dyDescent="0.2">
      <c r="B2578" s="52"/>
      <c r="C2578" s="79" t="s">
        <v>1725</v>
      </c>
      <c r="D2578" s="44"/>
      <c r="E2578" s="69" t="s">
        <v>1036</v>
      </c>
      <c r="F2578" s="23" t="str">
        <f>IF(H2578=-0.33,IF(H2576=H$1,H2576,""),"")</f>
        <v/>
      </c>
      <c r="G2578" s="26"/>
      <c r="H2578" s="24">
        <f t="shared" ref="H2578" si="803">IF(H2577=1,IF(H2576=H$2,1,-0.33),0)</f>
        <v>0</v>
      </c>
    </row>
    <row r="2579" spans="2:8" x14ac:dyDescent="0.2">
      <c r="B2579" s="48"/>
      <c r="C2579" s="61" t="s">
        <v>605</v>
      </c>
      <c r="D2579" s="44"/>
      <c r="E2579" s="69" t="s">
        <v>1037</v>
      </c>
      <c r="F2579" s="28"/>
      <c r="G2579" s="26"/>
      <c r="H2579" s="24"/>
    </row>
    <row r="2580" spans="2:8" x14ac:dyDescent="0.2">
      <c r="B2580" s="48"/>
      <c r="C2580" s="39"/>
      <c r="D2580" s="73"/>
      <c r="E2580" s="98"/>
      <c r="F2580" s="20"/>
      <c r="G2580" s="19"/>
      <c r="H2580" s="24"/>
    </row>
    <row r="2581" spans="2:8" x14ac:dyDescent="0.2">
      <c r="B2581" s="52"/>
      <c r="C2581" s="18"/>
      <c r="D2581" s="73"/>
      <c r="E2581" s="98"/>
      <c r="F2581" s="31" t="s">
        <v>93</v>
      </c>
      <c r="G2581" s="19" t="s">
        <v>91</v>
      </c>
      <c r="H2581" s="19" t="s">
        <v>92</v>
      </c>
    </row>
    <row r="2582" spans="2:8" ht="20" x14ac:dyDescent="0.2">
      <c r="B2582" s="52"/>
      <c r="C2582" s="18"/>
      <c r="D2582" s="115"/>
      <c r="E2582" s="115"/>
      <c r="F2582" s="32" t="str">
        <f>IF(E2581="comprobar",H2530+H2524+H2518+H2512+H2506+H2500+H2410+H2494+H2488+H2482+H2476+H2536+H2542+H2548+H2374+H2554+H2560+H2566+H2572+H2578+H2470+H2464+H2458+H2452+H2440+H2446+H2434+H2428+H2422+H2416+H2404+H2398+H2392+H2386+H2380+H2368+H2362+H2356+H2350+H2344,"")</f>
        <v/>
      </c>
      <c r="G2582" s="19">
        <f>40/2</f>
        <v>20</v>
      </c>
      <c r="H2582" s="19"/>
    </row>
    <row r="2583" spans="2:8" ht="17" thickBot="1" x14ac:dyDescent="0.25">
      <c r="B2583" s="53"/>
      <c r="C2583" s="33"/>
      <c r="D2583" s="34"/>
      <c r="E2583" s="9"/>
      <c r="F2583" s="35" t="str">
        <f>IF(F2582&gt;G2582,G2581,H2581)</f>
        <v>APROBADO</v>
      </c>
      <c r="G2583" s="19"/>
      <c r="H2583" s="19"/>
    </row>
    <row r="2584" spans="2:8" ht="29" x14ac:dyDescent="0.25">
      <c r="B2584" s="54"/>
      <c r="C2584" s="111" t="s">
        <v>1898</v>
      </c>
      <c r="D2584" s="111"/>
      <c r="E2584" s="111"/>
      <c r="F2584" s="112"/>
    </row>
    <row r="2585" spans="2:8" x14ac:dyDescent="0.2">
      <c r="B2585" s="49" t="s">
        <v>1799</v>
      </c>
      <c r="C2585" s="13" t="s">
        <v>1800</v>
      </c>
      <c r="D2585" s="14"/>
      <c r="E2585" s="14"/>
      <c r="F2585" s="16"/>
      <c r="G2585" s="15"/>
      <c r="H2585" s="15"/>
    </row>
    <row r="2586" spans="2:8" x14ac:dyDescent="0.2">
      <c r="B2586" s="48"/>
      <c r="C2586" s="60" t="s">
        <v>1801</v>
      </c>
      <c r="D2586" s="44"/>
      <c r="E2586" s="99" t="s">
        <v>1034</v>
      </c>
      <c r="F2586" s="20"/>
      <c r="G2586" s="19"/>
      <c r="H2586" s="21" t="b">
        <f>IF(D2589="x",H$2,H$1)</f>
        <v>0</v>
      </c>
    </row>
    <row r="2587" spans="2:8" ht="32" x14ac:dyDescent="0.2">
      <c r="B2587" s="48"/>
      <c r="C2587" s="61" t="s">
        <v>1802</v>
      </c>
      <c r="D2587" s="44"/>
      <c r="E2587" s="99" t="s">
        <v>1035</v>
      </c>
      <c r="F2587" s="22"/>
      <c r="G2587" s="19"/>
      <c r="H2587" s="21" t="str">
        <f>IF(E$2705="comprobar",COUNTIF(D2586:D2590,"x"),"")</f>
        <v/>
      </c>
    </row>
    <row r="2588" spans="2:8" x14ac:dyDescent="0.2">
      <c r="B2588" s="48"/>
      <c r="C2588" s="61" t="s">
        <v>1803</v>
      </c>
      <c r="D2588" s="44"/>
      <c r="E2588" s="99" t="s">
        <v>1036</v>
      </c>
      <c r="F2588" s="23"/>
      <c r="G2588" s="19"/>
      <c r="H2588" s="24">
        <f>IF(H2587=1,IF(H2586=H$2,1,-0.33),0)</f>
        <v>0</v>
      </c>
    </row>
    <row r="2589" spans="2:8" x14ac:dyDescent="0.2">
      <c r="B2589" s="48"/>
      <c r="C2589" s="61" t="s">
        <v>583</v>
      </c>
      <c r="D2589" s="44"/>
      <c r="E2589" s="99" t="s">
        <v>1037</v>
      </c>
      <c r="F2589" s="20"/>
      <c r="G2589" s="19"/>
      <c r="H2589" s="24"/>
    </row>
    <row r="2590" spans="2:8" x14ac:dyDescent="0.2">
      <c r="B2590" s="48"/>
      <c r="C2590" s="8"/>
      <c r="D2590" s="44"/>
      <c r="E2590" s="99" t="s">
        <v>1038</v>
      </c>
      <c r="F2590" s="20"/>
      <c r="G2590" s="19"/>
      <c r="H2590" s="24"/>
    </row>
    <row r="2591" spans="2:8" x14ac:dyDescent="0.2">
      <c r="B2591" s="49" t="s">
        <v>1804</v>
      </c>
      <c r="C2591" s="13" t="s">
        <v>1805</v>
      </c>
      <c r="D2591" s="45"/>
      <c r="E2591" s="14"/>
      <c r="F2591" s="16"/>
      <c r="G2591" s="15"/>
      <c r="H2591" s="15"/>
    </row>
    <row r="2592" spans="2:8" x14ac:dyDescent="0.2">
      <c r="B2592" s="48"/>
      <c r="C2592" s="56" t="s">
        <v>1806</v>
      </c>
      <c r="D2592" s="44"/>
      <c r="E2592" s="99" t="s">
        <v>1034</v>
      </c>
      <c r="F2592" s="20"/>
      <c r="G2592" s="19"/>
      <c r="H2592" s="21" t="b">
        <f>IF(D2595="x",H$2,H$1)</f>
        <v>0</v>
      </c>
    </row>
    <row r="2593" spans="2:8" x14ac:dyDescent="0.2">
      <c r="B2593" s="48"/>
      <c r="C2593" s="57" t="s">
        <v>1807</v>
      </c>
      <c r="D2593" s="44"/>
      <c r="E2593" s="99" t="s">
        <v>1035</v>
      </c>
      <c r="F2593" s="22"/>
      <c r="G2593" s="19"/>
      <c r="H2593" s="21" t="str">
        <f>IF(E$2705="comprobar",COUNTIF(D2592:D2596,"x"),"")</f>
        <v/>
      </c>
    </row>
    <row r="2594" spans="2:8" x14ac:dyDescent="0.2">
      <c r="B2594" s="48"/>
      <c r="C2594" s="57" t="s">
        <v>1808</v>
      </c>
      <c r="D2594" s="44"/>
      <c r="E2594" s="99" t="s">
        <v>1036</v>
      </c>
      <c r="F2594" s="23"/>
      <c r="G2594" s="19"/>
      <c r="H2594" s="24">
        <f t="shared" ref="H2594" si="804">IF(H2593=1,IF(H2592=H$2,1,-0.33),0)</f>
        <v>0</v>
      </c>
    </row>
    <row r="2595" spans="2:8" x14ac:dyDescent="0.2">
      <c r="B2595" s="48"/>
      <c r="C2595" s="57" t="s">
        <v>165</v>
      </c>
      <c r="D2595" s="44"/>
      <c r="E2595" s="99" t="s">
        <v>1037</v>
      </c>
      <c r="F2595" s="20"/>
      <c r="G2595" s="19"/>
      <c r="H2595" s="24"/>
    </row>
    <row r="2596" spans="2:8" x14ac:dyDescent="0.2">
      <c r="B2596" s="48"/>
      <c r="C2596" s="8"/>
      <c r="D2596" s="44"/>
      <c r="E2596" s="99" t="s">
        <v>1038</v>
      </c>
      <c r="F2596" s="20"/>
      <c r="G2596" s="19"/>
      <c r="H2596" s="24"/>
    </row>
    <row r="2597" spans="2:8" x14ac:dyDescent="0.2">
      <c r="B2597" s="49" t="s">
        <v>1809</v>
      </c>
      <c r="C2597" s="13" t="s">
        <v>1810</v>
      </c>
      <c r="D2597" s="45"/>
      <c r="E2597" s="14"/>
      <c r="F2597" s="16"/>
      <c r="G2597" s="15"/>
      <c r="H2597" s="15"/>
    </row>
    <row r="2598" spans="2:8" x14ac:dyDescent="0.2">
      <c r="B2598" s="48"/>
      <c r="C2598" s="56" t="s">
        <v>1811</v>
      </c>
      <c r="D2598" s="44"/>
      <c r="E2598" s="99" t="s">
        <v>1034</v>
      </c>
      <c r="F2598" s="20"/>
      <c r="G2598" s="19"/>
      <c r="H2598" s="21" t="b">
        <f>IF(D2600="x",H$2,H$1)</f>
        <v>0</v>
      </c>
    </row>
    <row r="2599" spans="2:8" x14ac:dyDescent="0.2">
      <c r="B2599" s="48"/>
      <c r="C2599" s="57" t="s">
        <v>1812</v>
      </c>
      <c r="D2599" s="44"/>
      <c r="E2599" s="99" t="s">
        <v>1035</v>
      </c>
      <c r="F2599" s="22"/>
      <c r="G2599" s="19"/>
      <c r="H2599" s="21" t="str">
        <f>IF(E$2705="comprobar",COUNTIF(D2598:D2602,"x"),"")</f>
        <v/>
      </c>
    </row>
    <row r="2600" spans="2:8" x14ac:dyDescent="0.2">
      <c r="B2600" s="48"/>
      <c r="C2600" s="57" t="s">
        <v>1813</v>
      </c>
      <c r="D2600" s="44"/>
      <c r="E2600" s="99" t="s">
        <v>1036</v>
      </c>
      <c r="F2600" s="23"/>
      <c r="G2600" s="19"/>
      <c r="H2600" s="24">
        <f t="shared" ref="H2600" si="805">IF(H2599=1,IF(H2598=H$2,1,-0.33),0)</f>
        <v>0</v>
      </c>
    </row>
    <row r="2601" spans="2:8" x14ac:dyDescent="0.2">
      <c r="B2601" s="48"/>
      <c r="C2601" s="57" t="s">
        <v>590</v>
      </c>
      <c r="D2601" s="44"/>
      <c r="E2601" s="99" t="s">
        <v>1037</v>
      </c>
      <c r="F2601" s="20"/>
      <c r="G2601" s="19"/>
      <c r="H2601" s="24"/>
    </row>
    <row r="2602" spans="2:8" x14ac:dyDescent="0.2">
      <c r="B2602" s="48"/>
      <c r="C2602" s="8"/>
      <c r="D2602" s="44"/>
      <c r="E2602" s="99" t="s">
        <v>1038</v>
      </c>
      <c r="F2602" s="20"/>
      <c r="G2602" s="19"/>
      <c r="H2602" s="24"/>
    </row>
    <row r="2603" spans="2:8" x14ac:dyDescent="0.2">
      <c r="B2603" s="49" t="s">
        <v>1814</v>
      </c>
      <c r="C2603" s="13" t="s">
        <v>1815</v>
      </c>
      <c r="D2603" s="45"/>
      <c r="E2603" s="14"/>
      <c r="F2603" s="16"/>
      <c r="G2603" s="15"/>
      <c r="H2603" s="15"/>
    </row>
    <row r="2604" spans="2:8" x14ac:dyDescent="0.2">
      <c r="B2604" s="48"/>
      <c r="C2604" s="56" t="s">
        <v>1816</v>
      </c>
      <c r="D2604" s="44"/>
      <c r="E2604" s="99" t="s">
        <v>1034</v>
      </c>
      <c r="F2604" s="20"/>
      <c r="G2604" s="19"/>
      <c r="H2604" s="21" t="b">
        <f>IF(D2604="x",H$2,H$1)</f>
        <v>0</v>
      </c>
    </row>
    <row r="2605" spans="2:8" x14ac:dyDescent="0.2">
      <c r="B2605" s="48"/>
      <c r="C2605" s="57" t="s">
        <v>1817</v>
      </c>
      <c r="D2605" s="44"/>
      <c r="E2605" s="99" t="s">
        <v>1035</v>
      </c>
      <c r="F2605" s="22"/>
      <c r="G2605" s="19"/>
      <c r="H2605" s="21" t="str">
        <f>IF(E$2705="comprobar",COUNTIF(D2604:D2608,"x"),"")</f>
        <v/>
      </c>
    </row>
    <row r="2606" spans="2:8" x14ac:dyDescent="0.2">
      <c r="B2606" s="48"/>
      <c r="C2606" s="57" t="s">
        <v>1818</v>
      </c>
      <c r="D2606" s="44"/>
      <c r="E2606" s="99" t="s">
        <v>1036</v>
      </c>
      <c r="F2606" s="23"/>
      <c r="G2606" s="19"/>
      <c r="H2606" s="24">
        <f t="shared" ref="H2606" si="806">IF(H2605=1,IF(H2604=H$2,1,-0.33),0)</f>
        <v>0</v>
      </c>
    </row>
    <row r="2607" spans="2:8" x14ac:dyDescent="0.2">
      <c r="B2607" s="48"/>
      <c r="C2607" s="57" t="s">
        <v>1819</v>
      </c>
      <c r="D2607" s="44"/>
      <c r="E2607" s="99" t="s">
        <v>1037</v>
      </c>
      <c r="F2607" s="20"/>
      <c r="G2607" s="19"/>
      <c r="H2607" s="24"/>
    </row>
    <row r="2608" spans="2:8" x14ac:dyDescent="0.2">
      <c r="B2608" s="48"/>
      <c r="C2608" s="8"/>
      <c r="D2608" s="44"/>
      <c r="E2608" s="99" t="s">
        <v>1038</v>
      </c>
      <c r="F2608" s="20"/>
      <c r="G2608" s="19"/>
      <c r="H2608" s="24"/>
    </row>
    <row r="2609" spans="2:8" s="4" customFormat="1" x14ac:dyDescent="0.2">
      <c r="B2609" s="49" t="s">
        <v>1820</v>
      </c>
      <c r="C2609" s="13" t="s">
        <v>1821</v>
      </c>
      <c r="D2609" s="45"/>
      <c r="E2609" s="14"/>
      <c r="F2609" s="16"/>
      <c r="G2609" s="15"/>
      <c r="H2609" s="15"/>
    </row>
    <row r="2610" spans="2:8" x14ac:dyDescent="0.2">
      <c r="B2610" s="48"/>
      <c r="C2610" s="56" t="s">
        <v>1822</v>
      </c>
      <c r="D2610" s="44"/>
      <c r="E2610" s="99" t="s">
        <v>1034</v>
      </c>
      <c r="F2610" s="20"/>
      <c r="G2610" s="19"/>
      <c r="H2610" s="21" t="b">
        <f>IF(D2611="x",H$2,H$1)</f>
        <v>0</v>
      </c>
    </row>
    <row r="2611" spans="2:8" x14ac:dyDescent="0.2">
      <c r="B2611" s="48"/>
      <c r="C2611" s="57" t="s">
        <v>1823</v>
      </c>
      <c r="D2611" s="44"/>
      <c r="E2611" s="99" t="s">
        <v>1035</v>
      </c>
      <c r="F2611" s="22"/>
      <c r="G2611" s="19"/>
      <c r="H2611" s="21" t="str">
        <f>IF(E$2705="comprobar",COUNTIF(D2610:D2614,"x"),"")</f>
        <v/>
      </c>
    </row>
    <row r="2612" spans="2:8" x14ac:dyDescent="0.2">
      <c r="B2612" s="48"/>
      <c r="C2612" s="57" t="s">
        <v>1824</v>
      </c>
      <c r="D2612" s="44"/>
      <c r="E2612" s="99" t="s">
        <v>1036</v>
      </c>
      <c r="F2612" s="23"/>
      <c r="G2612" s="19"/>
      <c r="H2612" s="24">
        <f t="shared" ref="H2612" si="807">IF(H2611=1,IF(H2610=H$2,1,-0.33),0)</f>
        <v>0</v>
      </c>
    </row>
    <row r="2613" spans="2:8" x14ac:dyDescent="0.2">
      <c r="B2613" s="48"/>
      <c r="C2613" s="57" t="s">
        <v>1825</v>
      </c>
      <c r="D2613" s="44"/>
      <c r="E2613" s="99" t="s">
        <v>1037</v>
      </c>
      <c r="F2613" s="20"/>
      <c r="G2613" s="19"/>
      <c r="H2613" s="24"/>
    </row>
    <row r="2614" spans="2:8" x14ac:dyDescent="0.2">
      <c r="B2614" s="48"/>
      <c r="C2614" s="8"/>
      <c r="D2614" s="44"/>
      <c r="E2614" s="99" t="s">
        <v>1038</v>
      </c>
      <c r="F2614" s="20"/>
      <c r="G2614" s="19"/>
      <c r="H2614" s="24"/>
    </row>
    <row r="2615" spans="2:8" x14ac:dyDescent="0.2">
      <c r="B2615" s="49" t="s">
        <v>1826</v>
      </c>
      <c r="C2615" s="13" t="s">
        <v>1827</v>
      </c>
      <c r="D2615" s="45"/>
      <c r="E2615" s="14"/>
      <c r="F2615" s="16"/>
      <c r="G2615" s="15"/>
      <c r="H2615" s="15"/>
    </row>
    <row r="2616" spans="2:8" ht="32" x14ac:dyDescent="0.2">
      <c r="B2616" s="48"/>
      <c r="C2616" s="60" t="s">
        <v>1828</v>
      </c>
      <c r="D2616" s="44"/>
      <c r="E2616" s="99" t="s">
        <v>1034</v>
      </c>
      <c r="F2616" s="20"/>
      <c r="G2616" s="19"/>
      <c r="H2616" s="21" t="b">
        <f>IF(D2616="x",H$2,H$1)</f>
        <v>0</v>
      </c>
    </row>
    <row r="2617" spans="2:8" ht="32" x14ac:dyDescent="0.2">
      <c r="B2617" s="48"/>
      <c r="C2617" s="61" t="s">
        <v>1829</v>
      </c>
      <c r="D2617" s="44"/>
      <c r="E2617" s="99" t="s">
        <v>1035</v>
      </c>
      <c r="F2617" s="22"/>
      <c r="G2617" s="19"/>
      <c r="H2617" s="21" t="str">
        <f>IF(E$2705="comprobar",COUNTIF(D2616:D2620,"x"),"")</f>
        <v/>
      </c>
    </row>
    <row r="2618" spans="2:8" x14ac:dyDescent="0.2">
      <c r="B2618" s="48"/>
      <c r="C2618" s="61" t="s">
        <v>1830</v>
      </c>
      <c r="D2618" s="44"/>
      <c r="E2618" s="99" t="s">
        <v>1036</v>
      </c>
      <c r="F2618" s="23"/>
      <c r="G2618" s="19"/>
      <c r="H2618" s="24">
        <f t="shared" ref="H2618" si="808">IF(H2617=1,IF(H2616=H$2,1,-0.33),0)</f>
        <v>0</v>
      </c>
    </row>
    <row r="2619" spans="2:8" x14ac:dyDescent="0.2">
      <c r="B2619" s="48"/>
      <c r="C2619" s="57"/>
      <c r="D2619" s="44"/>
      <c r="E2619" s="99" t="s">
        <v>1037</v>
      </c>
      <c r="F2619" s="20"/>
      <c r="G2619" s="19"/>
      <c r="H2619" s="24"/>
    </row>
    <row r="2620" spans="2:8" x14ac:dyDescent="0.2">
      <c r="B2620" s="48"/>
      <c r="C2620" s="8"/>
      <c r="D2620" s="44"/>
      <c r="E2620" s="99" t="s">
        <v>1038</v>
      </c>
      <c r="F2620" s="20"/>
      <c r="G2620" s="19"/>
      <c r="H2620" s="24"/>
    </row>
    <row r="2621" spans="2:8" x14ac:dyDescent="0.2">
      <c r="B2621" s="49" t="s">
        <v>1831</v>
      </c>
      <c r="C2621" s="13" t="s">
        <v>1832</v>
      </c>
      <c r="D2621" s="45"/>
      <c r="E2621" s="14"/>
      <c r="F2621" s="16"/>
      <c r="G2621" s="15"/>
      <c r="H2621" s="15"/>
    </row>
    <row r="2622" spans="2:8" x14ac:dyDescent="0.2">
      <c r="B2622" s="48"/>
      <c r="C2622" s="56" t="s">
        <v>1833</v>
      </c>
      <c r="D2622" s="44"/>
      <c r="E2622" s="99" t="s">
        <v>1034</v>
      </c>
      <c r="F2622" s="20"/>
      <c r="G2622" s="19"/>
      <c r="H2622" s="21" t="b">
        <f>IF(D2622="x",H$2,H$1)</f>
        <v>0</v>
      </c>
    </row>
    <row r="2623" spans="2:8" x14ac:dyDescent="0.2">
      <c r="B2623" s="48"/>
      <c r="C2623" s="57" t="s">
        <v>1834</v>
      </c>
      <c r="D2623" s="44"/>
      <c r="E2623" s="99" t="s">
        <v>1035</v>
      </c>
      <c r="F2623" s="22"/>
      <c r="G2623" s="19"/>
      <c r="H2623" s="21" t="str">
        <f>IF(E$2705="comprobar",COUNTIF(D2622:D2626,"x"),"")</f>
        <v/>
      </c>
    </row>
    <row r="2624" spans="2:8" x14ac:dyDescent="0.2">
      <c r="B2624" s="48"/>
      <c r="C2624" s="57" t="s">
        <v>1835</v>
      </c>
      <c r="D2624" s="44"/>
      <c r="E2624" s="99" t="s">
        <v>1036</v>
      </c>
      <c r="F2624" s="23"/>
      <c r="G2624" s="19"/>
      <c r="H2624" s="24">
        <f t="shared" ref="H2624" si="809">IF(H2623=1,IF(H2622=H$2,1,-0.33),0)</f>
        <v>0</v>
      </c>
    </row>
    <row r="2625" spans="2:8" x14ac:dyDescent="0.2">
      <c r="B2625" s="48"/>
      <c r="C2625" s="57"/>
      <c r="D2625" s="44"/>
      <c r="E2625" s="99" t="s">
        <v>1037</v>
      </c>
      <c r="F2625" s="20"/>
      <c r="G2625" s="19"/>
      <c r="H2625" s="24"/>
    </row>
    <row r="2626" spans="2:8" x14ac:dyDescent="0.2">
      <c r="B2626" s="48"/>
      <c r="C2626" s="8"/>
      <c r="D2626" s="44"/>
      <c r="E2626" s="99" t="s">
        <v>1038</v>
      </c>
      <c r="F2626" s="20"/>
      <c r="G2626" s="19"/>
      <c r="H2626" s="24"/>
    </row>
    <row r="2627" spans="2:8" x14ac:dyDescent="0.2">
      <c r="B2627" s="49" t="s">
        <v>1836</v>
      </c>
      <c r="C2627" s="13" t="s">
        <v>1837</v>
      </c>
      <c r="D2627" s="45"/>
      <c r="E2627" s="14"/>
      <c r="F2627" s="16"/>
      <c r="G2627" s="15"/>
      <c r="H2627" s="15"/>
    </row>
    <row r="2628" spans="2:8" x14ac:dyDescent="0.2">
      <c r="B2628" s="48"/>
      <c r="C2628" s="56" t="s">
        <v>1838</v>
      </c>
      <c r="D2628" s="44"/>
      <c r="E2628" s="99" t="s">
        <v>1034</v>
      </c>
      <c r="F2628" s="20"/>
      <c r="G2628" s="19"/>
      <c r="H2628" s="21" t="b">
        <f>IF(D2628="x",H$2,H$1)</f>
        <v>0</v>
      </c>
    </row>
    <row r="2629" spans="2:8" x14ac:dyDescent="0.2">
      <c r="B2629" s="48"/>
      <c r="C2629" s="57" t="s">
        <v>1839</v>
      </c>
      <c r="D2629" s="44"/>
      <c r="E2629" s="99" t="s">
        <v>1035</v>
      </c>
      <c r="F2629" s="22"/>
      <c r="G2629" s="19"/>
      <c r="H2629" s="21" t="str">
        <f>IF(E$2705="comprobar",COUNTIF(D2628:D2632,"x"),"")</f>
        <v/>
      </c>
    </row>
    <row r="2630" spans="2:8" x14ac:dyDescent="0.2">
      <c r="B2630" s="48"/>
      <c r="C2630" s="57" t="s">
        <v>1840</v>
      </c>
      <c r="D2630" s="44"/>
      <c r="E2630" s="99" t="s">
        <v>1036</v>
      </c>
      <c r="F2630" s="23"/>
      <c r="G2630" s="19"/>
      <c r="H2630" s="24">
        <f t="shared" ref="H2630" si="810">IF(H2629=1,IF(H2628=H$2,1,-0.33),0)</f>
        <v>0</v>
      </c>
    </row>
    <row r="2631" spans="2:8" x14ac:dyDescent="0.2">
      <c r="B2631" s="48"/>
      <c r="C2631" s="57" t="s">
        <v>1841</v>
      </c>
      <c r="D2631" s="44"/>
      <c r="E2631" s="99" t="s">
        <v>1037</v>
      </c>
      <c r="F2631" s="20"/>
      <c r="G2631" s="19"/>
      <c r="H2631" s="24"/>
    </row>
    <row r="2632" spans="2:8" x14ac:dyDescent="0.2">
      <c r="B2632" s="48"/>
      <c r="C2632" s="8"/>
      <c r="D2632" s="44"/>
      <c r="E2632" s="99" t="s">
        <v>1038</v>
      </c>
      <c r="F2632" s="20"/>
      <c r="G2632" s="19"/>
      <c r="H2632" s="24"/>
    </row>
    <row r="2633" spans="2:8" x14ac:dyDescent="0.2">
      <c r="B2633" s="49" t="s">
        <v>1842</v>
      </c>
      <c r="C2633" s="13" t="s">
        <v>1843</v>
      </c>
      <c r="D2633" s="45"/>
      <c r="E2633" s="14"/>
      <c r="F2633" s="16"/>
      <c r="G2633" s="15"/>
      <c r="H2633" s="15"/>
    </row>
    <row r="2634" spans="2:8" x14ac:dyDescent="0.2">
      <c r="B2634" s="48"/>
      <c r="C2634" s="56" t="s">
        <v>1838</v>
      </c>
      <c r="D2634" s="44"/>
      <c r="E2634" s="99" t="s">
        <v>1034</v>
      </c>
      <c r="F2634" s="20"/>
      <c r="G2634" s="19"/>
      <c r="H2634" s="21" t="b">
        <f>IF(D2636="x",H$2,H$1)</f>
        <v>0</v>
      </c>
    </row>
    <row r="2635" spans="2:8" x14ac:dyDescent="0.2">
      <c r="B2635" s="48"/>
      <c r="C2635" s="57" t="s">
        <v>1839</v>
      </c>
      <c r="D2635" s="44"/>
      <c r="E2635" s="99" t="s">
        <v>1035</v>
      </c>
      <c r="F2635" s="22"/>
      <c r="G2635" s="19"/>
      <c r="H2635" s="21" t="str">
        <f>IF(E$2705="comprobar",COUNTIF(D2634:D2638,"x"),"")</f>
        <v/>
      </c>
    </row>
    <row r="2636" spans="2:8" x14ac:dyDescent="0.2">
      <c r="B2636" s="48"/>
      <c r="C2636" s="57" t="s">
        <v>1840</v>
      </c>
      <c r="D2636" s="44"/>
      <c r="E2636" s="99" t="s">
        <v>1036</v>
      </c>
      <c r="F2636" s="23"/>
      <c r="G2636" s="19"/>
      <c r="H2636" s="24">
        <f t="shared" ref="H2636" si="811">IF(H2635=1,IF(H2634=H$2,1,-0.33),0)</f>
        <v>0</v>
      </c>
    </row>
    <row r="2637" spans="2:8" x14ac:dyDescent="0.2">
      <c r="B2637" s="48"/>
      <c r="C2637" s="57" t="s">
        <v>1841</v>
      </c>
      <c r="D2637" s="44"/>
      <c r="E2637" s="99" t="s">
        <v>1037</v>
      </c>
      <c r="F2637" s="20"/>
      <c r="G2637" s="19"/>
      <c r="H2637" s="24"/>
    </row>
    <row r="2638" spans="2:8" x14ac:dyDescent="0.2">
      <c r="B2638" s="48"/>
      <c r="C2638" s="8"/>
      <c r="D2638" s="44"/>
      <c r="E2638" s="99" t="s">
        <v>1038</v>
      </c>
      <c r="F2638" s="12"/>
      <c r="G2638" s="19"/>
      <c r="H2638" s="24"/>
    </row>
    <row r="2639" spans="2:8" x14ac:dyDescent="0.2">
      <c r="B2639" s="49" t="s">
        <v>1844</v>
      </c>
      <c r="C2639" s="13" t="s">
        <v>1845</v>
      </c>
      <c r="D2639" s="45"/>
      <c r="E2639" s="14"/>
      <c r="F2639" s="30"/>
      <c r="G2639" s="29"/>
      <c r="H2639" s="15"/>
    </row>
    <row r="2640" spans="2:8" x14ac:dyDescent="0.2">
      <c r="B2640" s="48"/>
      <c r="C2640" s="56" t="s">
        <v>1846</v>
      </c>
      <c r="D2640" s="44"/>
      <c r="E2640" s="99" t="s">
        <v>1034</v>
      </c>
      <c r="F2640" s="27"/>
      <c r="G2640" s="26"/>
      <c r="H2640" s="21" t="b">
        <f>IF(D2641="x",H$2,H$1)</f>
        <v>0</v>
      </c>
    </row>
    <row r="2641" spans="2:8" x14ac:dyDescent="0.2">
      <c r="B2641" s="48"/>
      <c r="C2641" s="57" t="s">
        <v>1847</v>
      </c>
      <c r="D2641" s="44"/>
      <c r="E2641" s="99" t="s">
        <v>1035</v>
      </c>
      <c r="F2641" s="22"/>
      <c r="G2641" s="26"/>
      <c r="H2641" s="21" t="str">
        <f>IF(E$2705="comprobar",COUNTIF(D2640:D2644,"x"),"")</f>
        <v/>
      </c>
    </row>
    <row r="2642" spans="2:8" x14ac:dyDescent="0.2">
      <c r="B2642" s="48"/>
      <c r="C2642" s="57" t="s">
        <v>1848</v>
      </c>
      <c r="D2642" s="44"/>
      <c r="E2642" s="99" t="s">
        <v>1036</v>
      </c>
      <c r="F2642" s="23"/>
      <c r="G2642" s="26"/>
      <c r="H2642" s="24">
        <f t="shared" ref="H2642" si="812">IF(H2641=1,IF(H2640=H$2,1,-0.33),0)</f>
        <v>0</v>
      </c>
    </row>
    <row r="2643" spans="2:8" x14ac:dyDescent="0.2">
      <c r="B2643" s="48"/>
      <c r="C2643" s="57" t="s">
        <v>1849</v>
      </c>
      <c r="D2643" s="44"/>
      <c r="E2643" s="99" t="s">
        <v>1037</v>
      </c>
      <c r="F2643" s="28"/>
      <c r="G2643" s="26"/>
      <c r="H2643" s="24"/>
    </row>
    <row r="2644" spans="2:8" x14ac:dyDescent="0.2">
      <c r="B2644" s="48"/>
      <c r="C2644" s="8"/>
      <c r="D2644" s="44"/>
      <c r="E2644" s="99" t="s">
        <v>1038</v>
      </c>
      <c r="F2644" s="28"/>
      <c r="G2644" s="26"/>
      <c r="H2644" s="24"/>
    </row>
    <row r="2645" spans="2:8" x14ac:dyDescent="0.2">
      <c r="B2645" s="49" t="s">
        <v>1850</v>
      </c>
      <c r="C2645" s="13" t="s">
        <v>1851</v>
      </c>
      <c r="D2645" s="45"/>
      <c r="E2645" s="14"/>
      <c r="F2645" s="30"/>
      <c r="G2645" s="29"/>
      <c r="H2645" s="15"/>
    </row>
    <row r="2646" spans="2:8" ht="32" x14ac:dyDescent="0.2">
      <c r="B2646" s="48"/>
      <c r="C2646" s="60" t="s">
        <v>1852</v>
      </c>
      <c r="D2646" s="44"/>
      <c r="E2646" s="99" t="s">
        <v>1034</v>
      </c>
      <c r="F2646" s="27"/>
      <c r="G2646" s="26"/>
      <c r="H2646" s="21" t="b">
        <f>IF(D2649="x",H$2,H$1)</f>
        <v>0</v>
      </c>
    </row>
    <row r="2647" spans="2:8" x14ac:dyDescent="0.2">
      <c r="B2647" s="48"/>
      <c r="C2647" s="61" t="s">
        <v>1853</v>
      </c>
      <c r="D2647" s="44"/>
      <c r="E2647" s="99" t="s">
        <v>1035</v>
      </c>
      <c r="F2647" s="22"/>
      <c r="G2647" s="26"/>
      <c r="H2647" s="21" t="str">
        <f>IF(E$2705="comprobar",COUNTIF(D2646:D2650,"x"),"")</f>
        <v/>
      </c>
    </row>
    <row r="2648" spans="2:8" x14ac:dyDescent="0.2">
      <c r="B2648" s="48"/>
      <c r="C2648" s="61" t="s">
        <v>1854</v>
      </c>
      <c r="D2648" s="44"/>
      <c r="E2648" s="99" t="s">
        <v>1036</v>
      </c>
      <c r="F2648" s="23"/>
      <c r="G2648" s="26"/>
      <c r="H2648" s="24">
        <f t="shared" ref="H2648" si="813">IF(H2647=1,IF(H2646=H$2,1,-0.33),0)</f>
        <v>0</v>
      </c>
    </row>
    <row r="2649" spans="2:8" x14ac:dyDescent="0.2">
      <c r="B2649" s="48"/>
      <c r="C2649" s="61" t="s">
        <v>583</v>
      </c>
      <c r="D2649" s="44"/>
      <c r="E2649" s="99" t="s">
        <v>1037</v>
      </c>
      <c r="F2649" s="20"/>
      <c r="G2649" s="55"/>
      <c r="H2649" s="24"/>
    </row>
    <row r="2650" spans="2:8" x14ac:dyDescent="0.2">
      <c r="B2650" s="48"/>
      <c r="C2650" s="8"/>
      <c r="D2650" s="44"/>
      <c r="E2650" s="99" t="s">
        <v>1038</v>
      </c>
      <c r="F2650" s="28"/>
      <c r="G2650" s="26"/>
      <c r="H2650" s="24"/>
    </row>
    <row r="2651" spans="2:8" x14ac:dyDescent="0.2">
      <c r="B2651" s="49" t="s">
        <v>1855</v>
      </c>
      <c r="C2651" s="13" t="s">
        <v>1856</v>
      </c>
      <c r="D2651" s="45"/>
      <c r="E2651" s="14"/>
      <c r="F2651" s="30"/>
      <c r="G2651" s="29"/>
      <c r="H2651" s="15"/>
    </row>
    <row r="2652" spans="2:8" x14ac:dyDescent="0.2">
      <c r="B2652" s="48"/>
      <c r="C2652" s="56" t="s">
        <v>1857</v>
      </c>
      <c r="D2652" s="44"/>
      <c r="E2652" s="99" t="s">
        <v>1034</v>
      </c>
      <c r="F2652" s="27"/>
      <c r="G2652" s="26"/>
      <c r="H2652" s="21" t="b">
        <f>IF(D2655="x",H$2,H$1)</f>
        <v>0</v>
      </c>
    </row>
    <row r="2653" spans="2:8" x14ac:dyDescent="0.2">
      <c r="B2653" s="48"/>
      <c r="C2653" s="57" t="s">
        <v>1858</v>
      </c>
      <c r="D2653" s="44"/>
      <c r="E2653" s="99" t="s">
        <v>1035</v>
      </c>
      <c r="F2653" s="22"/>
      <c r="G2653" s="26"/>
      <c r="H2653" s="21" t="str">
        <f>IF(E$2705="comprobar",COUNTIF(D2652:D2656,"x"),"")</f>
        <v/>
      </c>
    </row>
    <row r="2654" spans="2:8" x14ac:dyDescent="0.2">
      <c r="B2654" s="48"/>
      <c r="C2654" s="57" t="s">
        <v>1859</v>
      </c>
      <c r="D2654" s="44"/>
      <c r="E2654" s="99" t="s">
        <v>1036</v>
      </c>
      <c r="F2654" s="23"/>
      <c r="G2654" s="26"/>
      <c r="H2654" s="24">
        <f t="shared" ref="H2654" si="814">IF(H2653=1,IF(H2652=H$2,1,-0.33),0)</f>
        <v>0</v>
      </c>
    </row>
    <row r="2655" spans="2:8" x14ac:dyDescent="0.2">
      <c r="B2655" s="48"/>
      <c r="C2655" s="57" t="s">
        <v>583</v>
      </c>
      <c r="D2655" s="44"/>
      <c r="E2655" s="99" t="s">
        <v>1037</v>
      </c>
      <c r="F2655" s="28"/>
      <c r="G2655" s="26"/>
      <c r="H2655" s="24"/>
    </row>
    <row r="2656" spans="2:8" x14ac:dyDescent="0.2">
      <c r="B2656" s="48"/>
      <c r="C2656" s="8"/>
      <c r="D2656" s="44"/>
      <c r="E2656" s="99" t="s">
        <v>1038</v>
      </c>
      <c r="F2656" s="28"/>
      <c r="G2656" s="26"/>
      <c r="H2656" s="24"/>
    </row>
    <row r="2657" spans="2:8" x14ac:dyDescent="0.2">
      <c r="B2657" s="49" t="s">
        <v>1860</v>
      </c>
      <c r="C2657" s="13" t="s">
        <v>1861</v>
      </c>
      <c r="D2657" s="45"/>
      <c r="E2657" s="14"/>
      <c r="F2657" s="16"/>
      <c r="G2657" s="15"/>
      <c r="H2657" s="15"/>
    </row>
    <row r="2658" spans="2:8" ht="32" x14ac:dyDescent="0.2">
      <c r="B2658" s="48"/>
      <c r="C2658" s="60" t="s">
        <v>1862</v>
      </c>
      <c r="D2658" s="44"/>
      <c r="E2658" s="99" t="s">
        <v>1034</v>
      </c>
      <c r="F2658" s="20"/>
      <c r="G2658" s="19"/>
      <c r="H2658" s="21" t="b">
        <f>IF(D2658="x",H$2,H$1)</f>
        <v>0</v>
      </c>
    </row>
    <row r="2659" spans="2:8" ht="32" x14ac:dyDescent="0.2">
      <c r="B2659" s="48"/>
      <c r="C2659" s="61" t="s">
        <v>1863</v>
      </c>
      <c r="D2659" s="44"/>
      <c r="E2659" s="99" t="s">
        <v>1035</v>
      </c>
      <c r="F2659" s="22"/>
      <c r="G2659" s="19"/>
      <c r="H2659" s="21" t="str">
        <f>IF(E$2705="comprobar",COUNTIF(D2658:D2662,"x"),"")</f>
        <v/>
      </c>
    </row>
    <row r="2660" spans="2:8" x14ac:dyDescent="0.2">
      <c r="B2660" s="48"/>
      <c r="C2660" s="61" t="s">
        <v>1864</v>
      </c>
      <c r="D2660" s="44"/>
      <c r="E2660" s="99" t="s">
        <v>1036</v>
      </c>
      <c r="F2660" s="23"/>
      <c r="G2660" s="19"/>
      <c r="H2660" s="24">
        <f t="shared" ref="H2660" si="815">IF(H2659=1,IF(H2658=H$2,1,-0.33),0)</f>
        <v>0</v>
      </c>
    </row>
    <row r="2661" spans="2:8" x14ac:dyDescent="0.2">
      <c r="B2661" s="48"/>
      <c r="C2661" s="61" t="s">
        <v>1865</v>
      </c>
      <c r="D2661" s="44"/>
      <c r="E2661" s="99" t="s">
        <v>1037</v>
      </c>
      <c r="F2661" s="20"/>
      <c r="G2661" s="19"/>
      <c r="H2661" s="24"/>
    </row>
    <row r="2662" spans="2:8" x14ac:dyDescent="0.2">
      <c r="B2662" s="48"/>
      <c r="C2662" s="8"/>
      <c r="D2662" s="44"/>
      <c r="E2662" s="99" t="s">
        <v>1038</v>
      </c>
      <c r="F2662" s="20"/>
      <c r="G2662" s="19"/>
      <c r="H2662" s="24"/>
    </row>
    <row r="2663" spans="2:8" x14ac:dyDescent="0.2">
      <c r="B2663" s="49" t="s">
        <v>1866</v>
      </c>
      <c r="C2663" s="13" t="s">
        <v>1867</v>
      </c>
      <c r="D2663" s="45"/>
      <c r="E2663" s="14"/>
      <c r="F2663" s="30"/>
      <c r="G2663" s="29"/>
      <c r="H2663" s="15"/>
    </row>
    <row r="2664" spans="2:8" x14ac:dyDescent="0.2">
      <c r="B2664" s="48"/>
      <c r="C2664" s="56" t="s">
        <v>1868</v>
      </c>
      <c r="D2664" s="44"/>
      <c r="E2664" s="99" t="s">
        <v>1034</v>
      </c>
      <c r="F2664" s="27"/>
      <c r="G2664" s="26"/>
      <c r="H2664" s="21" t="b">
        <f>IF(D2666="x",H$2,H$1)</f>
        <v>0</v>
      </c>
    </row>
    <row r="2665" spans="2:8" x14ac:dyDescent="0.2">
      <c r="B2665" s="48"/>
      <c r="C2665" s="57" t="s">
        <v>1869</v>
      </c>
      <c r="D2665" s="44"/>
      <c r="E2665" s="99" t="s">
        <v>1035</v>
      </c>
      <c r="F2665" s="22"/>
      <c r="G2665" s="26"/>
      <c r="H2665" s="21" t="str">
        <f>IF(E$2705="comprobar",COUNTIF(D2664:D2668,"x"),"")</f>
        <v/>
      </c>
    </row>
    <row r="2666" spans="2:8" x14ac:dyDescent="0.2">
      <c r="B2666" s="48"/>
      <c r="C2666" s="57" t="s">
        <v>1870</v>
      </c>
      <c r="D2666" s="44"/>
      <c r="E2666" s="99" t="s">
        <v>1036</v>
      </c>
      <c r="F2666" s="23"/>
      <c r="G2666" s="26"/>
      <c r="H2666" s="24">
        <f t="shared" ref="H2666" si="816">IF(H2665=1,IF(H2664=H$2,1,-0.33),0)</f>
        <v>0</v>
      </c>
    </row>
    <row r="2667" spans="2:8" x14ac:dyDescent="0.2">
      <c r="B2667" s="48"/>
      <c r="C2667" s="57" t="s">
        <v>1871</v>
      </c>
      <c r="D2667" s="44"/>
      <c r="E2667" s="99" t="s">
        <v>1037</v>
      </c>
      <c r="F2667" s="28"/>
      <c r="G2667" s="26"/>
      <c r="H2667" s="24"/>
    </row>
    <row r="2668" spans="2:8" x14ac:dyDescent="0.2">
      <c r="B2668" s="48"/>
      <c r="C2668" s="8"/>
      <c r="D2668" s="44"/>
      <c r="E2668" s="99" t="s">
        <v>1038</v>
      </c>
      <c r="F2668" s="28"/>
      <c r="G2668" s="26"/>
      <c r="H2668" s="24"/>
    </row>
    <row r="2669" spans="2:8" x14ac:dyDescent="0.2">
      <c r="B2669" s="49" t="s">
        <v>1872</v>
      </c>
      <c r="C2669" s="13" t="s">
        <v>1873</v>
      </c>
      <c r="D2669" s="95"/>
      <c r="E2669" s="14"/>
      <c r="F2669" s="71"/>
      <c r="G2669" s="29"/>
      <c r="H2669" s="15"/>
    </row>
    <row r="2670" spans="2:8" x14ac:dyDescent="0.2">
      <c r="B2670" s="48"/>
      <c r="C2670" s="56" t="s">
        <v>1874</v>
      </c>
      <c r="D2670" s="44"/>
      <c r="E2670" s="99" t="s">
        <v>1034</v>
      </c>
      <c r="F2670" s="28"/>
      <c r="G2670" s="55"/>
      <c r="H2670" s="21" t="b">
        <f>IF(D2670="x",H$2,H$1)</f>
        <v>0</v>
      </c>
    </row>
    <row r="2671" spans="2:8" x14ac:dyDescent="0.2">
      <c r="B2671" s="48"/>
      <c r="C2671" s="57" t="s">
        <v>1875</v>
      </c>
      <c r="D2671" s="44"/>
      <c r="E2671" s="99" t="s">
        <v>1035</v>
      </c>
      <c r="F2671" s="22"/>
      <c r="G2671" s="26"/>
      <c r="H2671" s="21" t="str">
        <f>IF(E$2705="comprobar",COUNTIF(D2670:D2674,"x"),"")</f>
        <v/>
      </c>
    </row>
    <row r="2672" spans="2:8" x14ac:dyDescent="0.2">
      <c r="B2672" s="48"/>
      <c r="C2672" s="57" t="s">
        <v>1876</v>
      </c>
      <c r="D2672" s="44"/>
      <c r="E2672" s="99" t="s">
        <v>1036</v>
      </c>
      <c r="F2672" s="23"/>
      <c r="G2672" s="26"/>
      <c r="H2672" s="24">
        <f t="shared" ref="H2672" si="817">IF(H2671=1,IF(H2670=H$2,1,-0.33),0)</f>
        <v>0</v>
      </c>
    </row>
    <row r="2673" spans="2:8" x14ac:dyDescent="0.2">
      <c r="B2673" s="48"/>
      <c r="C2673" s="57"/>
      <c r="D2673" s="44"/>
      <c r="E2673" s="99" t="s">
        <v>1037</v>
      </c>
      <c r="F2673" s="28"/>
      <c r="G2673" s="26"/>
      <c r="H2673" s="24"/>
    </row>
    <row r="2674" spans="2:8" x14ac:dyDescent="0.2">
      <c r="B2674" s="48"/>
      <c r="C2674" s="8"/>
      <c r="D2674" s="44"/>
      <c r="E2674" s="99" t="s">
        <v>1038</v>
      </c>
      <c r="F2674" s="28"/>
      <c r="G2674" s="26"/>
      <c r="H2674" s="24"/>
    </row>
    <row r="2675" spans="2:8" x14ac:dyDescent="0.2">
      <c r="B2675" s="49" t="s">
        <v>1877</v>
      </c>
      <c r="C2675" s="13" t="s">
        <v>1878</v>
      </c>
      <c r="D2675" s="45"/>
      <c r="E2675" s="14"/>
      <c r="F2675" s="30"/>
      <c r="G2675" s="29"/>
      <c r="H2675" s="15"/>
    </row>
    <row r="2676" spans="2:8" x14ac:dyDescent="0.2">
      <c r="B2676" s="48"/>
      <c r="C2676" s="56" t="s">
        <v>1879</v>
      </c>
      <c r="D2676" s="44"/>
      <c r="E2676" s="99" t="s">
        <v>1034</v>
      </c>
      <c r="F2676" s="27"/>
      <c r="G2676" s="26"/>
      <c r="H2676" s="21" t="b">
        <f>IF(D2679="x",H$2,H$1)</f>
        <v>0</v>
      </c>
    </row>
    <row r="2677" spans="2:8" x14ac:dyDescent="0.2">
      <c r="B2677" s="48"/>
      <c r="C2677" s="57" t="s">
        <v>1880</v>
      </c>
      <c r="D2677" s="44"/>
      <c r="E2677" s="99" t="s">
        <v>1035</v>
      </c>
      <c r="F2677" s="22"/>
      <c r="G2677" s="26"/>
      <c r="H2677" s="21" t="str">
        <f>IF(E$2705="comprobar",COUNTIF(D2676:D2680,"x"),"")</f>
        <v/>
      </c>
    </row>
    <row r="2678" spans="2:8" x14ac:dyDescent="0.2">
      <c r="B2678" s="48"/>
      <c r="C2678" s="57" t="s">
        <v>1881</v>
      </c>
      <c r="D2678" s="44"/>
      <c r="E2678" s="99" t="s">
        <v>1036</v>
      </c>
      <c r="F2678" s="23"/>
      <c r="G2678" s="26"/>
      <c r="H2678" s="24">
        <f t="shared" ref="H2678" si="818">IF(H2677=1,IF(H2676=H$2,1,-0.33),0)</f>
        <v>0</v>
      </c>
    </row>
    <row r="2679" spans="2:8" x14ac:dyDescent="0.2">
      <c r="B2679" s="48"/>
      <c r="C2679" s="57" t="s">
        <v>583</v>
      </c>
      <c r="D2679" s="44"/>
      <c r="E2679" s="99" t="s">
        <v>1037</v>
      </c>
      <c r="F2679" s="28"/>
      <c r="G2679" s="26"/>
      <c r="H2679" s="24"/>
    </row>
    <row r="2680" spans="2:8" x14ac:dyDescent="0.2">
      <c r="B2680" s="48"/>
      <c r="C2680" s="8"/>
      <c r="D2680" s="44"/>
      <c r="E2680" s="99" t="s">
        <v>1038</v>
      </c>
      <c r="F2680" s="28"/>
      <c r="G2680" s="26"/>
      <c r="H2680" s="24"/>
    </row>
    <row r="2681" spans="2:8" x14ac:dyDescent="0.2">
      <c r="B2681" s="49" t="s">
        <v>1882</v>
      </c>
      <c r="C2681" s="13" t="s">
        <v>1883</v>
      </c>
      <c r="D2681" s="45"/>
      <c r="E2681" s="14"/>
      <c r="F2681" s="30"/>
      <c r="G2681" s="29"/>
      <c r="H2681" s="15"/>
    </row>
    <row r="2682" spans="2:8" x14ac:dyDescent="0.2">
      <c r="B2682" s="48"/>
      <c r="C2682" s="56" t="s">
        <v>1884</v>
      </c>
      <c r="D2682" s="44"/>
      <c r="E2682" s="99" t="s">
        <v>1034</v>
      </c>
      <c r="F2682" s="28"/>
      <c r="G2682" s="55"/>
      <c r="H2682" s="21" t="b">
        <f>IF(D2684="x",H$2,H$1)</f>
        <v>0</v>
      </c>
    </row>
    <row r="2683" spans="2:8" x14ac:dyDescent="0.2">
      <c r="B2683" s="48"/>
      <c r="C2683" s="57" t="s">
        <v>1885</v>
      </c>
      <c r="D2683" s="44"/>
      <c r="E2683" s="99" t="s">
        <v>1035</v>
      </c>
      <c r="F2683" s="22"/>
      <c r="G2683" s="26"/>
      <c r="H2683" s="21" t="str">
        <f>IF(E$2705="comprobar",COUNTIF(D2682:D2686,"x"),"")</f>
        <v/>
      </c>
    </row>
    <row r="2684" spans="2:8" x14ac:dyDescent="0.2">
      <c r="B2684" s="48"/>
      <c r="C2684" s="57" t="s">
        <v>1886</v>
      </c>
      <c r="D2684" s="44"/>
      <c r="E2684" s="99" t="s">
        <v>1036</v>
      </c>
      <c r="F2684" s="23"/>
      <c r="G2684" s="26"/>
      <c r="H2684" s="24">
        <f t="shared" ref="H2684" si="819">IF(H2683=1,IF(H2682=H$2,1,-0.33),0)</f>
        <v>0</v>
      </c>
    </row>
    <row r="2685" spans="2:8" x14ac:dyDescent="0.2">
      <c r="B2685" s="48"/>
      <c r="C2685" s="57" t="s">
        <v>1887</v>
      </c>
      <c r="D2685" s="44"/>
      <c r="E2685" s="99" t="s">
        <v>1037</v>
      </c>
      <c r="F2685" s="28"/>
      <c r="G2685" s="26"/>
      <c r="H2685" s="24"/>
    </row>
    <row r="2686" spans="2:8" x14ac:dyDescent="0.2">
      <c r="B2686" s="48"/>
      <c r="C2686" s="8"/>
      <c r="D2686" s="44"/>
      <c r="E2686" s="99" t="s">
        <v>1038</v>
      </c>
      <c r="F2686" s="28"/>
      <c r="G2686" s="26"/>
      <c r="H2686" s="24"/>
    </row>
    <row r="2687" spans="2:8" x14ac:dyDescent="0.2">
      <c r="B2687" s="49" t="s">
        <v>1888</v>
      </c>
      <c r="C2687" s="13" t="s">
        <v>1889</v>
      </c>
      <c r="D2687" s="95"/>
      <c r="E2687" s="14"/>
      <c r="F2687" s="71"/>
      <c r="G2687" s="29"/>
      <c r="H2687" s="15"/>
    </row>
    <row r="2688" spans="2:8" ht="32" x14ac:dyDescent="0.2">
      <c r="B2688" s="48"/>
      <c r="C2688" s="60" t="s">
        <v>1890</v>
      </c>
      <c r="D2688" s="44"/>
      <c r="E2688" s="99" t="s">
        <v>1034</v>
      </c>
      <c r="F2688" s="27"/>
      <c r="G2688" s="26"/>
      <c r="H2688" s="21" t="b">
        <f>IF(D2689="x",H$2,H$1)</f>
        <v>0</v>
      </c>
    </row>
    <row r="2689" spans="2:8" x14ac:dyDescent="0.2">
      <c r="B2689" s="48"/>
      <c r="C2689" s="61" t="s">
        <v>1891</v>
      </c>
      <c r="D2689" s="44"/>
      <c r="E2689" s="99" t="s">
        <v>1035</v>
      </c>
      <c r="F2689" s="22"/>
      <c r="G2689" s="26"/>
      <c r="H2689" s="21" t="str">
        <f>IF(E$2705="comprobar",COUNTIF(D2688:D2692,"x"),"")</f>
        <v/>
      </c>
    </row>
    <row r="2690" spans="2:8" x14ac:dyDescent="0.2">
      <c r="B2690" s="48"/>
      <c r="C2690" s="61" t="s">
        <v>1892</v>
      </c>
      <c r="D2690" s="44"/>
      <c r="E2690" s="99" t="s">
        <v>1036</v>
      </c>
      <c r="F2690" s="23"/>
      <c r="G2690" s="26"/>
      <c r="H2690" s="24">
        <f t="shared" ref="H2690" si="820">IF(H2689=1,IF(H2688=H$2,1,-0.33),0)</f>
        <v>0</v>
      </c>
    </row>
    <row r="2691" spans="2:8" x14ac:dyDescent="0.2">
      <c r="B2691" s="48"/>
      <c r="C2691" s="61" t="s">
        <v>1865</v>
      </c>
      <c r="D2691" s="44"/>
      <c r="E2691" s="99" t="s">
        <v>1037</v>
      </c>
      <c r="F2691" s="28"/>
      <c r="G2691" s="55"/>
      <c r="H2691" s="24"/>
    </row>
    <row r="2692" spans="2:8" x14ac:dyDescent="0.2">
      <c r="B2692" s="48"/>
      <c r="C2692" s="8"/>
      <c r="D2692" s="44"/>
      <c r="E2692" s="99" t="s">
        <v>1038</v>
      </c>
      <c r="F2692" s="28"/>
      <c r="G2692" s="26"/>
      <c r="H2692" s="24"/>
    </row>
    <row r="2693" spans="2:8" x14ac:dyDescent="0.2">
      <c r="B2693" s="49" t="s">
        <v>1893</v>
      </c>
      <c r="C2693" s="13" t="s">
        <v>1894</v>
      </c>
      <c r="D2693" s="45"/>
      <c r="E2693" s="14"/>
      <c r="F2693" s="30"/>
      <c r="G2693" s="29"/>
      <c r="H2693" s="15"/>
    </row>
    <row r="2694" spans="2:8" ht="32" x14ac:dyDescent="0.2">
      <c r="B2694" s="48"/>
      <c r="C2694" s="60" t="s">
        <v>1895</v>
      </c>
      <c r="D2694" s="44"/>
      <c r="E2694" s="99" t="s">
        <v>1034</v>
      </c>
      <c r="F2694" s="27"/>
      <c r="G2694" s="26"/>
      <c r="H2694" s="21" t="b">
        <f>IF(D2696="x",H$2,H$1)</f>
        <v>0</v>
      </c>
    </row>
    <row r="2695" spans="2:8" x14ac:dyDescent="0.2">
      <c r="B2695" s="48"/>
      <c r="C2695" s="61" t="s">
        <v>1891</v>
      </c>
      <c r="D2695" s="44"/>
      <c r="E2695" s="99" t="s">
        <v>1035</v>
      </c>
      <c r="F2695" s="22"/>
      <c r="G2695" s="26"/>
      <c r="H2695" s="21" t="str">
        <f>IF(E$2705="comprobar",COUNTIF(D2694:D2698,"x"),"")</f>
        <v/>
      </c>
    </row>
    <row r="2696" spans="2:8" x14ac:dyDescent="0.2">
      <c r="B2696" s="48"/>
      <c r="C2696" s="61" t="s">
        <v>1892</v>
      </c>
      <c r="D2696" s="44"/>
      <c r="E2696" s="99" t="s">
        <v>1036</v>
      </c>
      <c r="F2696" s="23"/>
      <c r="G2696" s="26"/>
      <c r="H2696" s="24">
        <f t="shared" ref="H2696" si="821">IF(H2695=1,IF(H2694=H$2,1,-0.33),0)</f>
        <v>0</v>
      </c>
    </row>
    <row r="2697" spans="2:8" x14ac:dyDescent="0.2">
      <c r="B2697" s="48"/>
      <c r="C2697" s="61" t="s">
        <v>1865</v>
      </c>
      <c r="D2697" s="44"/>
      <c r="E2697" s="99" t="s">
        <v>1037</v>
      </c>
      <c r="F2697" s="28"/>
      <c r="G2697" s="26"/>
      <c r="H2697" s="24"/>
    </row>
    <row r="2698" spans="2:8" x14ac:dyDescent="0.2">
      <c r="B2698" s="48"/>
      <c r="C2698" s="8"/>
      <c r="D2698" s="44"/>
      <c r="E2698" s="99" t="s">
        <v>1038</v>
      </c>
      <c r="F2698" s="28"/>
      <c r="G2698" s="26"/>
      <c r="H2698" s="24"/>
    </row>
    <row r="2699" spans="2:8" x14ac:dyDescent="0.2">
      <c r="B2699" s="49" t="s">
        <v>1896</v>
      </c>
      <c r="C2699" s="13" t="s">
        <v>1897</v>
      </c>
      <c r="D2699" s="45"/>
      <c r="E2699" s="14"/>
      <c r="F2699" s="30"/>
      <c r="G2699" s="29"/>
      <c r="H2699" s="15"/>
    </row>
    <row r="2700" spans="2:8" ht="32" x14ac:dyDescent="0.2">
      <c r="B2700" s="48"/>
      <c r="C2700" s="60" t="s">
        <v>1890</v>
      </c>
      <c r="D2700" s="44"/>
      <c r="E2700" s="99" t="s">
        <v>1034</v>
      </c>
      <c r="F2700" s="28"/>
      <c r="G2700" s="55"/>
      <c r="H2700" s="21" t="b">
        <f>IF(D2700="x",H$2,H$1)</f>
        <v>0</v>
      </c>
    </row>
    <row r="2701" spans="2:8" x14ac:dyDescent="0.2">
      <c r="B2701" s="48"/>
      <c r="C2701" s="61" t="s">
        <v>1891</v>
      </c>
      <c r="D2701" s="44"/>
      <c r="E2701" s="99" t="s">
        <v>1035</v>
      </c>
      <c r="F2701" s="22"/>
      <c r="G2701" s="26"/>
      <c r="H2701" s="21" t="str">
        <f>IF(E$2705="comprobar",COUNTIF(D2700:D2704,"x"),"")</f>
        <v/>
      </c>
    </row>
    <row r="2702" spans="2:8" x14ac:dyDescent="0.2">
      <c r="B2702" s="48"/>
      <c r="C2702" s="61" t="s">
        <v>1892</v>
      </c>
      <c r="D2702" s="44"/>
      <c r="E2702" s="99" t="s">
        <v>1036</v>
      </c>
      <c r="F2702" s="23"/>
      <c r="G2702" s="26"/>
      <c r="H2702" s="24">
        <f t="shared" ref="H2702" si="822">IF(H2701=1,IF(H2700=H$2,1,-0.33),0)</f>
        <v>0</v>
      </c>
    </row>
    <row r="2703" spans="2:8" x14ac:dyDescent="0.2">
      <c r="B2703" s="48"/>
      <c r="C2703" s="61" t="s">
        <v>1865</v>
      </c>
      <c r="D2703" s="44"/>
      <c r="E2703" s="99" t="s">
        <v>1037</v>
      </c>
      <c r="F2703" s="28"/>
      <c r="G2703" s="26"/>
      <c r="H2703" s="24"/>
    </row>
    <row r="2704" spans="2:8" x14ac:dyDescent="0.2">
      <c r="B2704" s="48"/>
      <c r="C2704" s="8"/>
      <c r="D2704" s="44"/>
      <c r="E2704" s="99" t="s">
        <v>1038</v>
      </c>
      <c r="F2704" s="20"/>
      <c r="G2704" s="19"/>
      <c r="H2704" s="24"/>
    </row>
    <row r="2705" spans="2:8" x14ac:dyDescent="0.2">
      <c r="B2705" s="52"/>
      <c r="C2705" s="47"/>
      <c r="D2705" s="73"/>
      <c r="E2705" s="92"/>
      <c r="F2705" s="20"/>
      <c r="G2705" s="19"/>
      <c r="H2705" s="19"/>
    </row>
    <row r="2706" spans="2:8" x14ac:dyDescent="0.2">
      <c r="B2706" s="52"/>
      <c r="C2706" s="18"/>
      <c r="D2706" s="99"/>
      <c r="E2706" s="99"/>
      <c r="F2706" s="31" t="s">
        <v>93</v>
      </c>
      <c r="G2706" s="19" t="s">
        <v>91</v>
      </c>
      <c r="H2706" s="19" t="s">
        <v>92</v>
      </c>
    </row>
    <row r="2707" spans="2:8" ht="20" x14ac:dyDescent="0.2">
      <c r="B2707" s="52"/>
      <c r="C2707" s="18"/>
      <c r="D2707" s="99"/>
      <c r="E2707" s="1"/>
      <c r="F2707" s="32" t="str">
        <f>IF(E2705="comprobar",H2642+H2636+H2630+H2624+H2618+H2612+H2606+H2600+H2594+H2588+H2648+H2654+H2660+H2666+H2672+H2678+H2684+H2690+H2696+H2702,"")</f>
        <v/>
      </c>
      <c r="G2707" s="19">
        <f>20/2</f>
        <v>10</v>
      </c>
      <c r="H2707" s="19"/>
    </row>
    <row r="2708" spans="2:8" ht="17" thickBot="1" x14ac:dyDescent="0.25">
      <c r="B2708" s="53"/>
      <c r="C2708" s="33"/>
      <c r="D2708" s="34"/>
      <c r="E2708" s="9"/>
      <c r="F2708" s="35" t="str">
        <f>IF(F2707&gt;G2707,G2706,H2706)</f>
        <v>APROBADO</v>
      </c>
      <c r="G2708" s="19"/>
      <c r="H2708" s="19"/>
    </row>
    <row r="2709" spans="2:8" ht="29" x14ac:dyDescent="0.25">
      <c r="B2709" s="54"/>
      <c r="C2709" s="111" t="s">
        <v>1975</v>
      </c>
      <c r="D2709" s="111"/>
      <c r="E2709" s="111"/>
      <c r="F2709" s="112"/>
    </row>
    <row r="2710" spans="2:8" x14ac:dyDescent="0.2">
      <c r="B2710" s="49" t="s">
        <v>1799</v>
      </c>
      <c r="C2710" s="13" t="s">
        <v>1899</v>
      </c>
      <c r="D2710" s="14"/>
      <c r="E2710" s="14"/>
      <c r="F2710" s="16"/>
      <c r="G2710" s="15"/>
      <c r="H2710" s="15"/>
    </row>
    <row r="2711" spans="2:8" x14ac:dyDescent="0.2">
      <c r="B2711" s="48"/>
      <c r="C2711" s="60" t="s">
        <v>1900</v>
      </c>
      <c r="D2711" s="44"/>
      <c r="E2711" s="102" t="s">
        <v>1034</v>
      </c>
      <c r="F2711" s="20"/>
      <c r="G2711" s="19"/>
      <c r="H2711" s="21" t="b">
        <f>IF(D2714="x",H$2,H$1)</f>
        <v>0</v>
      </c>
    </row>
    <row r="2712" spans="2:8" x14ac:dyDescent="0.2">
      <c r="B2712" s="48"/>
      <c r="C2712" s="61" t="s">
        <v>1901</v>
      </c>
      <c r="D2712" s="44"/>
      <c r="E2712" s="102" t="s">
        <v>1035</v>
      </c>
      <c r="F2712" s="22"/>
      <c r="G2712" s="19"/>
      <c r="H2712" s="21" t="str">
        <f>IF(E$2830="comprobar",COUNTIF(D2711:D2715,"x"),"")</f>
        <v/>
      </c>
    </row>
    <row r="2713" spans="2:8" x14ac:dyDescent="0.2">
      <c r="B2713" s="48"/>
      <c r="C2713" s="61" t="s">
        <v>1902</v>
      </c>
      <c r="D2713" s="44"/>
      <c r="E2713" s="102" t="s">
        <v>1036</v>
      </c>
      <c r="F2713" s="23"/>
      <c r="G2713" s="19"/>
      <c r="H2713" s="24">
        <f>IF(H2712=1,IF(H2711=H$2,1,-0.33),0)</f>
        <v>0</v>
      </c>
    </row>
    <row r="2714" spans="2:8" x14ac:dyDescent="0.2">
      <c r="B2714" s="48"/>
      <c r="C2714" s="61" t="s">
        <v>583</v>
      </c>
      <c r="D2714" s="44"/>
      <c r="E2714" s="102" t="s">
        <v>1037</v>
      </c>
      <c r="F2714" s="20"/>
      <c r="G2714" s="19"/>
      <c r="H2714" s="24"/>
    </row>
    <row r="2715" spans="2:8" x14ac:dyDescent="0.2">
      <c r="B2715" s="48"/>
      <c r="C2715" s="8"/>
      <c r="D2715" s="44"/>
      <c r="E2715" s="102" t="s">
        <v>1038</v>
      </c>
      <c r="F2715" s="20"/>
      <c r="G2715" s="19"/>
      <c r="H2715" s="24"/>
    </row>
    <row r="2716" spans="2:8" x14ac:dyDescent="0.2">
      <c r="B2716" s="49" t="s">
        <v>1804</v>
      </c>
      <c r="C2716" s="13" t="s">
        <v>1903</v>
      </c>
      <c r="D2716" s="45"/>
      <c r="E2716" s="14"/>
      <c r="F2716" s="16"/>
      <c r="G2716" s="15"/>
      <c r="H2716" s="15"/>
    </row>
    <row r="2717" spans="2:8" x14ac:dyDescent="0.2">
      <c r="B2717" s="48"/>
      <c r="C2717" s="56" t="s">
        <v>1904</v>
      </c>
      <c r="D2717" s="44"/>
      <c r="E2717" s="102" t="s">
        <v>1034</v>
      </c>
      <c r="F2717" s="20"/>
      <c r="G2717" s="19"/>
      <c r="H2717" s="21" t="b">
        <f>IF(D2720="x",H$2,H$1)</f>
        <v>0</v>
      </c>
    </row>
    <row r="2718" spans="2:8" x14ac:dyDescent="0.2">
      <c r="B2718" s="48"/>
      <c r="C2718" s="57" t="s">
        <v>1905</v>
      </c>
      <c r="D2718" s="44"/>
      <c r="E2718" s="102" t="s">
        <v>1035</v>
      </c>
      <c r="F2718" s="22"/>
      <c r="G2718" s="19"/>
      <c r="H2718" s="21" t="str">
        <f>IF(E$2830="comprobar",COUNTIF(D2717:D2721,"x"),"")</f>
        <v/>
      </c>
    </row>
    <row r="2719" spans="2:8" x14ac:dyDescent="0.2">
      <c r="B2719" s="48"/>
      <c r="C2719" s="57" t="s">
        <v>1906</v>
      </c>
      <c r="D2719" s="44"/>
      <c r="E2719" s="102" t="s">
        <v>1036</v>
      </c>
      <c r="F2719" s="23"/>
      <c r="G2719" s="19"/>
      <c r="H2719" s="24">
        <f t="shared" ref="H2719" si="823">IF(H2718=1,IF(H2717=H$2,1,-0.33),0)</f>
        <v>0</v>
      </c>
    </row>
    <row r="2720" spans="2:8" x14ac:dyDescent="0.2">
      <c r="B2720" s="48"/>
      <c r="C2720" s="57" t="s">
        <v>595</v>
      </c>
      <c r="D2720" s="44"/>
      <c r="E2720" s="102" t="s">
        <v>1037</v>
      </c>
      <c r="F2720" s="20"/>
      <c r="G2720" s="19"/>
      <c r="H2720" s="24"/>
    </row>
    <row r="2721" spans="2:8" x14ac:dyDescent="0.2">
      <c r="B2721" s="48"/>
      <c r="C2721" s="8"/>
      <c r="D2721" s="44"/>
      <c r="E2721" s="102" t="s">
        <v>1038</v>
      </c>
      <c r="F2721" s="20"/>
      <c r="G2721" s="19"/>
      <c r="H2721" s="24"/>
    </row>
    <row r="2722" spans="2:8" x14ac:dyDescent="0.2">
      <c r="B2722" s="49" t="s">
        <v>1809</v>
      </c>
      <c r="C2722" s="13" t="s">
        <v>1907</v>
      </c>
      <c r="D2722" s="45"/>
      <c r="E2722" s="14"/>
      <c r="F2722" s="16"/>
      <c r="G2722" s="15"/>
      <c r="H2722" s="15"/>
    </row>
    <row r="2723" spans="2:8" x14ac:dyDescent="0.2">
      <c r="B2723" s="48"/>
      <c r="C2723" s="56" t="s">
        <v>1908</v>
      </c>
      <c r="D2723" s="44"/>
      <c r="E2723" s="102" t="s">
        <v>1034</v>
      </c>
      <c r="F2723" s="20"/>
      <c r="G2723" s="19"/>
      <c r="H2723" s="21" t="b">
        <f>IF(D2724="x",H$2,H$1)</f>
        <v>0</v>
      </c>
    </row>
    <row r="2724" spans="2:8" x14ac:dyDescent="0.2">
      <c r="B2724" s="48"/>
      <c r="C2724" s="57" t="s">
        <v>1909</v>
      </c>
      <c r="D2724" s="44"/>
      <c r="E2724" s="102" t="s">
        <v>1035</v>
      </c>
      <c r="F2724" s="22"/>
      <c r="G2724" s="19"/>
      <c r="H2724" s="21" t="str">
        <f>IF(E$2830="comprobar",COUNTIF(D2723:D2727,"x"),"")</f>
        <v/>
      </c>
    </row>
    <row r="2725" spans="2:8" x14ac:dyDescent="0.2">
      <c r="B2725" s="48"/>
      <c r="C2725" s="57" t="s">
        <v>1910</v>
      </c>
      <c r="D2725" s="44"/>
      <c r="E2725" s="102" t="s">
        <v>1036</v>
      </c>
      <c r="F2725" s="23"/>
      <c r="G2725" s="19"/>
      <c r="H2725" s="24">
        <f t="shared" ref="H2725" si="824">IF(H2724=1,IF(H2723=H$2,1,-0.33),0)</f>
        <v>0</v>
      </c>
    </row>
    <row r="2726" spans="2:8" x14ac:dyDescent="0.2">
      <c r="B2726" s="48"/>
      <c r="C2726" s="57" t="s">
        <v>583</v>
      </c>
      <c r="D2726" s="44"/>
      <c r="E2726" s="102" t="s">
        <v>1037</v>
      </c>
      <c r="F2726" s="20"/>
      <c r="G2726" s="19"/>
      <c r="H2726" s="24"/>
    </row>
    <row r="2727" spans="2:8" x14ac:dyDescent="0.2">
      <c r="B2727" s="48"/>
      <c r="C2727" s="8"/>
      <c r="D2727" s="44"/>
      <c r="E2727" s="102" t="s">
        <v>1038</v>
      </c>
      <c r="F2727" s="20"/>
      <c r="G2727" s="19"/>
      <c r="H2727" s="24"/>
    </row>
    <row r="2728" spans="2:8" x14ac:dyDescent="0.2">
      <c r="B2728" s="49" t="s">
        <v>1814</v>
      </c>
      <c r="C2728" s="13" t="s">
        <v>1911</v>
      </c>
      <c r="D2728" s="45"/>
      <c r="E2728" s="14"/>
      <c r="F2728" s="16"/>
      <c r="G2728" s="15"/>
      <c r="H2728" s="15"/>
    </row>
    <row r="2729" spans="2:8" x14ac:dyDescent="0.2">
      <c r="B2729" s="48"/>
      <c r="C2729" s="56" t="s">
        <v>1912</v>
      </c>
      <c r="D2729" s="44"/>
      <c r="E2729" s="102" t="s">
        <v>1034</v>
      </c>
      <c r="F2729" s="20"/>
      <c r="G2729" s="19"/>
      <c r="H2729" s="21" t="b">
        <f>IF(D2732="x",H$2,H$1)</f>
        <v>0</v>
      </c>
    </row>
    <row r="2730" spans="2:8" x14ac:dyDescent="0.2">
      <c r="B2730" s="48"/>
      <c r="C2730" s="57" t="s">
        <v>1913</v>
      </c>
      <c r="D2730" s="44"/>
      <c r="E2730" s="102" t="s">
        <v>1035</v>
      </c>
      <c r="F2730" s="22"/>
      <c r="G2730" s="19"/>
      <c r="H2730" s="21" t="str">
        <f>IF(E$2830="comprobar",COUNTIF(D2729:D2733,"x"),"")</f>
        <v/>
      </c>
    </row>
    <row r="2731" spans="2:8" x14ac:dyDescent="0.2">
      <c r="B2731" s="48"/>
      <c r="C2731" s="57" t="s">
        <v>1914</v>
      </c>
      <c r="D2731" s="44"/>
      <c r="E2731" s="102" t="s">
        <v>1036</v>
      </c>
      <c r="F2731" s="23"/>
      <c r="G2731" s="19"/>
      <c r="H2731" s="24">
        <f t="shared" ref="H2731" si="825">IF(H2730=1,IF(H2729=H$2,1,-0.33),0)</f>
        <v>0</v>
      </c>
    </row>
    <row r="2732" spans="2:8" x14ac:dyDescent="0.2">
      <c r="B2732" s="48"/>
      <c r="C2732" s="57" t="s">
        <v>622</v>
      </c>
      <c r="D2732" s="44"/>
      <c r="E2732" s="102" t="s">
        <v>1037</v>
      </c>
      <c r="F2732" s="20"/>
      <c r="G2732" s="19"/>
      <c r="H2732" s="24"/>
    </row>
    <row r="2733" spans="2:8" x14ac:dyDescent="0.2">
      <c r="B2733" s="48"/>
      <c r="C2733" s="8"/>
      <c r="D2733" s="44"/>
      <c r="E2733" s="102" t="s">
        <v>1038</v>
      </c>
      <c r="F2733" s="20"/>
      <c r="G2733" s="19"/>
      <c r="H2733" s="24"/>
    </row>
    <row r="2734" spans="2:8" x14ac:dyDescent="0.2">
      <c r="B2734" s="49" t="s">
        <v>1820</v>
      </c>
      <c r="C2734" s="13" t="s">
        <v>1915</v>
      </c>
      <c r="D2734" s="45"/>
      <c r="E2734" s="14"/>
      <c r="F2734" s="16"/>
      <c r="G2734" s="15"/>
      <c r="H2734" s="15"/>
    </row>
    <row r="2735" spans="2:8" x14ac:dyDescent="0.2">
      <c r="B2735" s="48"/>
      <c r="C2735" s="56" t="s">
        <v>1916</v>
      </c>
      <c r="D2735" s="44"/>
      <c r="E2735" s="102" t="s">
        <v>1034</v>
      </c>
      <c r="F2735" s="20"/>
      <c r="G2735" s="19"/>
      <c r="H2735" s="21" t="b">
        <f>IF(D2738="x",H$2,H$1)</f>
        <v>0</v>
      </c>
    </row>
    <row r="2736" spans="2:8" x14ac:dyDescent="0.2">
      <c r="B2736" s="48"/>
      <c r="C2736" s="57" t="s">
        <v>1917</v>
      </c>
      <c r="D2736" s="44"/>
      <c r="E2736" s="102" t="s">
        <v>1035</v>
      </c>
      <c r="F2736" s="22"/>
      <c r="G2736" s="19"/>
      <c r="H2736" s="21" t="str">
        <f>IF(E$2830="comprobar",COUNTIF(D2735:D2739,"x"),"")</f>
        <v/>
      </c>
    </row>
    <row r="2737" spans="2:8" x14ac:dyDescent="0.2">
      <c r="B2737" s="48"/>
      <c r="C2737" s="57" t="s">
        <v>1918</v>
      </c>
      <c r="D2737" s="44"/>
      <c r="E2737" s="102" t="s">
        <v>1036</v>
      </c>
      <c r="F2737" s="23"/>
      <c r="G2737" s="19"/>
      <c r="H2737" s="24">
        <f t="shared" ref="H2737" si="826">IF(H2736=1,IF(H2735=H$2,1,-0.33),0)</f>
        <v>0</v>
      </c>
    </row>
    <row r="2738" spans="2:8" x14ac:dyDescent="0.2">
      <c r="B2738" s="48"/>
      <c r="C2738" s="57" t="s">
        <v>1919</v>
      </c>
      <c r="D2738" s="44"/>
      <c r="E2738" s="102" t="s">
        <v>1037</v>
      </c>
      <c r="F2738" s="20"/>
      <c r="G2738" s="19"/>
      <c r="H2738" s="24"/>
    </row>
    <row r="2739" spans="2:8" x14ac:dyDescent="0.2">
      <c r="B2739" s="48"/>
      <c r="C2739" s="8"/>
      <c r="D2739" s="44"/>
      <c r="E2739" s="102" t="s">
        <v>1038</v>
      </c>
      <c r="F2739" s="20"/>
      <c r="G2739" s="19"/>
      <c r="H2739" s="24"/>
    </row>
    <row r="2740" spans="2:8" x14ac:dyDescent="0.2">
      <c r="B2740" s="49" t="s">
        <v>1826</v>
      </c>
      <c r="C2740" s="13" t="s">
        <v>1920</v>
      </c>
      <c r="D2740" s="45"/>
      <c r="E2740" s="14"/>
      <c r="F2740" s="16"/>
      <c r="G2740" s="15"/>
      <c r="H2740" s="15"/>
    </row>
    <row r="2741" spans="2:8" x14ac:dyDescent="0.2">
      <c r="B2741" s="48"/>
      <c r="C2741" s="60" t="s">
        <v>1921</v>
      </c>
      <c r="D2741" s="44"/>
      <c r="E2741" s="102" t="s">
        <v>1034</v>
      </c>
      <c r="F2741" s="20"/>
      <c r="G2741" s="19"/>
      <c r="H2741" s="21" t="b">
        <f>IF(D2742="x",H$2,H$1)</f>
        <v>0</v>
      </c>
    </row>
    <row r="2742" spans="2:8" x14ac:dyDescent="0.2">
      <c r="B2742" s="48"/>
      <c r="C2742" s="61" t="s">
        <v>1922</v>
      </c>
      <c r="D2742" s="44"/>
      <c r="E2742" s="102" t="s">
        <v>1035</v>
      </c>
      <c r="F2742" s="22"/>
      <c r="G2742" s="19"/>
      <c r="H2742" s="21" t="str">
        <f>IF(E$2830="comprobar",COUNTIF(D2741:D2745,"x"),"")</f>
        <v/>
      </c>
    </row>
    <row r="2743" spans="2:8" x14ac:dyDescent="0.2">
      <c r="B2743" s="48"/>
      <c r="C2743" s="61" t="s">
        <v>1923</v>
      </c>
      <c r="D2743" s="44"/>
      <c r="E2743" s="102" t="s">
        <v>1036</v>
      </c>
      <c r="F2743" s="23"/>
      <c r="G2743" s="19"/>
      <c r="H2743" s="24">
        <f t="shared" ref="H2743" si="827">IF(H2742=1,IF(H2741=H$2,1,-0.33),0)</f>
        <v>0</v>
      </c>
    </row>
    <row r="2744" spans="2:8" x14ac:dyDescent="0.2">
      <c r="B2744" s="48"/>
      <c r="C2744" s="57" t="s">
        <v>595</v>
      </c>
      <c r="D2744" s="44"/>
      <c r="E2744" s="102" t="s">
        <v>1037</v>
      </c>
      <c r="F2744" s="20"/>
      <c r="G2744" s="19"/>
      <c r="H2744" s="24"/>
    </row>
    <row r="2745" spans="2:8" x14ac:dyDescent="0.2">
      <c r="B2745" s="48"/>
      <c r="C2745" s="8"/>
      <c r="D2745" s="44"/>
      <c r="E2745" s="102" t="s">
        <v>1038</v>
      </c>
      <c r="F2745" s="20"/>
      <c r="G2745" s="19"/>
      <c r="H2745" s="24"/>
    </row>
    <row r="2746" spans="2:8" x14ac:dyDescent="0.2">
      <c r="B2746" s="49" t="s">
        <v>1831</v>
      </c>
      <c r="C2746" s="13" t="s">
        <v>50</v>
      </c>
      <c r="D2746" s="45"/>
      <c r="E2746" s="14"/>
      <c r="F2746" s="16"/>
      <c r="G2746" s="15"/>
      <c r="H2746" s="15"/>
    </row>
    <row r="2747" spans="2:8" x14ac:dyDescent="0.2">
      <c r="B2747" s="48"/>
      <c r="C2747" s="56" t="s">
        <v>1924</v>
      </c>
      <c r="D2747" s="44"/>
      <c r="E2747" s="102" t="s">
        <v>1034</v>
      </c>
      <c r="F2747" s="20"/>
      <c r="G2747" s="19"/>
      <c r="H2747" s="21" t="b">
        <f>IF(D2750="x",H$2,H$1)</f>
        <v>0</v>
      </c>
    </row>
    <row r="2748" spans="2:8" x14ac:dyDescent="0.2">
      <c r="B2748" s="48"/>
      <c r="C2748" s="57" t="s">
        <v>1925</v>
      </c>
      <c r="D2748" s="44"/>
      <c r="E2748" s="102" t="s">
        <v>1035</v>
      </c>
      <c r="F2748" s="22"/>
      <c r="G2748" s="19"/>
      <c r="H2748" s="21" t="str">
        <f>IF(E$2830="comprobar",COUNTIF(D2747:D2751,"x"),"")</f>
        <v/>
      </c>
    </row>
    <row r="2749" spans="2:8" x14ac:dyDescent="0.2">
      <c r="B2749" s="48"/>
      <c r="C2749" s="57" t="s">
        <v>1926</v>
      </c>
      <c r="D2749" s="44"/>
      <c r="E2749" s="102" t="s">
        <v>1036</v>
      </c>
      <c r="F2749" s="23"/>
      <c r="G2749" s="19"/>
      <c r="H2749" s="24">
        <f t="shared" ref="H2749" si="828">IF(H2748=1,IF(H2747=H$2,1,-0.33),0)</f>
        <v>0</v>
      </c>
    </row>
    <row r="2750" spans="2:8" x14ac:dyDescent="0.2">
      <c r="B2750" s="48"/>
      <c r="C2750" s="57" t="s">
        <v>622</v>
      </c>
      <c r="D2750" s="44"/>
      <c r="E2750" s="102" t="s">
        <v>1037</v>
      </c>
      <c r="F2750" s="20"/>
      <c r="G2750" s="19"/>
      <c r="H2750" s="24"/>
    </row>
    <row r="2751" spans="2:8" x14ac:dyDescent="0.2">
      <c r="B2751" s="48"/>
      <c r="C2751" s="8"/>
      <c r="D2751" s="44"/>
      <c r="E2751" s="102" t="s">
        <v>1038</v>
      </c>
      <c r="F2751" s="20"/>
      <c r="G2751" s="19"/>
      <c r="H2751" s="24"/>
    </row>
    <row r="2752" spans="2:8" ht="17" thickBot="1" x14ac:dyDescent="0.25">
      <c r="B2752" s="49" t="s">
        <v>1836</v>
      </c>
      <c r="C2752" s="13" t="s">
        <v>50</v>
      </c>
      <c r="D2752" s="45"/>
      <c r="E2752" s="14"/>
      <c r="F2752" s="16"/>
      <c r="G2752" s="15"/>
      <c r="H2752" s="15"/>
    </row>
    <row r="2753" spans="2:8" ht="17" thickTop="1" x14ac:dyDescent="0.2">
      <c r="B2753" s="48"/>
      <c r="C2753" s="56" t="s">
        <v>1924</v>
      </c>
      <c r="D2753" s="44"/>
      <c r="E2753" s="102" t="s">
        <v>1034</v>
      </c>
      <c r="F2753" s="105" t="s">
        <v>1976</v>
      </c>
      <c r="G2753" s="19"/>
      <c r="H2753" s="21" t="b">
        <f>IF(D2753="x",H$2,H$1)</f>
        <v>0</v>
      </c>
    </row>
    <row r="2754" spans="2:8" x14ac:dyDescent="0.2">
      <c r="B2754" s="48"/>
      <c r="C2754" s="57" t="s">
        <v>1925</v>
      </c>
      <c r="D2754" s="44"/>
      <c r="E2754" s="102" t="s">
        <v>1035</v>
      </c>
      <c r="F2754" s="103"/>
      <c r="G2754" s="19"/>
      <c r="H2754" s="21" t="str">
        <f>IF(E$2830="comprobar",COUNTIF(D2753:D2757,"x"),"")</f>
        <v/>
      </c>
    </row>
    <row r="2755" spans="2:8" x14ac:dyDescent="0.2">
      <c r="B2755" s="48"/>
      <c r="C2755" s="57" t="s">
        <v>1926</v>
      </c>
      <c r="D2755" s="44"/>
      <c r="E2755" s="102" t="s">
        <v>1036</v>
      </c>
      <c r="F2755" s="104"/>
      <c r="G2755" s="19"/>
      <c r="H2755" s="24">
        <f t="shared" ref="H2755" si="829">IF(H2754=1,IF(H2753=H$2,1,-0.33),0)</f>
        <v>0</v>
      </c>
    </row>
    <row r="2756" spans="2:8" ht="17" thickBot="1" x14ac:dyDescent="0.25">
      <c r="B2756" s="48"/>
      <c r="C2756" s="57" t="s">
        <v>622</v>
      </c>
      <c r="D2756" s="44"/>
      <c r="E2756" s="102" t="s">
        <v>1037</v>
      </c>
      <c r="F2756" s="106" t="s">
        <v>1977</v>
      </c>
      <c r="G2756" s="19"/>
      <c r="H2756" s="24"/>
    </row>
    <row r="2757" spans="2:8" ht="17" thickTop="1" x14ac:dyDescent="0.2">
      <c r="B2757" s="48"/>
      <c r="C2757" s="8"/>
      <c r="D2757" s="44"/>
      <c r="E2757" s="102" t="s">
        <v>1038</v>
      </c>
      <c r="F2757" s="20"/>
      <c r="G2757" s="19"/>
      <c r="H2757" s="24"/>
    </row>
    <row r="2758" spans="2:8" x14ac:dyDescent="0.2">
      <c r="B2758" s="49" t="s">
        <v>1842</v>
      </c>
      <c r="C2758" s="13" t="s">
        <v>50</v>
      </c>
      <c r="D2758" s="45"/>
      <c r="E2758" s="14"/>
      <c r="F2758" s="16"/>
      <c r="G2758" s="15"/>
      <c r="H2758" s="15"/>
    </row>
    <row r="2759" spans="2:8" x14ac:dyDescent="0.2">
      <c r="B2759" s="48"/>
      <c r="C2759" s="56" t="s">
        <v>1927</v>
      </c>
      <c r="D2759" s="44"/>
      <c r="E2759" s="102" t="s">
        <v>1034</v>
      </c>
      <c r="F2759" s="20"/>
      <c r="G2759" s="19"/>
      <c r="H2759" s="21" t="b">
        <f>IF(D2762="x",H$2,H$1)</f>
        <v>0</v>
      </c>
    </row>
    <row r="2760" spans="2:8" x14ac:dyDescent="0.2">
      <c r="B2760" s="48"/>
      <c r="C2760" s="57" t="s">
        <v>1928</v>
      </c>
      <c r="D2760" s="44"/>
      <c r="E2760" s="102" t="s">
        <v>1035</v>
      </c>
      <c r="F2760" s="22"/>
      <c r="G2760" s="19"/>
      <c r="H2760" s="21" t="str">
        <f>IF(E$2830="comprobar",COUNTIF(D2759:D2763,"x"),"")</f>
        <v/>
      </c>
    </row>
    <row r="2761" spans="2:8" x14ac:dyDescent="0.2">
      <c r="B2761" s="48"/>
      <c r="C2761" s="57" t="s">
        <v>1929</v>
      </c>
      <c r="D2761" s="44"/>
      <c r="E2761" s="102" t="s">
        <v>1036</v>
      </c>
      <c r="F2761" s="23"/>
      <c r="G2761" s="19"/>
      <c r="H2761" s="24">
        <f t="shared" ref="H2761" si="830">IF(H2760=1,IF(H2759=H$2,1,-0.33),0)</f>
        <v>0</v>
      </c>
    </row>
    <row r="2762" spans="2:8" x14ac:dyDescent="0.2">
      <c r="B2762" s="48"/>
      <c r="C2762" s="57" t="s">
        <v>622</v>
      </c>
      <c r="D2762" s="44"/>
      <c r="E2762" s="102" t="s">
        <v>1037</v>
      </c>
      <c r="F2762" s="20"/>
      <c r="G2762" s="19"/>
      <c r="H2762" s="24"/>
    </row>
    <row r="2763" spans="2:8" x14ac:dyDescent="0.2">
      <c r="B2763" s="48"/>
      <c r="C2763" s="8"/>
      <c r="D2763" s="44"/>
      <c r="E2763" s="102" t="s">
        <v>1038</v>
      </c>
      <c r="F2763" s="12"/>
      <c r="G2763" s="19"/>
      <c r="H2763" s="24"/>
    </row>
    <row r="2764" spans="2:8" x14ac:dyDescent="0.2">
      <c r="B2764" s="49" t="s">
        <v>1844</v>
      </c>
      <c r="C2764" s="13" t="s">
        <v>1930</v>
      </c>
      <c r="D2764" s="45"/>
      <c r="E2764" s="14"/>
      <c r="F2764" s="30"/>
      <c r="G2764" s="29"/>
      <c r="H2764" s="15"/>
    </row>
    <row r="2765" spans="2:8" x14ac:dyDescent="0.2">
      <c r="B2765" s="48"/>
      <c r="C2765" s="56" t="s">
        <v>1931</v>
      </c>
      <c r="D2765" s="44"/>
      <c r="E2765" s="102" t="s">
        <v>1034</v>
      </c>
      <c r="F2765" s="27"/>
      <c r="G2765" s="26"/>
      <c r="H2765" s="21" t="b">
        <f>IF(D2767="x",H$2,H$1)</f>
        <v>0</v>
      </c>
    </row>
    <row r="2766" spans="2:8" x14ac:dyDescent="0.2">
      <c r="B2766" s="48"/>
      <c r="C2766" s="57" t="s">
        <v>1932</v>
      </c>
      <c r="D2766" s="44"/>
      <c r="E2766" s="102" t="s">
        <v>1035</v>
      </c>
      <c r="F2766" s="22"/>
      <c r="G2766" s="26"/>
      <c r="H2766" s="21" t="str">
        <f>IF(E$2830="comprobar",COUNTIF(D2765:D2769,"x"),"")</f>
        <v/>
      </c>
    </row>
    <row r="2767" spans="2:8" x14ac:dyDescent="0.2">
      <c r="B2767" s="48"/>
      <c r="C2767" s="57" t="s">
        <v>1933</v>
      </c>
      <c r="D2767" s="44"/>
      <c r="E2767" s="102" t="s">
        <v>1036</v>
      </c>
      <c r="F2767" s="23"/>
      <c r="G2767" s="26"/>
      <c r="H2767" s="24">
        <f t="shared" ref="H2767" si="831">IF(H2766=1,IF(H2765=H$2,1,-0.33),0)</f>
        <v>0</v>
      </c>
    </row>
    <row r="2768" spans="2:8" x14ac:dyDescent="0.2">
      <c r="B2768" s="48"/>
      <c r="C2768" s="57" t="s">
        <v>1934</v>
      </c>
      <c r="D2768" s="44"/>
      <c r="E2768" s="102" t="s">
        <v>1037</v>
      </c>
      <c r="F2768" s="28"/>
      <c r="G2768" s="26"/>
      <c r="H2768" s="24"/>
    </row>
    <row r="2769" spans="2:8" x14ac:dyDescent="0.2">
      <c r="B2769" s="48"/>
      <c r="C2769" s="8"/>
      <c r="D2769" s="44"/>
      <c r="E2769" s="102" t="s">
        <v>1038</v>
      </c>
      <c r="F2769" s="28"/>
      <c r="G2769" s="26"/>
      <c r="H2769" s="24"/>
    </row>
    <row r="2770" spans="2:8" x14ac:dyDescent="0.2">
      <c r="B2770" s="49" t="s">
        <v>1850</v>
      </c>
      <c r="C2770" s="13" t="s">
        <v>1935</v>
      </c>
      <c r="D2770" s="45"/>
      <c r="E2770" s="14"/>
      <c r="F2770" s="30"/>
      <c r="G2770" s="29"/>
      <c r="H2770" s="15"/>
    </row>
    <row r="2771" spans="2:8" x14ac:dyDescent="0.2">
      <c r="B2771" s="48"/>
      <c r="C2771" s="60" t="s">
        <v>1936</v>
      </c>
      <c r="D2771" s="44"/>
      <c r="E2771" s="102" t="s">
        <v>1034</v>
      </c>
      <c r="F2771" s="27"/>
      <c r="G2771" s="26"/>
      <c r="H2771" s="21" t="b">
        <f>IF(D2773="x",H$2,H$1)</f>
        <v>0</v>
      </c>
    </row>
    <row r="2772" spans="2:8" x14ac:dyDescent="0.2">
      <c r="B2772" s="48"/>
      <c r="C2772" s="61" t="s">
        <v>1937</v>
      </c>
      <c r="D2772" s="44"/>
      <c r="E2772" s="102" t="s">
        <v>1035</v>
      </c>
      <c r="F2772" s="22"/>
      <c r="G2772" s="26"/>
      <c r="H2772" s="21" t="str">
        <f>IF(E$2830="comprobar",COUNTIF(D2771:D2775,"x"),"")</f>
        <v/>
      </c>
    </row>
    <row r="2773" spans="2:8" x14ac:dyDescent="0.2">
      <c r="B2773" s="48"/>
      <c r="C2773" s="61" t="s">
        <v>1938</v>
      </c>
      <c r="D2773" s="44"/>
      <c r="E2773" s="102" t="s">
        <v>1036</v>
      </c>
      <c r="F2773" s="23"/>
      <c r="G2773" s="26"/>
      <c r="H2773" s="24">
        <f t="shared" ref="H2773" si="832">IF(H2772=1,IF(H2771=H$2,1,-0.33),0)</f>
        <v>0</v>
      </c>
    </row>
    <row r="2774" spans="2:8" x14ac:dyDescent="0.2">
      <c r="B2774" s="48"/>
      <c r="C2774" s="61" t="s">
        <v>1931</v>
      </c>
      <c r="D2774" s="44"/>
      <c r="E2774" s="102" t="s">
        <v>1037</v>
      </c>
      <c r="F2774" s="20"/>
      <c r="G2774" s="55"/>
      <c r="H2774" s="24"/>
    </row>
    <row r="2775" spans="2:8" x14ac:dyDescent="0.2">
      <c r="B2775" s="48"/>
      <c r="C2775" s="8"/>
      <c r="D2775" s="44"/>
      <c r="E2775" s="102" t="s">
        <v>1038</v>
      </c>
      <c r="F2775" s="28"/>
      <c r="G2775" s="26"/>
      <c r="H2775" s="24"/>
    </row>
    <row r="2776" spans="2:8" x14ac:dyDescent="0.2">
      <c r="B2776" s="49" t="s">
        <v>1855</v>
      </c>
      <c r="C2776" s="13" t="s">
        <v>1939</v>
      </c>
      <c r="D2776" s="45"/>
      <c r="E2776" s="14"/>
      <c r="F2776" s="30"/>
      <c r="G2776" s="29"/>
      <c r="H2776" s="15"/>
    </row>
    <row r="2777" spans="2:8" x14ac:dyDescent="0.2">
      <c r="B2777" s="48"/>
      <c r="C2777" s="56" t="s">
        <v>1940</v>
      </c>
      <c r="D2777" s="44"/>
      <c r="E2777" s="102" t="s">
        <v>1034</v>
      </c>
      <c r="F2777" s="27"/>
      <c r="G2777" s="26"/>
      <c r="H2777" s="21" t="b">
        <f>IF(D2778="x",H$2,H$1)</f>
        <v>0</v>
      </c>
    </row>
    <row r="2778" spans="2:8" x14ac:dyDescent="0.2">
      <c r="B2778" s="48"/>
      <c r="C2778" s="57" t="s">
        <v>1941</v>
      </c>
      <c r="D2778" s="44"/>
      <c r="E2778" s="102" t="s">
        <v>1035</v>
      </c>
      <c r="F2778" s="22"/>
      <c r="G2778" s="26"/>
      <c r="H2778" s="21" t="str">
        <f>IF(E$2830="comprobar",COUNTIF(D2777:D2781,"x"),"")</f>
        <v/>
      </c>
    </row>
    <row r="2779" spans="2:8" x14ac:dyDescent="0.2">
      <c r="B2779" s="48"/>
      <c r="C2779" s="57" t="s">
        <v>1938</v>
      </c>
      <c r="D2779" s="44"/>
      <c r="E2779" s="102" t="s">
        <v>1036</v>
      </c>
      <c r="F2779" s="23"/>
      <c r="G2779" s="26"/>
      <c r="H2779" s="24">
        <f t="shared" ref="H2779" si="833">IF(H2778=1,IF(H2777=H$2,1,-0.33),0)</f>
        <v>0</v>
      </c>
    </row>
    <row r="2780" spans="2:8" x14ac:dyDescent="0.2">
      <c r="B2780" s="48"/>
      <c r="C2780" s="57" t="s">
        <v>1931</v>
      </c>
      <c r="D2780" s="44"/>
      <c r="E2780" s="102" t="s">
        <v>1037</v>
      </c>
      <c r="F2780" s="28"/>
      <c r="G2780" s="26"/>
      <c r="H2780" s="24"/>
    </row>
    <row r="2781" spans="2:8" x14ac:dyDescent="0.2">
      <c r="B2781" s="48"/>
      <c r="C2781" s="8"/>
      <c r="D2781" s="44"/>
      <c r="E2781" s="102" t="s">
        <v>1038</v>
      </c>
      <c r="F2781" s="28"/>
      <c r="G2781" s="26"/>
      <c r="H2781" s="24"/>
    </row>
    <row r="2782" spans="2:8" x14ac:dyDescent="0.2">
      <c r="B2782" s="49" t="s">
        <v>1860</v>
      </c>
      <c r="C2782" s="13" t="s">
        <v>1942</v>
      </c>
      <c r="D2782" s="45"/>
      <c r="E2782" s="14"/>
      <c r="F2782" s="16"/>
      <c r="G2782" s="15"/>
      <c r="H2782" s="15"/>
    </row>
    <row r="2783" spans="2:8" x14ac:dyDescent="0.2">
      <c r="B2783" s="48"/>
      <c r="C2783" s="60" t="s">
        <v>1943</v>
      </c>
      <c r="D2783" s="44"/>
      <c r="E2783" s="102" t="s">
        <v>1034</v>
      </c>
      <c r="F2783" s="20"/>
      <c r="G2783" s="19"/>
      <c r="H2783" s="21" t="b">
        <f>IF(D2783="x",H$2,H$1)</f>
        <v>0</v>
      </c>
    </row>
    <row r="2784" spans="2:8" x14ac:dyDescent="0.2">
      <c r="B2784" s="48"/>
      <c r="C2784" s="61" t="s">
        <v>1944</v>
      </c>
      <c r="D2784" s="44"/>
      <c r="E2784" s="102" t="s">
        <v>1035</v>
      </c>
      <c r="F2784" s="22"/>
      <c r="G2784" s="19"/>
      <c r="H2784" s="21" t="str">
        <f>IF(E$2830="comprobar",COUNTIF(D2783:D2787,"x"),"")</f>
        <v/>
      </c>
    </row>
    <row r="2785" spans="2:8" x14ac:dyDescent="0.2">
      <c r="B2785" s="48"/>
      <c r="C2785" s="61" t="s">
        <v>1945</v>
      </c>
      <c r="D2785" s="44"/>
      <c r="E2785" s="102" t="s">
        <v>1036</v>
      </c>
      <c r="F2785" s="23"/>
      <c r="G2785" s="19"/>
      <c r="H2785" s="24">
        <f t="shared" ref="H2785" si="834">IF(H2784=1,IF(H2783=H$2,1,-0.33),0)</f>
        <v>0</v>
      </c>
    </row>
    <row r="2786" spans="2:8" x14ac:dyDescent="0.2">
      <c r="B2786" s="48"/>
      <c r="C2786" s="61" t="s">
        <v>595</v>
      </c>
      <c r="D2786" s="44"/>
      <c r="E2786" s="102" t="s">
        <v>1037</v>
      </c>
      <c r="F2786" s="20"/>
      <c r="G2786" s="19"/>
      <c r="H2786" s="24"/>
    </row>
    <row r="2787" spans="2:8" x14ac:dyDescent="0.2">
      <c r="B2787" s="48"/>
      <c r="C2787" s="8"/>
      <c r="D2787" s="44"/>
      <c r="E2787" s="102" t="s">
        <v>1038</v>
      </c>
      <c r="F2787" s="20"/>
      <c r="G2787" s="19"/>
      <c r="H2787" s="24"/>
    </row>
    <row r="2788" spans="2:8" x14ac:dyDescent="0.2">
      <c r="B2788" s="49" t="s">
        <v>1866</v>
      </c>
      <c r="C2788" s="13" t="s">
        <v>1946</v>
      </c>
      <c r="D2788" s="45"/>
      <c r="E2788" s="14"/>
      <c r="F2788" s="30"/>
      <c r="G2788" s="29"/>
      <c r="H2788" s="15"/>
    </row>
    <row r="2789" spans="2:8" x14ac:dyDescent="0.2">
      <c r="B2789" s="48"/>
      <c r="C2789" s="56" t="s">
        <v>1947</v>
      </c>
      <c r="D2789" s="44"/>
      <c r="E2789" s="102" t="s">
        <v>1034</v>
      </c>
      <c r="F2789" s="27"/>
      <c r="G2789" s="26"/>
      <c r="H2789" s="21" t="b">
        <f>IF(D2792="x",H$2,H$1)</f>
        <v>0</v>
      </c>
    </row>
    <row r="2790" spans="2:8" x14ac:dyDescent="0.2">
      <c r="B2790" s="48"/>
      <c r="C2790" s="57" t="s">
        <v>1948</v>
      </c>
      <c r="D2790" s="44"/>
      <c r="E2790" s="102" t="s">
        <v>1035</v>
      </c>
      <c r="F2790" s="22"/>
      <c r="G2790" s="26"/>
      <c r="H2790" s="21" t="str">
        <f>IF(E$2830="comprobar",COUNTIF(D2789:D2793,"x"),"")</f>
        <v/>
      </c>
    </row>
    <row r="2791" spans="2:8" x14ac:dyDescent="0.2">
      <c r="B2791" s="48"/>
      <c r="C2791" s="57" t="s">
        <v>1949</v>
      </c>
      <c r="D2791" s="44"/>
      <c r="E2791" s="102" t="s">
        <v>1036</v>
      </c>
      <c r="F2791" s="23"/>
      <c r="G2791" s="26"/>
      <c r="H2791" s="24">
        <f t="shared" ref="H2791" si="835">IF(H2790=1,IF(H2789=H$2,1,-0.33),0)</f>
        <v>0</v>
      </c>
    </row>
    <row r="2792" spans="2:8" x14ac:dyDescent="0.2">
      <c r="B2792" s="48"/>
      <c r="C2792" s="57" t="s">
        <v>595</v>
      </c>
      <c r="D2792" s="44"/>
      <c r="E2792" s="102" t="s">
        <v>1037</v>
      </c>
      <c r="F2792" s="28"/>
      <c r="G2792" s="26"/>
      <c r="H2792" s="24"/>
    </row>
    <row r="2793" spans="2:8" x14ac:dyDescent="0.2">
      <c r="B2793" s="48"/>
      <c r="C2793" s="8"/>
      <c r="D2793" s="44"/>
      <c r="E2793" s="102" t="s">
        <v>1038</v>
      </c>
      <c r="F2793" s="28"/>
      <c r="G2793" s="26"/>
      <c r="H2793" s="24"/>
    </row>
    <row r="2794" spans="2:8" x14ac:dyDescent="0.2">
      <c r="B2794" s="49" t="s">
        <v>1872</v>
      </c>
      <c r="C2794" s="13" t="s">
        <v>1950</v>
      </c>
      <c r="D2794" s="95"/>
      <c r="E2794" s="14"/>
      <c r="F2794" s="71"/>
      <c r="G2794" s="29"/>
      <c r="H2794" s="15"/>
    </row>
    <row r="2795" spans="2:8" x14ac:dyDescent="0.2">
      <c r="B2795" s="48"/>
      <c r="C2795" s="56" t="s">
        <v>1951</v>
      </c>
      <c r="D2795" s="44"/>
      <c r="E2795" s="102" t="s">
        <v>1034</v>
      </c>
      <c r="F2795" s="28"/>
      <c r="G2795" s="55"/>
      <c r="H2795" s="21" t="b">
        <f>IF(D2795="x",H$2,H$1)</f>
        <v>0</v>
      </c>
    </row>
    <row r="2796" spans="2:8" x14ac:dyDescent="0.2">
      <c r="B2796" s="48"/>
      <c r="C2796" s="57" t="s">
        <v>1952</v>
      </c>
      <c r="D2796" s="44"/>
      <c r="E2796" s="102" t="s">
        <v>1035</v>
      </c>
      <c r="F2796" s="22"/>
      <c r="G2796" s="26"/>
      <c r="H2796" s="21" t="str">
        <f>IF(E$2830="comprobar",COUNTIF(D2795:D2799,"x"),"")</f>
        <v/>
      </c>
    </row>
    <row r="2797" spans="2:8" x14ac:dyDescent="0.2">
      <c r="B2797" s="48"/>
      <c r="C2797" s="57" t="s">
        <v>1953</v>
      </c>
      <c r="D2797" s="44"/>
      <c r="E2797" s="102" t="s">
        <v>1036</v>
      </c>
      <c r="F2797" s="23"/>
      <c r="G2797" s="26"/>
      <c r="H2797" s="24">
        <f t="shared" ref="H2797" si="836">IF(H2796=1,IF(H2795=H$2,1,-0.33),0)</f>
        <v>0</v>
      </c>
    </row>
    <row r="2798" spans="2:8" x14ac:dyDescent="0.2">
      <c r="B2798" s="48"/>
      <c r="C2798" s="57" t="s">
        <v>1954</v>
      </c>
      <c r="D2798" s="44"/>
      <c r="E2798" s="102" t="s">
        <v>1037</v>
      </c>
      <c r="F2798" s="28"/>
      <c r="G2798" s="26"/>
      <c r="H2798" s="24"/>
    </row>
    <row r="2799" spans="2:8" x14ac:dyDescent="0.2">
      <c r="B2799" s="48"/>
      <c r="C2799" s="8"/>
      <c r="D2799" s="44"/>
      <c r="E2799" s="102" t="s">
        <v>1038</v>
      </c>
      <c r="F2799" s="28"/>
      <c r="G2799" s="26"/>
      <c r="H2799" s="24"/>
    </row>
    <row r="2800" spans="2:8" x14ac:dyDescent="0.2">
      <c r="B2800" s="49" t="s">
        <v>1877</v>
      </c>
      <c r="C2800" s="13" t="s">
        <v>1955</v>
      </c>
      <c r="D2800" s="45"/>
      <c r="E2800" s="14"/>
      <c r="F2800" s="30"/>
      <c r="G2800" s="29"/>
      <c r="H2800" s="15"/>
    </row>
    <row r="2801" spans="2:8" x14ac:dyDescent="0.2">
      <c r="B2801" s="48"/>
      <c r="C2801" s="56" t="s">
        <v>1956</v>
      </c>
      <c r="D2801" s="44"/>
      <c r="E2801" s="102" t="s">
        <v>1034</v>
      </c>
      <c r="F2801" s="27"/>
      <c r="G2801" s="26"/>
      <c r="H2801" s="21" t="b">
        <f>IF(D2801="x",H$2,H$1)</f>
        <v>0</v>
      </c>
    </row>
    <row r="2802" spans="2:8" x14ac:dyDescent="0.2">
      <c r="B2802" s="48"/>
      <c r="C2802" s="57" t="s">
        <v>1957</v>
      </c>
      <c r="D2802" s="44"/>
      <c r="E2802" s="102" t="s">
        <v>1035</v>
      </c>
      <c r="F2802" s="22"/>
      <c r="G2802" s="26"/>
      <c r="H2802" s="21" t="str">
        <f>IF(E$2830="comprobar",COUNTIF(D2801:D2805,"x"),"")</f>
        <v/>
      </c>
    </row>
    <row r="2803" spans="2:8" x14ac:dyDescent="0.2">
      <c r="B2803" s="48"/>
      <c r="C2803" s="57" t="s">
        <v>1958</v>
      </c>
      <c r="D2803" s="44"/>
      <c r="E2803" s="102" t="s">
        <v>1036</v>
      </c>
      <c r="F2803" s="23"/>
      <c r="G2803" s="26"/>
      <c r="H2803" s="24">
        <f t="shared" ref="H2803" si="837">IF(H2802=1,IF(H2801=H$2,1,-0.33),0)</f>
        <v>0</v>
      </c>
    </row>
    <row r="2804" spans="2:8" x14ac:dyDescent="0.2">
      <c r="B2804" s="48"/>
      <c r="C2804" s="57" t="s">
        <v>1954</v>
      </c>
      <c r="D2804" s="44"/>
      <c r="E2804" s="102" t="s">
        <v>1037</v>
      </c>
      <c r="F2804" s="28"/>
      <c r="G2804" s="26"/>
      <c r="H2804" s="24"/>
    </row>
    <row r="2805" spans="2:8" x14ac:dyDescent="0.2">
      <c r="B2805" s="48"/>
      <c r="C2805" s="8"/>
      <c r="D2805" s="44"/>
      <c r="E2805" s="102" t="s">
        <v>1038</v>
      </c>
      <c r="F2805" s="28"/>
      <c r="G2805" s="26"/>
      <c r="H2805" s="24"/>
    </row>
    <row r="2806" spans="2:8" x14ac:dyDescent="0.2">
      <c r="B2806" s="49" t="s">
        <v>1882</v>
      </c>
      <c r="C2806" s="13" t="s">
        <v>1959</v>
      </c>
      <c r="D2806" s="45"/>
      <c r="E2806" s="14"/>
      <c r="F2806" s="30"/>
      <c r="G2806" s="29"/>
      <c r="H2806" s="15"/>
    </row>
    <row r="2807" spans="2:8" x14ac:dyDescent="0.2">
      <c r="B2807" s="48"/>
      <c r="C2807" s="56" t="s">
        <v>1960</v>
      </c>
      <c r="D2807" s="44"/>
      <c r="E2807" s="102" t="s">
        <v>1034</v>
      </c>
      <c r="F2807" s="28"/>
      <c r="G2807" s="55"/>
      <c r="H2807" s="21" t="b">
        <f>IF(D2809="x",H$2,H$1)</f>
        <v>0</v>
      </c>
    </row>
    <row r="2808" spans="2:8" x14ac:dyDescent="0.2">
      <c r="B2808" s="48"/>
      <c r="C2808" s="57" t="s">
        <v>1961</v>
      </c>
      <c r="D2808" s="44"/>
      <c r="E2808" s="102" t="s">
        <v>1035</v>
      </c>
      <c r="F2808" s="22"/>
      <c r="G2808" s="26"/>
      <c r="H2808" s="21" t="str">
        <f>IF(E$2830="comprobar",COUNTIF(D2807:D2811,"x"),"")</f>
        <v/>
      </c>
    </row>
    <row r="2809" spans="2:8" x14ac:dyDescent="0.2">
      <c r="B2809" s="48"/>
      <c r="C2809" s="57" t="s">
        <v>1962</v>
      </c>
      <c r="D2809" s="44"/>
      <c r="E2809" s="102" t="s">
        <v>1036</v>
      </c>
      <c r="F2809" s="23"/>
      <c r="G2809" s="26"/>
      <c r="H2809" s="24">
        <f t="shared" ref="H2809" si="838">IF(H2808=1,IF(H2807=H$2,1,-0.33),0)</f>
        <v>0</v>
      </c>
    </row>
    <row r="2810" spans="2:8" x14ac:dyDescent="0.2">
      <c r="B2810" s="48"/>
      <c r="C2810" s="57" t="s">
        <v>1954</v>
      </c>
      <c r="D2810" s="44"/>
      <c r="E2810" s="102" t="s">
        <v>1037</v>
      </c>
      <c r="F2810" s="28"/>
      <c r="G2810" s="26"/>
      <c r="H2810" s="24"/>
    </row>
    <row r="2811" spans="2:8" x14ac:dyDescent="0.2">
      <c r="B2811" s="48"/>
      <c r="C2811" s="8"/>
      <c r="D2811" s="44"/>
      <c r="E2811" s="102" t="s">
        <v>1038</v>
      </c>
      <c r="F2811" s="28"/>
      <c r="G2811" s="26"/>
      <c r="H2811" s="24"/>
    </row>
    <row r="2812" spans="2:8" x14ac:dyDescent="0.2">
      <c r="B2812" s="49" t="s">
        <v>1888</v>
      </c>
      <c r="C2812" s="13" t="s">
        <v>1963</v>
      </c>
      <c r="D2812" s="95"/>
      <c r="E2812" s="14"/>
      <c r="F2812" s="71"/>
      <c r="G2812" s="29"/>
      <c r="H2812" s="15"/>
    </row>
    <row r="2813" spans="2:8" x14ac:dyDescent="0.2">
      <c r="B2813" s="48"/>
      <c r="C2813" s="60" t="s">
        <v>1964</v>
      </c>
      <c r="D2813" s="44"/>
      <c r="E2813" s="102" t="s">
        <v>1034</v>
      </c>
      <c r="F2813" s="27"/>
      <c r="G2813" s="26"/>
      <c r="H2813" s="21" t="b">
        <f>IF(D2814="x",H$2,H$1)</f>
        <v>0</v>
      </c>
    </row>
    <row r="2814" spans="2:8" x14ac:dyDescent="0.2">
      <c r="B2814" s="48"/>
      <c r="C2814" s="61" t="s">
        <v>1965</v>
      </c>
      <c r="D2814" s="44"/>
      <c r="E2814" s="102" t="s">
        <v>1035</v>
      </c>
      <c r="F2814" s="22"/>
      <c r="G2814" s="26"/>
      <c r="H2814" s="21" t="str">
        <f>IF(E$2830="comprobar",COUNTIF(D2813:D2817,"x"),"")</f>
        <v/>
      </c>
    </row>
    <row r="2815" spans="2:8" x14ac:dyDescent="0.2">
      <c r="B2815" s="48"/>
      <c r="C2815" s="61" t="s">
        <v>1966</v>
      </c>
      <c r="D2815" s="44"/>
      <c r="E2815" s="102" t="s">
        <v>1036</v>
      </c>
      <c r="F2815" s="23"/>
      <c r="G2815" s="26"/>
      <c r="H2815" s="24">
        <f t="shared" ref="H2815" si="839">IF(H2814=1,IF(H2813=H$2,1,-0.33),0)</f>
        <v>0</v>
      </c>
    </row>
    <row r="2816" spans="2:8" x14ac:dyDescent="0.2">
      <c r="B2816" s="48"/>
      <c r="C2816" s="61" t="s">
        <v>1967</v>
      </c>
      <c r="D2816" s="44"/>
      <c r="E2816" s="102" t="s">
        <v>1037</v>
      </c>
      <c r="F2816" s="28"/>
      <c r="G2816" s="55"/>
      <c r="H2816" s="24"/>
    </row>
    <row r="2817" spans="2:8" x14ac:dyDescent="0.2">
      <c r="B2817" s="48"/>
      <c r="C2817" s="8"/>
      <c r="D2817" s="44"/>
      <c r="E2817" s="102" t="s">
        <v>1038</v>
      </c>
      <c r="F2817" s="28"/>
      <c r="G2817" s="26"/>
      <c r="H2817" s="24"/>
    </row>
    <row r="2818" spans="2:8" x14ac:dyDescent="0.2">
      <c r="B2818" s="49" t="s">
        <v>1893</v>
      </c>
      <c r="C2818" s="13" t="s">
        <v>50</v>
      </c>
      <c r="D2818" s="45"/>
      <c r="E2818" s="14"/>
      <c r="F2818" s="30"/>
      <c r="G2818" s="29"/>
      <c r="H2818" s="15"/>
    </row>
    <row r="2819" spans="2:8" x14ac:dyDescent="0.2">
      <c r="B2819" s="48"/>
      <c r="C2819" s="60" t="s">
        <v>1968</v>
      </c>
      <c r="D2819" s="44"/>
      <c r="E2819" s="102" t="s">
        <v>1034</v>
      </c>
      <c r="F2819" s="27"/>
      <c r="G2819" s="26"/>
      <c r="H2819" s="21" t="b">
        <f>IF(D2820="x",H$2,H$1)</f>
        <v>0</v>
      </c>
    </row>
    <row r="2820" spans="2:8" ht="32" x14ac:dyDescent="0.2">
      <c r="B2820" s="48"/>
      <c r="C2820" s="61" t="s">
        <v>1969</v>
      </c>
      <c r="D2820" s="44"/>
      <c r="E2820" s="102" t="s">
        <v>1035</v>
      </c>
      <c r="F2820" s="22"/>
      <c r="G2820" s="26"/>
      <c r="H2820" s="21" t="str">
        <f>IF(E$2830="comprobar",COUNTIF(D2819:D2823,"x"),"")</f>
        <v/>
      </c>
    </row>
    <row r="2821" spans="2:8" x14ac:dyDescent="0.2">
      <c r="B2821" s="48"/>
      <c r="C2821" s="61" t="s">
        <v>1970</v>
      </c>
      <c r="D2821" s="44"/>
      <c r="E2821" s="102" t="s">
        <v>1036</v>
      </c>
      <c r="F2821" s="23"/>
      <c r="G2821" s="26"/>
      <c r="H2821" s="24">
        <f t="shared" ref="H2821" si="840">IF(H2820=1,IF(H2819=H$2,1,-0.33),0)</f>
        <v>0</v>
      </c>
    </row>
    <row r="2822" spans="2:8" x14ac:dyDescent="0.2">
      <c r="B2822" s="48"/>
      <c r="C2822" s="61" t="s">
        <v>622</v>
      </c>
      <c r="D2822" s="44"/>
      <c r="E2822" s="102" t="s">
        <v>1037</v>
      </c>
      <c r="F2822" s="28"/>
      <c r="G2822" s="26"/>
      <c r="H2822" s="24"/>
    </row>
    <row r="2823" spans="2:8" x14ac:dyDescent="0.2">
      <c r="B2823" s="48"/>
      <c r="C2823" s="8"/>
      <c r="D2823" s="44"/>
      <c r="E2823" s="102" t="s">
        <v>1038</v>
      </c>
      <c r="F2823" s="28"/>
      <c r="G2823" s="26"/>
      <c r="H2823" s="24"/>
    </row>
    <row r="2824" spans="2:8" x14ac:dyDescent="0.2">
      <c r="B2824" s="49" t="s">
        <v>1896</v>
      </c>
      <c r="C2824" s="13" t="s">
        <v>1971</v>
      </c>
      <c r="D2824" s="45"/>
      <c r="E2824" s="14"/>
      <c r="F2824" s="30"/>
      <c r="G2824" s="29"/>
      <c r="H2824" s="15"/>
    </row>
    <row r="2825" spans="2:8" x14ac:dyDescent="0.2">
      <c r="B2825" s="48"/>
      <c r="C2825" s="60" t="s">
        <v>1972</v>
      </c>
      <c r="D2825" s="44"/>
      <c r="E2825" s="102" t="s">
        <v>1034</v>
      </c>
      <c r="F2825" s="28"/>
      <c r="G2825" s="55"/>
      <c r="H2825" s="21" t="b">
        <f>IF(D2828="x",H$2,H$1)</f>
        <v>0</v>
      </c>
    </row>
    <row r="2826" spans="2:8" x14ac:dyDescent="0.2">
      <c r="B2826" s="48"/>
      <c r="C2826" s="61" t="s">
        <v>1973</v>
      </c>
      <c r="D2826" s="44"/>
      <c r="E2826" s="102" t="s">
        <v>1035</v>
      </c>
      <c r="F2826" s="22"/>
      <c r="G2826" s="26"/>
      <c r="H2826" s="21" t="str">
        <f>IF(E$2830="comprobar",COUNTIF(D2825:D2829,"x"),"")</f>
        <v/>
      </c>
    </row>
    <row r="2827" spans="2:8" x14ac:dyDescent="0.2">
      <c r="B2827" s="48"/>
      <c r="C2827" s="61" t="s">
        <v>1974</v>
      </c>
      <c r="D2827" s="44"/>
      <c r="E2827" s="102" t="s">
        <v>1036</v>
      </c>
      <c r="F2827" s="23"/>
      <c r="G2827" s="26"/>
      <c r="H2827" s="24">
        <f t="shared" ref="H2827" si="841">IF(H2826=1,IF(H2825=H$2,1,-0.33),0)</f>
        <v>0</v>
      </c>
    </row>
    <row r="2828" spans="2:8" x14ac:dyDescent="0.2">
      <c r="B2828" s="48"/>
      <c r="C2828" s="61" t="s">
        <v>595</v>
      </c>
      <c r="D2828" s="44"/>
      <c r="E2828" s="102" t="s">
        <v>1037</v>
      </c>
      <c r="F2828" s="28"/>
      <c r="G2828" s="26"/>
      <c r="H2828" s="24"/>
    </row>
    <row r="2829" spans="2:8" x14ac:dyDescent="0.2">
      <c r="B2829" s="48"/>
      <c r="C2829" s="8"/>
      <c r="D2829" s="44"/>
      <c r="E2829" s="102" t="s">
        <v>1038</v>
      </c>
      <c r="F2829" s="20"/>
      <c r="G2829" s="19"/>
      <c r="H2829" s="24"/>
    </row>
    <row r="2830" spans="2:8" x14ac:dyDescent="0.2">
      <c r="B2830" s="52"/>
      <c r="C2830" s="47"/>
      <c r="D2830" s="73"/>
      <c r="E2830" s="92"/>
      <c r="F2830" s="20"/>
      <c r="G2830" s="19"/>
      <c r="H2830" s="19"/>
    </row>
    <row r="2831" spans="2:8" x14ac:dyDescent="0.2">
      <c r="B2831" s="52"/>
      <c r="C2831" s="18"/>
      <c r="D2831" s="102"/>
      <c r="E2831" s="102"/>
      <c r="F2831" s="31" t="s">
        <v>93</v>
      </c>
      <c r="G2831" s="19" t="s">
        <v>91</v>
      </c>
      <c r="H2831" s="19" t="s">
        <v>92</v>
      </c>
    </row>
    <row r="2832" spans="2:8" ht="20" x14ac:dyDescent="0.2">
      <c r="B2832" s="52"/>
      <c r="C2832" s="18"/>
      <c r="D2832" s="102"/>
      <c r="E2832" s="1"/>
      <c r="F2832" s="32" t="str">
        <f>IF(E2830="comprobar",H2767+H2761+H2755+H2749+H2743+H2737+H2731+H2725+H2719+H2713+H2773+H2779+H2785+H2791+H2797+H2803+H2809+H2815+H2821+H2827,"")</f>
        <v/>
      </c>
      <c r="G2832" s="19">
        <f>20/2</f>
        <v>10</v>
      </c>
      <c r="H2832" s="19"/>
    </row>
    <row r="2833" spans="2:8" ht="17" thickBot="1" x14ac:dyDescent="0.25">
      <c r="B2833" s="53"/>
      <c r="C2833" s="33"/>
      <c r="D2833" s="34"/>
      <c r="E2833" s="9"/>
      <c r="F2833" s="35" t="str">
        <f>IF(F2832&gt;G2832,G2831,H2831)</f>
        <v>APROBADO</v>
      </c>
      <c r="G2833" s="19"/>
      <c r="H2833" s="19"/>
    </row>
    <row r="2834" spans="2:8" ht="29" x14ac:dyDescent="0.25">
      <c r="B2834" s="54"/>
      <c r="C2834" s="111" t="s">
        <v>2054</v>
      </c>
      <c r="D2834" s="111"/>
      <c r="E2834" s="111"/>
      <c r="F2834" s="112"/>
    </row>
    <row r="2835" spans="2:8" x14ac:dyDescent="0.2">
      <c r="B2835" s="49" t="s">
        <v>1799</v>
      </c>
      <c r="C2835" s="13" t="s">
        <v>1978</v>
      </c>
      <c r="D2835" s="14"/>
      <c r="E2835" s="14"/>
      <c r="F2835" s="16"/>
      <c r="G2835" s="15"/>
      <c r="H2835" s="15"/>
    </row>
    <row r="2836" spans="2:8" x14ac:dyDescent="0.2">
      <c r="B2836" s="48"/>
      <c r="C2836" s="60" t="s">
        <v>1979</v>
      </c>
      <c r="D2836" s="44"/>
      <c r="E2836" s="102" t="s">
        <v>1034</v>
      </c>
      <c r="F2836" s="20"/>
      <c r="G2836" s="19"/>
      <c r="H2836" s="21" t="b">
        <f>IF(D2839="x",H$2,H$1)</f>
        <v>0</v>
      </c>
    </row>
    <row r="2837" spans="2:8" x14ac:dyDescent="0.2">
      <c r="B2837" s="48"/>
      <c r="C2837" s="61" t="s">
        <v>1980</v>
      </c>
      <c r="D2837" s="44"/>
      <c r="E2837" s="102" t="s">
        <v>1035</v>
      </c>
      <c r="F2837" s="22"/>
      <c r="G2837" s="19"/>
      <c r="H2837" s="21" t="str">
        <f>IF(E$2955="comprobar",COUNTIF(D2836:D2840,"x"),"")</f>
        <v/>
      </c>
    </row>
    <row r="2838" spans="2:8" x14ac:dyDescent="0.2">
      <c r="B2838" s="48"/>
      <c r="C2838" s="61" t="s">
        <v>1981</v>
      </c>
      <c r="D2838" s="44"/>
      <c r="E2838" s="102" t="s">
        <v>1036</v>
      </c>
      <c r="F2838" s="23"/>
      <c r="G2838" s="19"/>
      <c r="H2838" s="24">
        <f>IF(H2837=1,IF(H2836=H$2,1,-0.33),0)</f>
        <v>0</v>
      </c>
    </row>
    <row r="2839" spans="2:8" x14ac:dyDescent="0.2">
      <c r="B2839" s="48"/>
      <c r="C2839" s="61" t="s">
        <v>605</v>
      </c>
      <c r="D2839" s="44"/>
      <c r="E2839" s="102" t="s">
        <v>1037</v>
      </c>
      <c r="F2839" s="20"/>
      <c r="G2839" s="19"/>
      <c r="H2839" s="24"/>
    </row>
    <row r="2840" spans="2:8" x14ac:dyDescent="0.2">
      <c r="B2840" s="48"/>
      <c r="C2840" s="8"/>
      <c r="D2840" s="44"/>
      <c r="E2840" s="102" t="s">
        <v>1038</v>
      </c>
      <c r="F2840" s="20"/>
      <c r="G2840" s="19"/>
      <c r="H2840" s="24"/>
    </row>
    <row r="2841" spans="2:8" x14ac:dyDescent="0.2">
      <c r="B2841" s="49" t="s">
        <v>1804</v>
      </c>
      <c r="C2841" s="13" t="s">
        <v>1982</v>
      </c>
      <c r="D2841" s="45"/>
      <c r="E2841" s="14"/>
      <c r="F2841" s="16"/>
      <c r="G2841" s="15"/>
      <c r="H2841" s="15"/>
    </row>
    <row r="2842" spans="2:8" x14ac:dyDescent="0.2">
      <c r="B2842" s="48"/>
      <c r="C2842" s="60" t="s">
        <v>1983</v>
      </c>
      <c r="D2842" s="44"/>
      <c r="E2842" s="102" t="s">
        <v>1034</v>
      </c>
      <c r="F2842" s="20"/>
      <c r="G2842" s="19"/>
      <c r="H2842" s="21" t="b">
        <f>IF(D2844="x",H$2,H$1)</f>
        <v>0</v>
      </c>
    </row>
    <row r="2843" spans="2:8" ht="32" x14ac:dyDescent="0.2">
      <c r="B2843" s="48"/>
      <c r="C2843" s="61" t="s">
        <v>1984</v>
      </c>
      <c r="D2843" s="44"/>
      <c r="E2843" s="102" t="s">
        <v>1035</v>
      </c>
      <c r="F2843" s="22"/>
      <c r="G2843" s="19"/>
      <c r="H2843" s="21" t="str">
        <f>IF(E$2955="comprobar",COUNTIF(D2842:D2846,"x"),"")</f>
        <v/>
      </c>
    </row>
    <row r="2844" spans="2:8" ht="32" x14ac:dyDescent="0.2">
      <c r="B2844" s="48"/>
      <c r="C2844" s="61" t="s">
        <v>1985</v>
      </c>
      <c r="D2844" s="44"/>
      <c r="E2844" s="102" t="s">
        <v>1036</v>
      </c>
      <c r="F2844" s="23"/>
      <c r="G2844" s="19"/>
      <c r="H2844" s="24">
        <f t="shared" ref="H2844" si="842">IF(H2843=1,IF(H2842=H$2,1,-0.33),0)</f>
        <v>0</v>
      </c>
    </row>
    <row r="2845" spans="2:8" x14ac:dyDescent="0.2">
      <c r="B2845" s="48"/>
      <c r="C2845" s="61" t="s">
        <v>1986</v>
      </c>
      <c r="D2845" s="44"/>
      <c r="E2845" s="102" t="s">
        <v>1037</v>
      </c>
      <c r="F2845" s="20"/>
      <c r="G2845" s="19"/>
      <c r="H2845" s="24"/>
    </row>
    <row r="2846" spans="2:8" x14ac:dyDescent="0.2">
      <c r="B2846" s="48"/>
      <c r="C2846" s="8"/>
      <c r="D2846" s="44"/>
      <c r="E2846" s="102" t="s">
        <v>1038</v>
      </c>
      <c r="F2846" s="20"/>
      <c r="G2846" s="19"/>
      <c r="H2846" s="24"/>
    </row>
    <row r="2847" spans="2:8" x14ac:dyDescent="0.2">
      <c r="B2847" s="49" t="s">
        <v>1809</v>
      </c>
      <c r="C2847" s="13" t="s">
        <v>50</v>
      </c>
      <c r="D2847" s="45"/>
      <c r="E2847" s="14"/>
      <c r="F2847" s="16"/>
      <c r="G2847" s="15"/>
      <c r="H2847" s="15"/>
    </row>
    <row r="2848" spans="2:8" x14ac:dyDescent="0.2">
      <c r="B2848" s="48"/>
      <c r="C2848" s="56" t="s">
        <v>1987</v>
      </c>
      <c r="D2848" s="44"/>
      <c r="E2848" s="102" t="s">
        <v>1034</v>
      </c>
      <c r="F2848" s="20"/>
      <c r="G2848" s="19"/>
      <c r="H2848" s="21" t="b">
        <f>IF(D2849="x",H$2,H$1)</f>
        <v>0</v>
      </c>
    </row>
    <row r="2849" spans="2:8" x14ac:dyDescent="0.2">
      <c r="B2849" s="48"/>
      <c r="C2849" s="57" t="s">
        <v>1988</v>
      </c>
      <c r="D2849" s="44"/>
      <c r="E2849" s="102" t="s">
        <v>1035</v>
      </c>
      <c r="F2849" s="22"/>
      <c r="G2849" s="19"/>
      <c r="H2849" s="21" t="str">
        <f>IF(E$2955="comprobar",COUNTIF(D2848:D2852,"x"),"")</f>
        <v/>
      </c>
    </row>
    <row r="2850" spans="2:8" x14ac:dyDescent="0.2">
      <c r="B2850" s="48"/>
      <c r="C2850" s="57" t="s">
        <v>1989</v>
      </c>
      <c r="D2850" s="44"/>
      <c r="E2850" s="102" t="s">
        <v>1036</v>
      </c>
      <c r="F2850" s="23"/>
      <c r="G2850" s="19"/>
      <c r="H2850" s="24">
        <f t="shared" ref="H2850" si="843">IF(H2849=1,IF(H2848=H$2,1,-0.33),0)</f>
        <v>0</v>
      </c>
    </row>
    <row r="2851" spans="2:8" x14ac:dyDescent="0.2">
      <c r="B2851" s="48"/>
      <c r="C2851" s="57" t="s">
        <v>622</v>
      </c>
      <c r="D2851" s="44"/>
      <c r="E2851" s="102" t="s">
        <v>1037</v>
      </c>
      <c r="F2851" s="20"/>
      <c r="G2851" s="19"/>
      <c r="H2851" s="24"/>
    </row>
    <row r="2852" spans="2:8" x14ac:dyDescent="0.2">
      <c r="B2852" s="48"/>
      <c r="C2852" s="8"/>
      <c r="D2852" s="44"/>
      <c r="E2852" s="102" t="s">
        <v>1038</v>
      </c>
      <c r="F2852" s="20"/>
      <c r="G2852" s="19"/>
      <c r="H2852" s="24"/>
    </row>
    <row r="2853" spans="2:8" x14ac:dyDescent="0.2">
      <c r="B2853" s="49" t="s">
        <v>1814</v>
      </c>
      <c r="C2853" s="13" t="s">
        <v>1990</v>
      </c>
      <c r="D2853" s="45"/>
      <c r="E2853" s="14"/>
      <c r="F2853" s="16"/>
      <c r="G2853" s="15"/>
      <c r="H2853" s="15"/>
    </row>
    <row r="2854" spans="2:8" x14ac:dyDescent="0.2">
      <c r="B2854" s="48"/>
      <c r="C2854" s="56" t="s">
        <v>1991</v>
      </c>
      <c r="D2854" s="44"/>
      <c r="E2854" s="102" t="s">
        <v>1034</v>
      </c>
      <c r="F2854" s="20"/>
      <c r="G2854" s="19"/>
      <c r="H2854" s="21" t="b">
        <f>IF(D2857="x",H$2,H$1)</f>
        <v>0</v>
      </c>
    </row>
    <row r="2855" spans="2:8" x14ac:dyDescent="0.2">
      <c r="B2855" s="48"/>
      <c r="C2855" s="57" t="s">
        <v>1992</v>
      </c>
      <c r="D2855" s="44"/>
      <c r="E2855" s="102" t="s">
        <v>1035</v>
      </c>
      <c r="F2855" s="22"/>
      <c r="G2855" s="19"/>
      <c r="H2855" s="21" t="str">
        <f>IF(E$2955="comprobar",COUNTIF(D2854:D2858,"x"),"")</f>
        <v/>
      </c>
    </row>
    <row r="2856" spans="2:8" x14ac:dyDescent="0.2">
      <c r="B2856" s="48"/>
      <c r="C2856" s="57" t="s">
        <v>1993</v>
      </c>
      <c r="D2856" s="44"/>
      <c r="E2856" s="102" t="s">
        <v>1036</v>
      </c>
      <c r="F2856" s="23"/>
      <c r="G2856" s="19"/>
      <c r="H2856" s="24">
        <f t="shared" ref="H2856" si="844">IF(H2855=1,IF(H2854=H$2,1,-0.33),0)</f>
        <v>0</v>
      </c>
    </row>
    <row r="2857" spans="2:8" x14ac:dyDescent="0.2">
      <c r="B2857" s="48"/>
      <c r="C2857" s="57" t="s">
        <v>1994</v>
      </c>
      <c r="D2857" s="44"/>
      <c r="E2857" s="102" t="s">
        <v>1037</v>
      </c>
      <c r="F2857" s="20"/>
      <c r="G2857" s="19"/>
      <c r="H2857" s="24"/>
    </row>
    <row r="2858" spans="2:8" x14ac:dyDescent="0.2">
      <c r="B2858" s="48"/>
      <c r="C2858" s="8"/>
      <c r="D2858" s="44"/>
      <c r="E2858" s="102" t="s">
        <v>1038</v>
      </c>
      <c r="F2858" s="20"/>
      <c r="G2858" s="19"/>
      <c r="H2858" s="24"/>
    </row>
    <row r="2859" spans="2:8" x14ac:dyDescent="0.2">
      <c r="B2859" s="49" t="s">
        <v>1820</v>
      </c>
      <c r="C2859" s="13" t="s">
        <v>1995</v>
      </c>
      <c r="D2859" s="45"/>
      <c r="E2859" s="14"/>
      <c r="F2859" s="16"/>
      <c r="G2859" s="15"/>
      <c r="H2859" s="15"/>
    </row>
    <row r="2860" spans="2:8" x14ac:dyDescent="0.2">
      <c r="B2860" s="48"/>
      <c r="C2860" s="56" t="s">
        <v>1996</v>
      </c>
      <c r="D2860" s="44"/>
      <c r="E2860" s="102" t="s">
        <v>1034</v>
      </c>
      <c r="F2860" s="20"/>
      <c r="G2860" s="19"/>
      <c r="H2860" s="21" t="b">
        <f>IF(D2861="x",H$2,H$1)</f>
        <v>0</v>
      </c>
    </row>
    <row r="2861" spans="2:8" x14ac:dyDescent="0.2">
      <c r="B2861" s="48"/>
      <c r="C2861" s="57" t="s">
        <v>1997</v>
      </c>
      <c r="D2861" s="44"/>
      <c r="E2861" s="102" t="s">
        <v>1035</v>
      </c>
      <c r="F2861" s="22"/>
      <c r="G2861" s="19"/>
      <c r="H2861" s="21" t="str">
        <f>IF(E$2955="comprobar",COUNTIF(D2860:D2864,"x"),"")</f>
        <v/>
      </c>
    </row>
    <row r="2862" spans="2:8" x14ac:dyDescent="0.2">
      <c r="B2862" s="48"/>
      <c r="C2862" s="57" t="s">
        <v>1998</v>
      </c>
      <c r="D2862" s="44"/>
      <c r="E2862" s="102" t="s">
        <v>1036</v>
      </c>
      <c r="F2862" s="23"/>
      <c r="G2862" s="19"/>
      <c r="H2862" s="24">
        <f t="shared" ref="H2862" si="845">IF(H2861=1,IF(H2860=H$2,1,-0.33),0)</f>
        <v>0</v>
      </c>
    </row>
    <row r="2863" spans="2:8" x14ac:dyDescent="0.2">
      <c r="B2863" s="48"/>
      <c r="C2863" s="57" t="s">
        <v>595</v>
      </c>
      <c r="D2863" s="44"/>
      <c r="E2863" s="102" t="s">
        <v>1037</v>
      </c>
      <c r="F2863" s="20"/>
      <c r="G2863" s="19"/>
      <c r="H2863" s="24"/>
    </row>
    <row r="2864" spans="2:8" x14ac:dyDescent="0.2">
      <c r="B2864" s="48"/>
      <c r="C2864" s="8"/>
      <c r="D2864" s="44"/>
      <c r="E2864" s="102" t="s">
        <v>1038</v>
      </c>
      <c r="F2864" s="20"/>
      <c r="G2864" s="19"/>
      <c r="H2864" s="24"/>
    </row>
    <row r="2865" spans="2:8" x14ac:dyDescent="0.2">
      <c r="B2865" s="49" t="s">
        <v>1826</v>
      </c>
      <c r="C2865" s="13" t="s">
        <v>1999</v>
      </c>
      <c r="D2865" s="45"/>
      <c r="E2865" s="14"/>
      <c r="F2865" s="16"/>
      <c r="G2865" s="15"/>
      <c r="H2865" s="15"/>
    </row>
    <row r="2866" spans="2:8" x14ac:dyDescent="0.2">
      <c r="B2866" s="48"/>
      <c r="C2866" s="60" t="s">
        <v>1983</v>
      </c>
      <c r="D2866" s="44"/>
      <c r="E2866" s="102" t="s">
        <v>1034</v>
      </c>
      <c r="F2866" s="20"/>
      <c r="G2866" s="19"/>
      <c r="H2866" s="21" t="b">
        <f>IF(D2866="x",H$2,H$1)</f>
        <v>0</v>
      </c>
    </row>
    <row r="2867" spans="2:8" ht="32" x14ac:dyDescent="0.2">
      <c r="B2867" s="48"/>
      <c r="C2867" s="61" t="s">
        <v>1984</v>
      </c>
      <c r="D2867" s="44"/>
      <c r="E2867" s="102" t="s">
        <v>1035</v>
      </c>
      <c r="F2867" s="22"/>
      <c r="G2867" s="19"/>
      <c r="H2867" s="21" t="str">
        <f>IF(E$2955="comprobar",COUNTIF(D2866:D2870,"x"),"")</f>
        <v/>
      </c>
    </row>
    <row r="2868" spans="2:8" ht="32" x14ac:dyDescent="0.2">
      <c r="B2868" s="48"/>
      <c r="C2868" s="61" t="s">
        <v>1985</v>
      </c>
      <c r="D2868" s="44"/>
      <c r="E2868" s="102" t="s">
        <v>1036</v>
      </c>
      <c r="F2868" s="23"/>
      <c r="G2868" s="19"/>
      <c r="H2868" s="24">
        <f t="shared" ref="H2868" si="846">IF(H2867=1,IF(H2866=H$2,1,-0.33),0)</f>
        <v>0</v>
      </c>
    </row>
    <row r="2869" spans="2:8" x14ac:dyDescent="0.2">
      <c r="B2869" s="48"/>
      <c r="C2869" s="57" t="s">
        <v>1986</v>
      </c>
      <c r="D2869" s="44"/>
      <c r="E2869" s="102" t="s">
        <v>1037</v>
      </c>
      <c r="F2869" s="20"/>
      <c r="G2869" s="19"/>
      <c r="H2869" s="24"/>
    </row>
    <row r="2870" spans="2:8" x14ac:dyDescent="0.2">
      <c r="B2870" s="48"/>
      <c r="C2870" s="8"/>
      <c r="D2870" s="44"/>
      <c r="E2870" s="102" t="s">
        <v>1038</v>
      </c>
      <c r="F2870" s="20"/>
      <c r="G2870" s="19"/>
      <c r="H2870" s="24"/>
    </row>
    <row r="2871" spans="2:8" x14ac:dyDescent="0.2">
      <c r="B2871" s="49" t="s">
        <v>1831</v>
      </c>
      <c r="C2871" s="13" t="s">
        <v>2000</v>
      </c>
      <c r="D2871" s="45"/>
      <c r="E2871" s="14"/>
      <c r="F2871" s="16"/>
      <c r="G2871" s="15"/>
      <c r="H2871" s="15"/>
    </row>
    <row r="2872" spans="2:8" x14ac:dyDescent="0.2">
      <c r="B2872" s="48"/>
      <c r="C2872" s="60" t="s">
        <v>1983</v>
      </c>
      <c r="D2872" s="44"/>
      <c r="E2872" s="102" t="s">
        <v>1034</v>
      </c>
      <c r="F2872" s="20"/>
      <c r="G2872" s="19"/>
      <c r="H2872" s="21" t="b">
        <f>IF(D2875="x",H$2,H$1)</f>
        <v>0</v>
      </c>
    </row>
    <row r="2873" spans="2:8" ht="32" x14ac:dyDescent="0.2">
      <c r="B2873" s="48"/>
      <c r="C2873" s="61" t="s">
        <v>1984</v>
      </c>
      <c r="D2873" s="44"/>
      <c r="E2873" s="102" t="s">
        <v>1035</v>
      </c>
      <c r="F2873" s="22"/>
      <c r="G2873" s="19"/>
      <c r="H2873" s="21" t="str">
        <f>IF(E$2955="comprobar",COUNTIF(D2872:D2876,"x"),"")</f>
        <v/>
      </c>
    </row>
    <row r="2874" spans="2:8" ht="32" x14ac:dyDescent="0.2">
      <c r="B2874" s="48"/>
      <c r="C2874" s="61" t="s">
        <v>1985</v>
      </c>
      <c r="D2874" s="44"/>
      <c r="E2874" s="102" t="s">
        <v>1036</v>
      </c>
      <c r="F2874" s="23"/>
      <c r="G2874" s="19"/>
      <c r="H2874" s="24">
        <f t="shared" ref="H2874" si="847">IF(H2873=1,IF(H2872=H$2,1,-0.33),0)</f>
        <v>0</v>
      </c>
    </row>
    <row r="2875" spans="2:8" x14ac:dyDescent="0.2">
      <c r="B2875" s="48"/>
      <c r="C2875" s="61" t="s">
        <v>1986</v>
      </c>
      <c r="D2875" s="44"/>
      <c r="E2875" s="102" t="s">
        <v>1037</v>
      </c>
      <c r="F2875" s="20"/>
      <c r="G2875" s="19"/>
      <c r="H2875" s="24"/>
    </row>
    <row r="2876" spans="2:8" x14ac:dyDescent="0.2">
      <c r="B2876" s="48"/>
      <c r="C2876" s="8"/>
      <c r="D2876" s="44"/>
      <c r="E2876" s="102" t="s">
        <v>1038</v>
      </c>
      <c r="F2876" s="20"/>
      <c r="G2876" s="19"/>
      <c r="H2876" s="24"/>
    </row>
    <row r="2877" spans="2:8" x14ac:dyDescent="0.2">
      <c r="B2877" s="49" t="s">
        <v>1836</v>
      </c>
      <c r="C2877" s="13" t="s">
        <v>2001</v>
      </c>
      <c r="D2877" s="45"/>
      <c r="E2877" s="14"/>
      <c r="F2877" s="16"/>
      <c r="G2877" s="15"/>
      <c r="H2877" s="15"/>
    </row>
    <row r="2878" spans="2:8" x14ac:dyDescent="0.2">
      <c r="B2878" s="48"/>
      <c r="C2878" s="56" t="s">
        <v>2002</v>
      </c>
      <c r="D2878" s="44"/>
      <c r="E2878" s="102" t="s">
        <v>1034</v>
      </c>
      <c r="F2878" s="20"/>
      <c r="G2878" s="19"/>
      <c r="H2878" s="21" t="b">
        <f>IF(D2881="x",H$2,H$1)</f>
        <v>0</v>
      </c>
    </row>
    <row r="2879" spans="2:8" x14ac:dyDescent="0.2">
      <c r="B2879" s="48"/>
      <c r="C2879" s="57" t="s">
        <v>2003</v>
      </c>
      <c r="D2879" s="44"/>
      <c r="E2879" s="102" t="s">
        <v>1035</v>
      </c>
      <c r="F2879" s="22"/>
      <c r="G2879" s="19"/>
      <c r="H2879" s="21" t="str">
        <f>IF(E$2955="comprobar",COUNTIF(D2878:D2882,"x"),"")</f>
        <v/>
      </c>
    </row>
    <row r="2880" spans="2:8" x14ac:dyDescent="0.2">
      <c r="B2880" s="48"/>
      <c r="C2880" s="57" t="s">
        <v>2004</v>
      </c>
      <c r="D2880" s="44"/>
      <c r="E2880" s="102" t="s">
        <v>1036</v>
      </c>
      <c r="F2880" s="23"/>
      <c r="G2880" s="19"/>
      <c r="H2880" s="24">
        <f t="shared" ref="H2880" si="848">IF(H2879=1,IF(H2878=H$2,1,-0.33),0)</f>
        <v>0</v>
      </c>
    </row>
    <row r="2881" spans="2:8" x14ac:dyDescent="0.2">
      <c r="B2881" s="48"/>
      <c r="C2881" s="57" t="s">
        <v>595</v>
      </c>
      <c r="D2881" s="44"/>
      <c r="E2881" s="102" t="s">
        <v>1037</v>
      </c>
      <c r="F2881" s="20"/>
      <c r="G2881" s="19"/>
      <c r="H2881" s="24"/>
    </row>
    <row r="2882" spans="2:8" x14ac:dyDescent="0.2">
      <c r="B2882" s="48"/>
      <c r="C2882" s="8"/>
      <c r="D2882" s="44"/>
      <c r="E2882" s="102" t="s">
        <v>1038</v>
      </c>
      <c r="F2882" s="20"/>
      <c r="G2882" s="19"/>
      <c r="H2882" s="24"/>
    </row>
    <row r="2883" spans="2:8" x14ac:dyDescent="0.2">
      <c r="B2883" s="49" t="s">
        <v>1842</v>
      </c>
      <c r="C2883" s="13" t="s">
        <v>2005</v>
      </c>
      <c r="D2883" s="45"/>
      <c r="E2883" s="14"/>
      <c r="F2883" s="16"/>
      <c r="G2883" s="15"/>
      <c r="H2883" s="15"/>
    </row>
    <row r="2884" spans="2:8" x14ac:dyDescent="0.2">
      <c r="B2884" s="48"/>
      <c r="C2884" s="56" t="s">
        <v>2006</v>
      </c>
      <c r="D2884" s="44"/>
      <c r="E2884" s="102" t="s">
        <v>1034</v>
      </c>
      <c r="F2884" s="20"/>
      <c r="G2884" s="19"/>
      <c r="H2884" s="21" t="b">
        <f>IF(D2887="x",H$2,H$1)</f>
        <v>0</v>
      </c>
    </row>
    <row r="2885" spans="2:8" x14ac:dyDescent="0.2">
      <c r="B2885" s="48"/>
      <c r="C2885" s="57" t="s">
        <v>2007</v>
      </c>
      <c r="D2885" s="44"/>
      <c r="E2885" s="102" t="s">
        <v>1035</v>
      </c>
      <c r="F2885" s="22"/>
      <c r="G2885" s="19"/>
      <c r="H2885" s="21" t="str">
        <f>IF(E$2955="comprobar",COUNTIF(D2884:D2888,"x"),"")</f>
        <v/>
      </c>
    </row>
    <row r="2886" spans="2:8" x14ac:dyDescent="0.2">
      <c r="B2886" s="48"/>
      <c r="C2886" s="57" t="s">
        <v>2008</v>
      </c>
      <c r="D2886" s="44"/>
      <c r="E2886" s="102" t="s">
        <v>1036</v>
      </c>
      <c r="F2886" s="23"/>
      <c r="G2886" s="19"/>
      <c r="H2886" s="24">
        <f t="shared" ref="H2886" si="849">IF(H2885=1,IF(H2884=H$2,1,-0.33),0)</f>
        <v>0</v>
      </c>
    </row>
    <row r="2887" spans="2:8" x14ac:dyDescent="0.2">
      <c r="B2887" s="48"/>
      <c r="C2887" s="57" t="s">
        <v>2009</v>
      </c>
      <c r="D2887" s="44"/>
      <c r="E2887" s="102" t="s">
        <v>1037</v>
      </c>
      <c r="F2887" s="20"/>
      <c r="G2887" s="19"/>
      <c r="H2887" s="24"/>
    </row>
    <row r="2888" spans="2:8" x14ac:dyDescent="0.2">
      <c r="B2888" s="48"/>
      <c r="C2888" s="8"/>
      <c r="D2888" s="44"/>
      <c r="E2888" s="102" t="s">
        <v>1038</v>
      </c>
      <c r="F2888" s="12"/>
      <c r="G2888" s="19"/>
      <c r="H2888" s="24"/>
    </row>
    <row r="2889" spans="2:8" x14ac:dyDescent="0.2">
      <c r="B2889" s="49" t="s">
        <v>1844</v>
      </c>
      <c r="C2889" s="13" t="s">
        <v>50</v>
      </c>
      <c r="D2889" s="45"/>
      <c r="E2889" s="14"/>
      <c r="F2889" s="30"/>
      <c r="G2889" s="29"/>
      <c r="H2889" s="15"/>
    </row>
    <row r="2890" spans="2:8" x14ac:dyDescent="0.2">
      <c r="B2890" s="48"/>
      <c r="C2890" s="56" t="s">
        <v>2010</v>
      </c>
      <c r="D2890" s="44"/>
      <c r="E2890" s="102" t="s">
        <v>1034</v>
      </c>
      <c r="F2890" s="27"/>
      <c r="G2890" s="26"/>
      <c r="H2890" s="21" t="b">
        <f>IF(D2893="x",H$2,H$1)</f>
        <v>0</v>
      </c>
    </row>
    <row r="2891" spans="2:8" x14ac:dyDescent="0.2">
      <c r="B2891" s="48"/>
      <c r="C2891" s="57" t="s">
        <v>2011</v>
      </c>
      <c r="D2891" s="44"/>
      <c r="E2891" s="102" t="s">
        <v>1035</v>
      </c>
      <c r="F2891" s="22"/>
      <c r="G2891" s="26"/>
      <c r="H2891" s="21" t="str">
        <f>IF(E$2955="comprobar",COUNTIF(D2890:D2894,"x"),"")</f>
        <v/>
      </c>
    </row>
    <row r="2892" spans="2:8" x14ac:dyDescent="0.2">
      <c r="B2892" s="48"/>
      <c r="C2892" s="57" t="s">
        <v>2012</v>
      </c>
      <c r="D2892" s="44"/>
      <c r="E2892" s="102" t="s">
        <v>1036</v>
      </c>
      <c r="F2892" s="23"/>
      <c r="G2892" s="26"/>
      <c r="H2892" s="24">
        <f t="shared" ref="H2892" si="850">IF(H2891=1,IF(H2890=H$2,1,-0.33),0)</f>
        <v>0</v>
      </c>
    </row>
    <row r="2893" spans="2:8" x14ac:dyDescent="0.2">
      <c r="B2893" s="48"/>
      <c r="C2893" s="57" t="s">
        <v>622</v>
      </c>
      <c r="D2893" s="44"/>
      <c r="E2893" s="102" t="s">
        <v>1037</v>
      </c>
      <c r="F2893" s="28"/>
      <c r="G2893" s="26"/>
      <c r="H2893" s="24"/>
    </row>
    <row r="2894" spans="2:8" x14ac:dyDescent="0.2">
      <c r="B2894" s="48"/>
      <c r="C2894" s="8"/>
      <c r="D2894" s="44"/>
      <c r="E2894" s="102" t="s">
        <v>1038</v>
      </c>
      <c r="F2894" s="28"/>
      <c r="G2894" s="26"/>
      <c r="H2894" s="24"/>
    </row>
    <row r="2895" spans="2:8" x14ac:dyDescent="0.2">
      <c r="B2895" s="49" t="s">
        <v>1850</v>
      </c>
      <c r="C2895" s="13" t="s">
        <v>2013</v>
      </c>
      <c r="D2895" s="45"/>
      <c r="E2895" s="14"/>
      <c r="F2895" s="30"/>
      <c r="G2895" s="29"/>
      <c r="H2895" s="15"/>
    </row>
    <row r="2896" spans="2:8" ht="32" x14ac:dyDescent="0.2">
      <c r="B2896" s="48"/>
      <c r="C2896" s="60" t="s">
        <v>2014</v>
      </c>
      <c r="D2896" s="44"/>
      <c r="E2896" s="102" t="s">
        <v>1034</v>
      </c>
      <c r="F2896" s="27"/>
      <c r="G2896" s="26"/>
      <c r="H2896" s="21" t="b">
        <f>IF(D2899="x",H$2,H$1)</f>
        <v>0</v>
      </c>
    </row>
    <row r="2897" spans="2:8" x14ac:dyDescent="0.2">
      <c r="B2897" s="48"/>
      <c r="C2897" s="61" t="s">
        <v>2015</v>
      </c>
      <c r="D2897" s="44"/>
      <c r="E2897" s="102" t="s">
        <v>1035</v>
      </c>
      <c r="F2897" s="22"/>
      <c r="G2897" s="26"/>
      <c r="H2897" s="21" t="str">
        <f>IF(E$2955="comprobar",COUNTIF(D2896:D2900,"x"),"")</f>
        <v/>
      </c>
    </row>
    <row r="2898" spans="2:8" x14ac:dyDescent="0.2">
      <c r="B2898" s="48"/>
      <c r="C2898" s="61" t="s">
        <v>2016</v>
      </c>
      <c r="D2898" s="44"/>
      <c r="E2898" s="102" t="s">
        <v>1036</v>
      </c>
      <c r="F2898" s="23"/>
      <c r="G2898" s="26"/>
      <c r="H2898" s="24">
        <f t="shared" ref="H2898" si="851">IF(H2897=1,IF(H2896=H$2,1,-0.33),0)</f>
        <v>0</v>
      </c>
    </row>
    <row r="2899" spans="2:8" x14ac:dyDescent="0.2">
      <c r="B2899" s="48"/>
      <c r="C2899" s="61" t="s">
        <v>595</v>
      </c>
      <c r="D2899" s="44"/>
      <c r="E2899" s="102" t="s">
        <v>1037</v>
      </c>
      <c r="F2899" s="20"/>
      <c r="G2899" s="55"/>
      <c r="H2899" s="24"/>
    </row>
    <row r="2900" spans="2:8" x14ac:dyDescent="0.2">
      <c r="B2900" s="48"/>
      <c r="C2900" s="8"/>
      <c r="D2900" s="44"/>
      <c r="E2900" s="102" t="s">
        <v>1038</v>
      </c>
      <c r="F2900" s="28"/>
      <c r="G2900" s="26"/>
      <c r="H2900" s="24"/>
    </row>
    <row r="2901" spans="2:8" x14ac:dyDescent="0.2">
      <c r="B2901" s="49" t="s">
        <v>1855</v>
      </c>
      <c r="C2901" s="13" t="s">
        <v>2017</v>
      </c>
      <c r="D2901" s="45"/>
      <c r="E2901" s="14"/>
      <c r="F2901" s="30"/>
      <c r="G2901" s="29"/>
      <c r="H2901" s="15"/>
    </row>
    <row r="2902" spans="2:8" x14ac:dyDescent="0.2">
      <c r="B2902" s="48"/>
      <c r="C2902" s="56" t="s">
        <v>2018</v>
      </c>
      <c r="D2902" s="44"/>
      <c r="E2902" s="102" t="s">
        <v>1034</v>
      </c>
      <c r="F2902" s="27"/>
      <c r="G2902" s="26"/>
      <c r="H2902" s="21" t="b">
        <f>IF(D2905="x",H$2,H$1)</f>
        <v>0</v>
      </c>
    </row>
    <row r="2903" spans="2:8" x14ac:dyDescent="0.2">
      <c r="B2903" s="48"/>
      <c r="C2903" s="57" t="s">
        <v>2019</v>
      </c>
      <c r="D2903" s="44"/>
      <c r="E2903" s="102" t="s">
        <v>1035</v>
      </c>
      <c r="F2903" s="22"/>
      <c r="G2903" s="26"/>
      <c r="H2903" s="21" t="str">
        <f>IF(E$2955="comprobar",COUNTIF(D2902:D2906,"x"),"")</f>
        <v/>
      </c>
    </row>
    <row r="2904" spans="2:8" x14ac:dyDescent="0.2">
      <c r="B2904" s="48"/>
      <c r="C2904" s="57" t="s">
        <v>2020</v>
      </c>
      <c r="D2904" s="44"/>
      <c r="E2904" s="102" t="s">
        <v>1036</v>
      </c>
      <c r="F2904" s="23"/>
      <c r="G2904" s="26"/>
      <c r="H2904" s="24">
        <f t="shared" ref="H2904" si="852">IF(H2903=1,IF(H2902=H$2,1,-0.33),0)</f>
        <v>0</v>
      </c>
    </row>
    <row r="2905" spans="2:8" x14ac:dyDescent="0.2">
      <c r="B2905" s="48"/>
      <c r="C2905" s="57" t="s">
        <v>605</v>
      </c>
      <c r="D2905" s="44"/>
      <c r="E2905" s="102" t="s">
        <v>1037</v>
      </c>
      <c r="F2905" s="28"/>
      <c r="G2905" s="26"/>
      <c r="H2905" s="24"/>
    </row>
    <row r="2906" spans="2:8" x14ac:dyDescent="0.2">
      <c r="B2906" s="48"/>
      <c r="C2906" s="8"/>
      <c r="D2906" s="44"/>
      <c r="E2906" s="102" t="s">
        <v>1038</v>
      </c>
      <c r="F2906" s="28"/>
      <c r="G2906" s="26"/>
      <c r="H2906" s="24"/>
    </row>
    <row r="2907" spans="2:8" x14ac:dyDescent="0.2">
      <c r="B2907" s="49" t="s">
        <v>1860</v>
      </c>
      <c r="C2907" s="13" t="s">
        <v>2021</v>
      </c>
      <c r="D2907" s="45"/>
      <c r="E2907" s="14"/>
      <c r="F2907" s="16"/>
      <c r="G2907" s="15"/>
      <c r="H2907" s="15"/>
    </row>
    <row r="2908" spans="2:8" x14ac:dyDescent="0.2">
      <c r="B2908" s="48"/>
      <c r="C2908" s="60" t="s">
        <v>2022</v>
      </c>
      <c r="D2908" s="44"/>
      <c r="E2908" s="102" t="s">
        <v>1034</v>
      </c>
      <c r="F2908" s="20"/>
      <c r="G2908" s="19"/>
      <c r="H2908" s="21" t="b">
        <f>IF(D2908="x",H$2,H$1)</f>
        <v>0</v>
      </c>
    </row>
    <row r="2909" spans="2:8" x14ac:dyDescent="0.2">
      <c r="B2909" s="48"/>
      <c r="C2909" s="61" t="s">
        <v>2023</v>
      </c>
      <c r="D2909" s="44"/>
      <c r="E2909" s="102" t="s">
        <v>1035</v>
      </c>
      <c r="F2909" s="22"/>
      <c r="G2909" s="19"/>
      <c r="H2909" s="21" t="str">
        <f>IF(E$2955="comprobar",COUNTIF(D2908:D2912,"x"),"")</f>
        <v/>
      </c>
    </row>
    <row r="2910" spans="2:8" x14ac:dyDescent="0.2">
      <c r="B2910" s="48"/>
      <c r="C2910" s="61" t="s">
        <v>2024</v>
      </c>
      <c r="D2910" s="44"/>
      <c r="E2910" s="102" t="s">
        <v>1036</v>
      </c>
      <c r="F2910" s="23"/>
      <c r="G2910" s="19"/>
      <c r="H2910" s="24">
        <f t="shared" ref="H2910" si="853">IF(H2909=1,IF(H2908=H$2,1,-0.33),0)</f>
        <v>0</v>
      </c>
    </row>
    <row r="2911" spans="2:8" x14ac:dyDescent="0.2">
      <c r="B2911" s="48"/>
      <c r="C2911" s="61" t="s">
        <v>605</v>
      </c>
      <c r="D2911" s="44"/>
      <c r="E2911" s="102" t="s">
        <v>1037</v>
      </c>
      <c r="F2911" s="20"/>
      <c r="G2911" s="19"/>
      <c r="H2911" s="24"/>
    </row>
    <row r="2912" spans="2:8" x14ac:dyDescent="0.2">
      <c r="B2912" s="48"/>
      <c r="C2912" s="8"/>
      <c r="D2912" s="44"/>
      <c r="E2912" s="102" t="s">
        <v>1038</v>
      </c>
      <c r="F2912" s="20"/>
      <c r="G2912" s="19"/>
      <c r="H2912" s="24"/>
    </row>
    <row r="2913" spans="2:8" x14ac:dyDescent="0.2">
      <c r="B2913" s="49" t="s">
        <v>1866</v>
      </c>
      <c r="C2913" s="13" t="s">
        <v>2025</v>
      </c>
      <c r="D2913" s="45"/>
      <c r="E2913" s="14"/>
      <c r="F2913" s="30"/>
      <c r="G2913" s="29"/>
      <c r="H2913" s="15"/>
    </row>
    <row r="2914" spans="2:8" x14ac:dyDescent="0.2">
      <c r="B2914" s="48"/>
      <c r="C2914" s="56" t="s">
        <v>2026</v>
      </c>
      <c r="D2914" s="44"/>
      <c r="E2914" s="102" t="s">
        <v>1034</v>
      </c>
      <c r="F2914" s="27"/>
      <c r="G2914" s="26"/>
      <c r="H2914" s="21" t="b">
        <f>IF(D2917="x",H$2,H$1)</f>
        <v>0</v>
      </c>
    </row>
    <row r="2915" spans="2:8" x14ac:dyDescent="0.2">
      <c r="B2915" s="48"/>
      <c r="C2915" s="57" t="s">
        <v>2027</v>
      </c>
      <c r="D2915" s="44"/>
      <c r="E2915" s="102" t="s">
        <v>1035</v>
      </c>
      <c r="F2915" s="22"/>
      <c r="G2915" s="26"/>
      <c r="H2915" s="21" t="str">
        <f>IF(E$2955="comprobar",COUNTIF(D2914:D2918,"x"),"")</f>
        <v/>
      </c>
    </row>
    <row r="2916" spans="2:8" x14ac:dyDescent="0.2">
      <c r="B2916" s="48"/>
      <c r="C2916" s="57" t="s">
        <v>2028</v>
      </c>
      <c r="D2916" s="44"/>
      <c r="E2916" s="102" t="s">
        <v>1036</v>
      </c>
      <c r="F2916" s="23"/>
      <c r="G2916" s="26"/>
      <c r="H2916" s="24">
        <f t="shared" ref="H2916" si="854">IF(H2915=1,IF(H2914=H$2,1,-0.33),0)</f>
        <v>0</v>
      </c>
    </row>
    <row r="2917" spans="2:8" x14ac:dyDescent="0.2">
      <c r="B2917" s="48"/>
      <c r="C2917" s="57" t="s">
        <v>583</v>
      </c>
      <c r="D2917" s="44"/>
      <c r="E2917" s="102" t="s">
        <v>1037</v>
      </c>
      <c r="F2917" s="28"/>
      <c r="G2917" s="26"/>
      <c r="H2917" s="24"/>
    </row>
    <row r="2918" spans="2:8" x14ac:dyDescent="0.2">
      <c r="B2918" s="48"/>
      <c r="C2918" s="8"/>
      <c r="D2918" s="44"/>
      <c r="E2918" s="102" t="s">
        <v>1038</v>
      </c>
      <c r="F2918" s="28"/>
      <c r="G2918" s="26"/>
      <c r="H2918" s="24"/>
    </row>
    <row r="2919" spans="2:8" x14ac:dyDescent="0.2">
      <c r="B2919" s="49" t="s">
        <v>1872</v>
      </c>
      <c r="C2919" s="13" t="s">
        <v>2029</v>
      </c>
      <c r="D2919" s="95"/>
      <c r="E2919" s="14"/>
      <c r="F2919" s="71"/>
      <c r="G2919" s="29"/>
      <c r="H2919" s="15"/>
    </row>
    <row r="2920" spans="2:8" x14ac:dyDescent="0.2">
      <c r="B2920" s="48"/>
      <c r="C2920" s="56" t="s">
        <v>2030</v>
      </c>
      <c r="D2920" s="44"/>
      <c r="E2920" s="102" t="s">
        <v>1034</v>
      </c>
      <c r="F2920" s="28"/>
      <c r="G2920" s="55"/>
      <c r="H2920" s="21" t="b">
        <f>IF(D2922="x",H$2,H$1)</f>
        <v>0</v>
      </c>
    </row>
    <row r="2921" spans="2:8" x14ac:dyDescent="0.2">
      <c r="B2921" s="48"/>
      <c r="C2921" s="57" t="s">
        <v>2031</v>
      </c>
      <c r="D2921" s="44"/>
      <c r="E2921" s="102" t="s">
        <v>1035</v>
      </c>
      <c r="F2921" s="22"/>
      <c r="G2921" s="26"/>
      <c r="H2921" s="21" t="str">
        <f>IF(E$2955="comprobar",COUNTIF(D2920:D2924,"x"),"")</f>
        <v/>
      </c>
    </row>
    <row r="2922" spans="2:8" x14ac:dyDescent="0.2">
      <c r="B2922" s="48"/>
      <c r="C2922" s="57" t="s">
        <v>2032</v>
      </c>
      <c r="D2922" s="44"/>
      <c r="E2922" s="102" t="s">
        <v>1036</v>
      </c>
      <c r="F2922" s="23"/>
      <c r="G2922" s="26"/>
      <c r="H2922" s="24">
        <f t="shared" ref="H2922" si="855">IF(H2921=1,IF(H2920=H$2,1,-0.33),0)</f>
        <v>0</v>
      </c>
    </row>
    <row r="2923" spans="2:8" x14ac:dyDescent="0.2">
      <c r="B2923" s="48"/>
      <c r="C2923" s="57" t="s">
        <v>595</v>
      </c>
      <c r="D2923" s="44"/>
      <c r="E2923" s="102" t="s">
        <v>1037</v>
      </c>
      <c r="F2923" s="28"/>
      <c r="G2923" s="26"/>
      <c r="H2923" s="24"/>
    </row>
    <row r="2924" spans="2:8" x14ac:dyDescent="0.2">
      <c r="B2924" s="48"/>
      <c r="C2924" s="8"/>
      <c r="D2924" s="44"/>
      <c r="E2924" s="102" t="s">
        <v>1038</v>
      </c>
      <c r="F2924" s="28"/>
      <c r="G2924" s="26"/>
      <c r="H2924" s="24"/>
    </row>
    <row r="2925" spans="2:8" x14ac:dyDescent="0.2">
      <c r="B2925" s="49" t="s">
        <v>1877</v>
      </c>
      <c r="C2925" s="13" t="s">
        <v>2033</v>
      </c>
      <c r="D2925" s="45"/>
      <c r="E2925" s="14"/>
      <c r="F2925" s="30"/>
      <c r="G2925" s="29"/>
      <c r="H2925" s="15"/>
    </row>
    <row r="2926" spans="2:8" x14ac:dyDescent="0.2">
      <c r="B2926" s="48"/>
      <c r="C2926" s="60" t="s">
        <v>2034</v>
      </c>
      <c r="D2926" s="44"/>
      <c r="E2926" s="102" t="s">
        <v>1034</v>
      </c>
      <c r="F2926" s="27"/>
      <c r="G2926" s="26"/>
      <c r="H2926" s="21" t="b">
        <f>IF(D2926="x",H$2,H$1)</f>
        <v>0</v>
      </c>
    </row>
    <row r="2927" spans="2:8" ht="32" x14ac:dyDescent="0.2">
      <c r="B2927" s="48"/>
      <c r="C2927" s="61" t="s">
        <v>2035</v>
      </c>
      <c r="D2927" s="44"/>
      <c r="E2927" s="102" t="s">
        <v>1035</v>
      </c>
      <c r="F2927" s="22"/>
      <c r="G2927" s="26"/>
      <c r="H2927" s="21" t="str">
        <f>IF(E$2955="comprobar",COUNTIF(D2926:D2930,"x"),"")</f>
        <v/>
      </c>
    </row>
    <row r="2928" spans="2:8" x14ac:dyDescent="0.2">
      <c r="B2928" s="48"/>
      <c r="C2928" s="61" t="s">
        <v>2036</v>
      </c>
      <c r="D2928" s="44"/>
      <c r="E2928" s="102" t="s">
        <v>1036</v>
      </c>
      <c r="F2928" s="23"/>
      <c r="G2928" s="26"/>
      <c r="H2928" s="24">
        <f t="shared" ref="H2928" si="856">IF(H2927=1,IF(H2926=H$2,1,-0.33),0)</f>
        <v>0</v>
      </c>
    </row>
    <row r="2929" spans="2:8" x14ac:dyDescent="0.2">
      <c r="B2929" s="48"/>
      <c r="C2929" s="61" t="s">
        <v>2037</v>
      </c>
      <c r="D2929" s="44"/>
      <c r="E2929" s="102" t="s">
        <v>1037</v>
      </c>
      <c r="F2929" s="28"/>
      <c r="G2929" s="26"/>
      <c r="H2929" s="24"/>
    </row>
    <row r="2930" spans="2:8" x14ac:dyDescent="0.2">
      <c r="B2930" s="48"/>
      <c r="C2930" s="8"/>
      <c r="D2930" s="44"/>
      <c r="E2930" s="102" t="s">
        <v>1038</v>
      </c>
      <c r="F2930" s="28"/>
      <c r="G2930" s="26"/>
      <c r="H2930" s="24"/>
    </row>
    <row r="2931" spans="2:8" x14ac:dyDescent="0.2">
      <c r="B2931" s="49" t="s">
        <v>1882</v>
      </c>
      <c r="C2931" s="13" t="s">
        <v>2038</v>
      </c>
      <c r="D2931" s="45"/>
      <c r="E2931" s="14"/>
      <c r="F2931" s="30"/>
      <c r="G2931" s="29"/>
      <c r="H2931" s="15"/>
    </row>
    <row r="2932" spans="2:8" x14ac:dyDescent="0.2">
      <c r="B2932" s="48"/>
      <c r="C2932" s="56" t="s">
        <v>2039</v>
      </c>
      <c r="D2932" s="44"/>
      <c r="E2932" s="102" t="s">
        <v>1034</v>
      </c>
      <c r="F2932" s="28"/>
      <c r="G2932" s="55"/>
      <c r="H2932" s="21" t="b">
        <f>IF(D2935="x",H$2,H$1)</f>
        <v>0</v>
      </c>
    </row>
    <row r="2933" spans="2:8" x14ac:dyDescent="0.2">
      <c r="B2933" s="48"/>
      <c r="C2933" s="57" t="s">
        <v>2040</v>
      </c>
      <c r="D2933" s="44"/>
      <c r="E2933" s="102" t="s">
        <v>1035</v>
      </c>
      <c r="F2933" s="22"/>
      <c r="G2933" s="26"/>
      <c r="H2933" s="21" t="str">
        <f>IF(E$2955="comprobar",COUNTIF(D2932:D2936,"x"),"")</f>
        <v/>
      </c>
    </row>
    <row r="2934" spans="2:8" x14ac:dyDescent="0.2">
      <c r="B2934" s="48"/>
      <c r="C2934" s="57" t="s">
        <v>2041</v>
      </c>
      <c r="D2934" s="44"/>
      <c r="E2934" s="102" t="s">
        <v>1036</v>
      </c>
      <c r="F2934" s="23"/>
      <c r="G2934" s="26"/>
      <c r="H2934" s="24">
        <f t="shared" ref="H2934" si="857">IF(H2933=1,IF(H2932=H$2,1,-0.33),0)</f>
        <v>0</v>
      </c>
    </row>
    <row r="2935" spans="2:8" x14ac:dyDescent="0.2">
      <c r="B2935" s="48"/>
      <c r="C2935" s="57" t="s">
        <v>1919</v>
      </c>
      <c r="D2935" s="44"/>
      <c r="E2935" s="102" t="s">
        <v>1037</v>
      </c>
      <c r="F2935" s="28"/>
      <c r="G2935" s="26"/>
      <c r="H2935" s="24"/>
    </row>
    <row r="2936" spans="2:8" x14ac:dyDescent="0.2">
      <c r="B2936" s="48"/>
      <c r="C2936" s="8"/>
      <c r="D2936" s="44"/>
      <c r="E2936" s="102" t="s">
        <v>1038</v>
      </c>
      <c r="F2936" s="28"/>
      <c r="G2936" s="26"/>
      <c r="H2936" s="24"/>
    </row>
    <row r="2937" spans="2:8" x14ac:dyDescent="0.2">
      <c r="B2937" s="49" t="s">
        <v>1888</v>
      </c>
      <c r="C2937" s="13" t="s">
        <v>2042</v>
      </c>
      <c r="D2937" s="95"/>
      <c r="E2937" s="14"/>
      <c r="F2937" s="71"/>
      <c r="G2937" s="29"/>
      <c r="H2937" s="15"/>
    </row>
    <row r="2938" spans="2:8" x14ac:dyDescent="0.2">
      <c r="B2938" s="48"/>
      <c r="C2938" s="60" t="s">
        <v>2043</v>
      </c>
      <c r="D2938" s="44"/>
      <c r="E2938" s="102" t="s">
        <v>1034</v>
      </c>
      <c r="F2938" s="27"/>
      <c r="G2938" s="26"/>
      <c r="H2938" s="21" t="b">
        <f>IF(D2939="x",H$2,H$1)</f>
        <v>0</v>
      </c>
    </row>
    <row r="2939" spans="2:8" ht="32" x14ac:dyDescent="0.2">
      <c r="B2939" s="48"/>
      <c r="C2939" s="61" t="s">
        <v>2044</v>
      </c>
      <c r="D2939" s="44"/>
      <c r="E2939" s="102" t="s">
        <v>1035</v>
      </c>
      <c r="F2939" s="22"/>
      <c r="G2939" s="26"/>
      <c r="H2939" s="21" t="str">
        <f>IF(E$2955="comprobar",COUNTIF(D2938:D2942,"x"),"")</f>
        <v/>
      </c>
    </row>
    <row r="2940" spans="2:8" x14ac:dyDescent="0.2">
      <c r="B2940" s="48"/>
      <c r="C2940" s="61" t="s">
        <v>2045</v>
      </c>
      <c r="D2940" s="44"/>
      <c r="E2940" s="102" t="s">
        <v>1036</v>
      </c>
      <c r="F2940" s="23"/>
      <c r="G2940" s="26"/>
      <c r="H2940" s="24">
        <f t="shared" ref="H2940" si="858">IF(H2939=1,IF(H2938=H$2,1,-0.33),0)</f>
        <v>0</v>
      </c>
    </row>
    <row r="2941" spans="2:8" x14ac:dyDescent="0.2">
      <c r="B2941" s="48"/>
      <c r="C2941" s="61" t="s">
        <v>1967</v>
      </c>
      <c r="D2941" s="44"/>
      <c r="E2941" s="102" t="s">
        <v>1037</v>
      </c>
      <c r="F2941" s="28"/>
      <c r="G2941" s="55"/>
      <c r="H2941" s="24"/>
    </row>
    <row r="2942" spans="2:8" x14ac:dyDescent="0.2">
      <c r="B2942" s="48"/>
      <c r="C2942" s="8"/>
      <c r="D2942" s="44"/>
      <c r="E2942" s="102" t="s">
        <v>1038</v>
      </c>
      <c r="F2942" s="28"/>
      <c r="G2942" s="26"/>
      <c r="H2942" s="24"/>
    </row>
    <row r="2943" spans="2:8" x14ac:dyDescent="0.2">
      <c r="B2943" s="49" t="s">
        <v>1893</v>
      </c>
      <c r="C2943" s="13" t="s">
        <v>2046</v>
      </c>
      <c r="D2943" s="45"/>
      <c r="E2943" s="14"/>
      <c r="F2943" s="30"/>
      <c r="G2943" s="29"/>
      <c r="H2943" s="15"/>
    </row>
    <row r="2944" spans="2:8" s="107" customFormat="1" ht="32" x14ac:dyDescent="0.2">
      <c r="B2944" s="48"/>
      <c r="C2944" s="60" t="s">
        <v>2047</v>
      </c>
      <c r="D2944" s="44"/>
      <c r="E2944" s="102" t="s">
        <v>1034</v>
      </c>
      <c r="F2944" s="27"/>
      <c r="G2944" s="26"/>
      <c r="H2944" s="21" t="b">
        <f>IF(D2944="x",H$2,H$1)</f>
        <v>0</v>
      </c>
    </row>
    <row r="2945" spans="1:8" s="43" customFormat="1" ht="19" customHeight="1" x14ac:dyDescent="0.2">
      <c r="A2945" s="107"/>
      <c r="B2945" s="48"/>
      <c r="C2945" s="61" t="s">
        <v>2048</v>
      </c>
      <c r="D2945" s="44"/>
      <c r="E2945" s="102" t="s">
        <v>1035</v>
      </c>
      <c r="F2945" s="22"/>
      <c r="G2945" s="26"/>
      <c r="H2945" s="21" t="str">
        <f>IF(E$2955="comprobar",COUNTIF(D2944:D2948,"x"),"")</f>
        <v/>
      </c>
    </row>
    <row r="2946" spans="1:8" s="43" customFormat="1" ht="32" x14ac:dyDescent="0.2">
      <c r="A2946" s="107"/>
      <c r="B2946" s="48"/>
      <c r="C2946" s="61" t="s">
        <v>2049</v>
      </c>
      <c r="D2946" s="44"/>
      <c r="E2946" s="102" t="s">
        <v>1036</v>
      </c>
      <c r="F2946" s="23"/>
      <c r="G2946" s="26"/>
      <c r="H2946" s="24">
        <f t="shared" ref="H2946" si="859">IF(H2945=1,IF(H2944=H$2,1,-0.33),0)</f>
        <v>0</v>
      </c>
    </row>
    <row r="2947" spans="1:8" s="43" customFormat="1" x14ac:dyDescent="0.2">
      <c r="A2947" s="107"/>
      <c r="B2947" s="48"/>
      <c r="C2947" s="61" t="s">
        <v>2037</v>
      </c>
      <c r="D2947" s="44"/>
      <c r="E2947" s="102" t="s">
        <v>1037</v>
      </c>
      <c r="F2947" s="28"/>
      <c r="G2947" s="26"/>
      <c r="H2947" s="24"/>
    </row>
    <row r="2948" spans="1:8" x14ac:dyDescent="0.2">
      <c r="B2948" s="48"/>
      <c r="C2948" s="8"/>
      <c r="D2948" s="44"/>
      <c r="E2948" s="102" t="s">
        <v>1038</v>
      </c>
      <c r="F2948" s="28"/>
      <c r="G2948" s="26"/>
      <c r="H2948" s="24"/>
    </row>
    <row r="2949" spans="1:8" x14ac:dyDescent="0.2">
      <c r="B2949" s="49" t="s">
        <v>1896</v>
      </c>
      <c r="C2949" s="13" t="s">
        <v>2053</v>
      </c>
      <c r="D2949" s="45"/>
      <c r="E2949" s="14"/>
      <c r="F2949" s="30"/>
      <c r="G2949" s="29"/>
      <c r="H2949" s="15"/>
    </row>
    <row r="2950" spans="1:8" x14ac:dyDescent="0.2">
      <c r="B2950" s="52"/>
      <c r="C2950" s="56" t="s">
        <v>2050</v>
      </c>
      <c r="D2950" s="44"/>
      <c r="E2950" s="102" t="s">
        <v>1034</v>
      </c>
      <c r="F2950" s="28"/>
      <c r="G2950" s="55"/>
      <c r="H2950" s="21" t="b">
        <f>IF(D2951="x",H$2,H$1)</f>
        <v>0</v>
      </c>
    </row>
    <row r="2951" spans="1:8" x14ac:dyDescent="0.2">
      <c r="B2951" s="48"/>
      <c r="C2951" s="60" t="s">
        <v>2051</v>
      </c>
      <c r="D2951" s="44"/>
      <c r="E2951" s="102" t="s">
        <v>1035</v>
      </c>
      <c r="F2951" s="22"/>
      <c r="G2951" s="26"/>
      <c r="H2951" s="21" t="str">
        <f>IF(E$2955="comprobar",COUNTIF(D2950:D2954,"x"),"")</f>
        <v/>
      </c>
    </row>
    <row r="2952" spans="1:8" ht="32" x14ac:dyDescent="0.2">
      <c r="B2952" s="48"/>
      <c r="C2952" s="61" t="s">
        <v>2052</v>
      </c>
      <c r="D2952" s="44"/>
      <c r="E2952" s="102" t="s">
        <v>1036</v>
      </c>
      <c r="F2952" s="23"/>
      <c r="G2952" s="26"/>
      <c r="H2952" s="24">
        <f t="shared" ref="H2952" si="860">IF(H2951=1,IF(H2950=H$2,1,-0.33),0)</f>
        <v>0</v>
      </c>
    </row>
    <row r="2953" spans="1:8" x14ac:dyDescent="0.2">
      <c r="B2953" s="48"/>
      <c r="C2953" s="61" t="s">
        <v>1954</v>
      </c>
      <c r="D2953" s="44"/>
      <c r="E2953" s="102" t="s">
        <v>1037</v>
      </c>
      <c r="F2953" s="28"/>
      <c r="G2953" s="26"/>
      <c r="H2953" s="24"/>
    </row>
    <row r="2954" spans="1:8" x14ac:dyDescent="0.2">
      <c r="B2954" s="48"/>
      <c r="C2954" s="8"/>
      <c r="D2954" s="44"/>
      <c r="E2954" s="102" t="s">
        <v>1038</v>
      </c>
      <c r="F2954" s="20"/>
      <c r="G2954" s="19"/>
      <c r="H2954" s="24"/>
    </row>
    <row r="2955" spans="1:8" x14ac:dyDescent="0.2">
      <c r="B2955" s="52"/>
      <c r="C2955" s="47"/>
      <c r="D2955" s="73"/>
      <c r="E2955" s="92"/>
      <c r="F2955" s="20"/>
      <c r="G2955" s="19"/>
      <c r="H2955" s="19"/>
    </row>
    <row r="2956" spans="1:8" x14ac:dyDescent="0.2">
      <c r="B2956" s="52"/>
      <c r="C2956" s="18"/>
      <c r="D2956" s="102"/>
      <c r="E2956" s="102"/>
      <c r="F2956" s="31" t="s">
        <v>93</v>
      </c>
      <c r="G2956" s="19" t="s">
        <v>91</v>
      </c>
      <c r="H2956" s="19" t="s">
        <v>92</v>
      </c>
    </row>
    <row r="2957" spans="1:8" ht="20" x14ac:dyDescent="0.2">
      <c r="B2957" s="52"/>
      <c r="C2957" s="18"/>
      <c r="D2957" s="102"/>
      <c r="E2957" s="1"/>
      <c r="F2957" s="32" t="str">
        <f>IF(E2955="comprobar",H2892+H2886+H2880+H2874+H2868+H2862+H2856+H2850+H2844+H2838+H2898+H2904+H2910+H2916+H2922+H2928+H2934+H2940+H2946+H2952,"")</f>
        <v/>
      </c>
      <c r="G2957" s="19">
        <f>20/2</f>
        <v>10</v>
      </c>
      <c r="H2957" s="19"/>
    </row>
    <row r="2958" spans="1:8" ht="17" thickBot="1" x14ac:dyDescent="0.25">
      <c r="B2958" s="53"/>
      <c r="C2958" s="33"/>
      <c r="D2958" s="34"/>
      <c r="E2958" s="9"/>
      <c r="F2958" s="35" t="str">
        <f>IF(F2957&gt;G2957,G2956,H2956)</f>
        <v>APROBADO</v>
      </c>
      <c r="G2958" s="19"/>
      <c r="H2958" s="19"/>
    </row>
    <row r="2959" spans="1:8" ht="29" x14ac:dyDescent="0.35">
      <c r="B2959" s="54" t="s">
        <v>0</v>
      </c>
      <c r="C2959" s="113" t="s">
        <v>2138</v>
      </c>
      <c r="D2959" s="113"/>
      <c r="E2959" s="113"/>
      <c r="F2959" s="114"/>
    </row>
    <row r="2960" spans="1:8" x14ac:dyDescent="0.2">
      <c r="B2960" s="49">
        <v>1</v>
      </c>
      <c r="C2960" s="13" t="s">
        <v>1800</v>
      </c>
      <c r="D2960" s="14"/>
      <c r="E2960" s="14"/>
      <c r="F2960" s="16"/>
      <c r="G2960" s="15"/>
      <c r="H2960" s="15"/>
    </row>
    <row r="2961" spans="2:8" x14ac:dyDescent="0.2">
      <c r="B2961" s="48"/>
      <c r="C2961" s="60" t="s">
        <v>2055</v>
      </c>
      <c r="D2961" s="44"/>
      <c r="E2961" s="108" t="s">
        <v>1034</v>
      </c>
      <c r="F2961" s="20"/>
      <c r="G2961" s="19"/>
      <c r="H2961" s="21" t="b">
        <f>IF(D2964="x",H$2,H$1)</f>
        <v>0</v>
      </c>
    </row>
    <row r="2962" spans="2:8" ht="32" x14ac:dyDescent="0.2">
      <c r="B2962" s="48"/>
      <c r="C2962" s="61" t="s">
        <v>1802</v>
      </c>
      <c r="D2962" s="44"/>
      <c r="E2962" s="108" t="s">
        <v>1035</v>
      </c>
      <c r="F2962" s="22"/>
      <c r="G2962" s="19"/>
      <c r="H2962" s="21" t="str">
        <f>IF(E$3200="comprobar",COUNTIF(D2961:D2965,"x"),"")</f>
        <v/>
      </c>
    </row>
    <row r="2963" spans="2:8" x14ac:dyDescent="0.2">
      <c r="B2963" s="48"/>
      <c r="C2963" s="61" t="s">
        <v>1803</v>
      </c>
      <c r="D2963" s="44"/>
      <c r="E2963" s="108" t="s">
        <v>1036</v>
      </c>
      <c r="F2963" s="23"/>
      <c r="G2963" s="19"/>
      <c r="H2963" s="24">
        <f>IF(H2962=1,IF(H2961=H$2,1,-0.33),0)</f>
        <v>0</v>
      </c>
    </row>
    <row r="2964" spans="2:8" x14ac:dyDescent="0.2">
      <c r="B2964" s="48"/>
      <c r="C2964" s="61" t="s">
        <v>583</v>
      </c>
      <c r="D2964" s="44"/>
      <c r="E2964" s="108" t="s">
        <v>1037</v>
      </c>
      <c r="F2964" s="20"/>
      <c r="G2964" s="19"/>
      <c r="H2964" s="24"/>
    </row>
    <row r="2965" spans="2:8" x14ac:dyDescent="0.2">
      <c r="B2965" s="48"/>
      <c r="C2965" s="8"/>
      <c r="D2965" s="44"/>
      <c r="E2965" s="108" t="s">
        <v>1038</v>
      </c>
      <c r="F2965" s="20"/>
      <c r="G2965" s="19"/>
      <c r="H2965" s="24"/>
    </row>
    <row r="2966" spans="2:8" x14ac:dyDescent="0.2">
      <c r="B2966" s="49">
        <v>2</v>
      </c>
      <c r="C2966" s="13" t="s">
        <v>2056</v>
      </c>
      <c r="D2966" s="45"/>
      <c r="E2966" s="14"/>
      <c r="F2966" s="16"/>
      <c r="G2966" s="15"/>
      <c r="H2966" s="15"/>
    </row>
    <row r="2967" spans="2:8" x14ac:dyDescent="0.2">
      <c r="B2967" s="48"/>
      <c r="C2967" s="60" t="s">
        <v>2057</v>
      </c>
      <c r="D2967" s="44"/>
      <c r="E2967" s="108" t="s">
        <v>1034</v>
      </c>
      <c r="F2967" s="20"/>
      <c r="G2967" s="19"/>
      <c r="H2967" s="21" t="b">
        <f>IF(D2970="x",H$2,H$1)</f>
        <v>0</v>
      </c>
    </row>
    <row r="2968" spans="2:8" x14ac:dyDescent="0.2">
      <c r="B2968" s="48"/>
      <c r="C2968" s="61" t="s">
        <v>2058</v>
      </c>
      <c r="D2968" s="44"/>
      <c r="E2968" s="108" t="s">
        <v>1035</v>
      </c>
      <c r="F2968" s="22"/>
      <c r="G2968" s="19"/>
      <c r="H2968" s="21" t="str">
        <f>IF(E$3200="comprobar",COUNTIF(D2967:D2971,"x"),"")</f>
        <v/>
      </c>
    </row>
    <row r="2969" spans="2:8" x14ac:dyDescent="0.2">
      <c r="B2969" s="48"/>
      <c r="C2969" s="61" t="s">
        <v>2059</v>
      </c>
      <c r="D2969" s="44"/>
      <c r="E2969" s="108" t="s">
        <v>1036</v>
      </c>
      <c r="F2969" s="23"/>
      <c r="G2969" s="19"/>
      <c r="H2969" s="24">
        <f t="shared" ref="H2969" si="861">IF(H2968=1,IF(H2967=H$2,1,-0.33),0)</f>
        <v>0</v>
      </c>
    </row>
    <row r="2970" spans="2:8" x14ac:dyDescent="0.2">
      <c r="B2970" s="48"/>
      <c r="C2970" s="61" t="s">
        <v>590</v>
      </c>
      <c r="D2970" s="44"/>
      <c r="E2970" s="108" t="s">
        <v>1037</v>
      </c>
      <c r="F2970" s="20"/>
      <c r="G2970" s="19"/>
      <c r="H2970" s="24"/>
    </row>
    <row r="2971" spans="2:8" x14ac:dyDescent="0.2">
      <c r="B2971" s="48"/>
      <c r="C2971" s="8"/>
      <c r="D2971" s="44"/>
      <c r="E2971" s="108" t="s">
        <v>1038</v>
      </c>
      <c r="F2971" s="20"/>
      <c r="G2971" s="19"/>
      <c r="H2971" s="24"/>
    </row>
    <row r="2972" spans="2:8" x14ac:dyDescent="0.2">
      <c r="B2972" s="49">
        <v>3</v>
      </c>
      <c r="C2972" s="13" t="s">
        <v>2060</v>
      </c>
      <c r="D2972" s="45"/>
      <c r="E2972" s="14"/>
      <c r="F2972" s="16"/>
      <c r="G2972" s="15"/>
      <c r="H2972" s="15"/>
    </row>
    <row r="2973" spans="2:8" x14ac:dyDescent="0.2">
      <c r="B2973" s="48"/>
      <c r="C2973" s="60" t="s">
        <v>2061</v>
      </c>
      <c r="D2973" s="44"/>
      <c r="E2973" s="108" t="s">
        <v>1034</v>
      </c>
      <c r="F2973" s="20"/>
      <c r="G2973" s="19"/>
      <c r="H2973" s="21" t="b">
        <f>IF(D2976="x",H$2,H$1)</f>
        <v>0</v>
      </c>
    </row>
    <row r="2974" spans="2:8" x14ac:dyDescent="0.2">
      <c r="B2974" s="48"/>
      <c r="C2974" s="61" t="s">
        <v>2062</v>
      </c>
      <c r="D2974" s="44"/>
      <c r="E2974" s="108" t="s">
        <v>1035</v>
      </c>
      <c r="F2974" s="22"/>
      <c r="G2974" s="19"/>
      <c r="H2974" s="21" t="str">
        <f>IF(E$3200="comprobar",COUNTIF(D2973:D2977,"x"),"")</f>
        <v/>
      </c>
    </row>
    <row r="2975" spans="2:8" x14ac:dyDescent="0.2">
      <c r="B2975" s="48"/>
      <c r="C2975" s="61" t="s">
        <v>2063</v>
      </c>
      <c r="D2975" s="44"/>
      <c r="E2975" s="108" t="s">
        <v>1036</v>
      </c>
      <c r="F2975" s="23"/>
      <c r="G2975" s="19"/>
      <c r="H2975" s="24">
        <f t="shared" ref="H2975" si="862">IF(H2974=1,IF(H2973=H$2,1,-0.33),0)</f>
        <v>0</v>
      </c>
    </row>
    <row r="2976" spans="2:8" x14ac:dyDescent="0.2">
      <c r="B2976" s="48"/>
      <c r="C2976" s="61" t="s">
        <v>605</v>
      </c>
      <c r="D2976" s="44"/>
      <c r="E2976" s="108" t="s">
        <v>1037</v>
      </c>
      <c r="F2976" s="20"/>
      <c r="G2976" s="19"/>
      <c r="H2976" s="24"/>
    </row>
    <row r="2977" spans="2:8" x14ac:dyDescent="0.2">
      <c r="B2977" s="48"/>
      <c r="C2977" s="8"/>
      <c r="D2977" s="44"/>
      <c r="E2977" s="108" t="s">
        <v>1038</v>
      </c>
      <c r="F2977" s="20"/>
      <c r="G2977" s="19"/>
      <c r="H2977" s="24"/>
    </row>
    <row r="2978" spans="2:8" x14ac:dyDescent="0.2">
      <c r="B2978" s="49">
        <v>4</v>
      </c>
      <c r="C2978" s="13" t="s">
        <v>2064</v>
      </c>
      <c r="D2978" s="45"/>
      <c r="E2978" s="14"/>
      <c r="F2978" s="16"/>
      <c r="G2978" s="15"/>
      <c r="H2978" s="15"/>
    </row>
    <row r="2979" spans="2:8" x14ac:dyDescent="0.2">
      <c r="B2979" s="48"/>
      <c r="C2979" s="60" t="s">
        <v>2065</v>
      </c>
      <c r="D2979" s="44"/>
      <c r="E2979" s="108" t="s">
        <v>1034</v>
      </c>
      <c r="F2979" s="20"/>
      <c r="G2979" s="19"/>
      <c r="H2979" s="21" t="b">
        <f>IF(D2980="x",H$2,H$1)</f>
        <v>0</v>
      </c>
    </row>
    <row r="2980" spans="2:8" x14ac:dyDescent="0.2">
      <c r="B2980" s="48"/>
      <c r="C2980" s="61" t="s">
        <v>2066</v>
      </c>
      <c r="D2980" s="44"/>
      <c r="E2980" s="108" t="s">
        <v>1035</v>
      </c>
      <c r="F2980" s="22"/>
      <c r="G2980" s="19"/>
      <c r="H2980" s="21" t="str">
        <f>IF(E$3200="comprobar",COUNTIF(D2979:D2983,"x"),"")</f>
        <v/>
      </c>
    </row>
    <row r="2981" spans="2:8" x14ac:dyDescent="0.2">
      <c r="B2981" s="48"/>
      <c r="C2981" s="61" t="s">
        <v>2067</v>
      </c>
      <c r="D2981" s="44"/>
      <c r="E2981" s="108" t="s">
        <v>1036</v>
      </c>
      <c r="F2981" s="23"/>
      <c r="G2981" s="19"/>
      <c r="H2981" s="24">
        <f t="shared" ref="H2981" si="863">IF(H2980=1,IF(H2979=H$2,1,-0.33),0)</f>
        <v>0</v>
      </c>
    </row>
    <row r="2982" spans="2:8" x14ac:dyDescent="0.2">
      <c r="B2982" s="48"/>
      <c r="C2982" s="61" t="s">
        <v>1954</v>
      </c>
      <c r="D2982" s="44"/>
      <c r="E2982" s="108" t="s">
        <v>1037</v>
      </c>
      <c r="F2982" s="20"/>
      <c r="G2982" s="19"/>
      <c r="H2982" s="24"/>
    </row>
    <row r="2983" spans="2:8" x14ac:dyDescent="0.2">
      <c r="B2983" s="48"/>
      <c r="C2983" s="8"/>
      <c r="D2983" s="44"/>
      <c r="E2983" s="108" t="s">
        <v>1038</v>
      </c>
      <c r="F2983" s="20"/>
      <c r="G2983" s="19"/>
      <c r="H2983" s="24"/>
    </row>
    <row r="2984" spans="2:8" x14ac:dyDescent="0.2">
      <c r="B2984" s="49">
        <v>5</v>
      </c>
      <c r="C2984" s="13" t="s">
        <v>1878</v>
      </c>
      <c r="D2984" s="45"/>
      <c r="E2984" s="14"/>
      <c r="F2984" s="16"/>
      <c r="G2984" s="15"/>
      <c r="H2984" s="15"/>
    </row>
    <row r="2985" spans="2:8" x14ac:dyDescent="0.2">
      <c r="B2985" s="48"/>
      <c r="C2985" s="60" t="s">
        <v>1879</v>
      </c>
      <c r="D2985" s="44"/>
      <c r="E2985" s="108" t="s">
        <v>1034</v>
      </c>
      <c r="F2985" s="20"/>
      <c r="G2985" s="19"/>
      <c r="H2985" s="21" t="b">
        <f>IF(D2988="x",H$2,H$1)</f>
        <v>0</v>
      </c>
    </row>
    <row r="2986" spans="2:8" x14ac:dyDescent="0.2">
      <c r="B2986" s="48"/>
      <c r="C2986" s="61" t="s">
        <v>2068</v>
      </c>
      <c r="D2986" s="44"/>
      <c r="E2986" s="108" t="s">
        <v>1035</v>
      </c>
      <c r="F2986" s="22"/>
      <c r="G2986" s="19"/>
      <c r="H2986" s="21" t="str">
        <f>IF(E$3200="comprobar",COUNTIF(D2985:D2989,"x"),"")</f>
        <v/>
      </c>
    </row>
    <row r="2987" spans="2:8" x14ac:dyDescent="0.2">
      <c r="B2987" s="48"/>
      <c r="C2987" s="61" t="s">
        <v>1881</v>
      </c>
      <c r="D2987" s="44"/>
      <c r="E2987" s="108" t="s">
        <v>1036</v>
      </c>
      <c r="F2987" s="23"/>
      <c r="G2987" s="19"/>
      <c r="H2987" s="24">
        <f t="shared" ref="H2987" si="864">IF(H2986=1,IF(H2985=H$2,1,-0.33),0)</f>
        <v>0</v>
      </c>
    </row>
    <row r="2988" spans="2:8" x14ac:dyDescent="0.2">
      <c r="B2988" s="48"/>
      <c r="C2988" s="61" t="s">
        <v>583</v>
      </c>
      <c r="D2988" s="44"/>
      <c r="E2988" s="108" t="s">
        <v>1037</v>
      </c>
      <c r="F2988" s="20"/>
      <c r="G2988" s="19"/>
      <c r="H2988" s="24"/>
    </row>
    <row r="2989" spans="2:8" x14ac:dyDescent="0.2">
      <c r="B2989" s="48"/>
      <c r="C2989" s="8"/>
      <c r="D2989" s="44"/>
      <c r="E2989" s="108" t="s">
        <v>1038</v>
      </c>
      <c r="F2989" s="20"/>
      <c r="G2989" s="19"/>
      <c r="H2989" s="24"/>
    </row>
    <row r="2990" spans="2:8" x14ac:dyDescent="0.2">
      <c r="B2990" s="49">
        <v>6</v>
      </c>
      <c r="C2990" s="13" t="s">
        <v>2069</v>
      </c>
      <c r="D2990" s="45"/>
      <c r="E2990" s="14"/>
      <c r="F2990" s="16"/>
      <c r="G2990" s="15"/>
      <c r="H2990" s="15"/>
    </row>
    <row r="2991" spans="2:8" x14ac:dyDescent="0.2">
      <c r="B2991" s="48"/>
      <c r="C2991" s="60" t="s">
        <v>1822</v>
      </c>
      <c r="D2991" s="44"/>
      <c r="E2991" s="108" t="s">
        <v>1034</v>
      </c>
      <c r="F2991" s="20"/>
      <c r="G2991" s="19"/>
      <c r="H2991" s="21" t="b">
        <f>IF(D2992="x",H$2,H$1)</f>
        <v>0</v>
      </c>
    </row>
    <row r="2992" spans="2:8" x14ac:dyDescent="0.2">
      <c r="B2992" s="48"/>
      <c r="C2992" s="61" t="s">
        <v>2070</v>
      </c>
      <c r="D2992" s="44"/>
      <c r="E2992" s="108" t="s">
        <v>1035</v>
      </c>
      <c r="F2992" s="22"/>
      <c r="G2992" s="19"/>
      <c r="H2992" s="21" t="str">
        <f>IF(E$3200="comprobar",COUNTIF(D2991:D2995,"x"),"")</f>
        <v/>
      </c>
    </row>
    <row r="2993" spans="2:8" x14ac:dyDescent="0.2">
      <c r="B2993" s="48"/>
      <c r="C2993" s="61" t="s">
        <v>1824</v>
      </c>
      <c r="D2993" s="44"/>
      <c r="E2993" s="108" t="s">
        <v>1036</v>
      </c>
      <c r="F2993" s="23"/>
      <c r="G2993" s="19"/>
      <c r="H2993" s="24">
        <f t="shared" ref="H2993" si="865">IF(H2992=1,IF(H2991=H$2,1,-0.33),0)</f>
        <v>0</v>
      </c>
    </row>
    <row r="2994" spans="2:8" x14ac:dyDescent="0.2">
      <c r="B2994" s="48"/>
      <c r="C2994" s="61" t="s">
        <v>1825</v>
      </c>
      <c r="D2994" s="44"/>
      <c r="E2994" s="108" t="s">
        <v>1037</v>
      </c>
      <c r="F2994" s="20"/>
      <c r="G2994" s="19"/>
      <c r="H2994" s="24"/>
    </row>
    <row r="2995" spans="2:8" x14ac:dyDescent="0.2">
      <c r="B2995" s="48"/>
      <c r="C2995" s="8"/>
      <c r="D2995" s="44"/>
      <c r="E2995" s="108" t="s">
        <v>1038</v>
      </c>
      <c r="F2995" s="20"/>
      <c r="G2995" s="19"/>
      <c r="H2995" s="24"/>
    </row>
    <row r="2996" spans="2:8" x14ac:dyDescent="0.2">
      <c r="B2996" s="49">
        <v>7</v>
      </c>
      <c r="C2996" s="13" t="s">
        <v>2071</v>
      </c>
      <c r="D2996" s="45"/>
      <c r="E2996" s="14"/>
      <c r="F2996" s="16"/>
      <c r="G2996" s="15"/>
      <c r="H2996" s="15"/>
    </row>
    <row r="2997" spans="2:8" x14ac:dyDescent="0.2">
      <c r="B2997" s="48"/>
      <c r="C2997" s="60" t="s">
        <v>2072</v>
      </c>
      <c r="D2997" s="44"/>
      <c r="E2997" s="108" t="s">
        <v>1034</v>
      </c>
      <c r="F2997" s="20"/>
      <c r="G2997" s="19"/>
      <c r="H2997" s="21" t="b">
        <f>IF(D2999="x",H$2,H$1)</f>
        <v>0</v>
      </c>
    </row>
    <row r="2998" spans="2:8" x14ac:dyDescent="0.2">
      <c r="B2998" s="48"/>
      <c r="C2998" s="61" t="s">
        <v>2073</v>
      </c>
      <c r="D2998" s="44"/>
      <c r="E2998" s="108" t="s">
        <v>1035</v>
      </c>
      <c r="F2998" s="22"/>
      <c r="G2998" s="19"/>
      <c r="H2998" s="21" t="str">
        <f>IF(E$3200="comprobar",COUNTIF(D2997:D3001,"x"),"")</f>
        <v/>
      </c>
    </row>
    <row r="2999" spans="2:8" x14ac:dyDescent="0.2">
      <c r="B2999" s="48"/>
      <c r="C2999" s="61" t="s">
        <v>2074</v>
      </c>
      <c r="D2999" s="44"/>
      <c r="E2999" s="108" t="s">
        <v>1036</v>
      </c>
      <c r="F2999" s="23"/>
      <c r="G2999" s="19"/>
      <c r="H2999" s="24">
        <f t="shared" ref="H2999" si="866">IF(H2998=1,IF(H2997=H$2,1,-0.33),0)</f>
        <v>0</v>
      </c>
    </row>
    <row r="3000" spans="2:8" x14ac:dyDescent="0.2">
      <c r="B3000" s="48"/>
      <c r="C3000" s="61" t="s">
        <v>841</v>
      </c>
      <c r="D3000" s="44"/>
      <c r="E3000" s="108" t="s">
        <v>1037</v>
      </c>
      <c r="F3000" s="20"/>
      <c r="G3000" s="19"/>
      <c r="H3000" s="24"/>
    </row>
    <row r="3001" spans="2:8" x14ac:dyDescent="0.2">
      <c r="B3001" s="48"/>
      <c r="C3001" s="8"/>
      <c r="D3001" s="44"/>
      <c r="E3001" s="108" t="s">
        <v>1038</v>
      </c>
      <c r="F3001" s="20"/>
      <c r="G3001" s="19"/>
      <c r="H3001" s="24"/>
    </row>
    <row r="3002" spans="2:8" x14ac:dyDescent="0.2">
      <c r="B3002" s="49">
        <v>8</v>
      </c>
      <c r="C3002" s="13" t="s">
        <v>1861</v>
      </c>
      <c r="D3002" s="45"/>
      <c r="E3002" s="14"/>
      <c r="F3002" s="16"/>
      <c r="G3002" s="15"/>
      <c r="H3002" s="15"/>
    </row>
    <row r="3003" spans="2:8" ht="32" x14ac:dyDescent="0.2">
      <c r="B3003" s="48"/>
      <c r="C3003" s="60" t="s">
        <v>1862</v>
      </c>
      <c r="D3003" s="44"/>
      <c r="E3003" s="108" t="s">
        <v>1034</v>
      </c>
      <c r="F3003" s="20"/>
      <c r="G3003" s="19"/>
      <c r="H3003" s="21" t="b">
        <f>IF(D3003="x",H$2,H$1)</f>
        <v>0</v>
      </c>
    </row>
    <row r="3004" spans="2:8" ht="32" x14ac:dyDescent="0.2">
      <c r="B3004" s="48"/>
      <c r="C3004" s="61" t="s">
        <v>1863</v>
      </c>
      <c r="D3004" s="44"/>
      <c r="E3004" s="108" t="s">
        <v>1035</v>
      </c>
      <c r="F3004" s="22"/>
      <c r="G3004" s="19"/>
      <c r="H3004" s="21" t="str">
        <f>IF(E$3200="comprobar",COUNTIF(D3003:D3007,"x"),"")</f>
        <v/>
      </c>
    </row>
    <row r="3005" spans="2:8" x14ac:dyDescent="0.2">
      <c r="B3005" s="48"/>
      <c r="C3005" s="61" t="s">
        <v>1864</v>
      </c>
      <c r="D3005" s="44"/>
      <c r="E3005" s="108" t="s">
        <v>1036</v>
      </c>
      <c r="F3005" s="23"/>
      <c r="G3005" s="19"/>
      <c r="H3005" s="24">
        <f t="shared" ref="H3005" si="867">IF(H3004=1,IF(H3003=H$2,1,-0.33),0)</f>
        <v>0</v>
      </c>
    </row>
    <row r="3006" spans="2:8" x14ac:dyDescent="0.2">
      <c r="B3006" s="48"/>
      <c r="C3006" s="61" t="s">
        <v>1865</v>
      </c>
      <c r="D3006" s="44"/>
      <c r="E3006" s="108" t="s">
        <v>1037</v>
      </c>
      <c r="F3006" s="20"/>
      <c r="G3006" s="19"/>
      <c r="H3006" s="24"/>
    </row>
    <row r="3007" spans="2:8" x14ac:dyDescent="0.2">
      <c r="B3007" s="48"/>
      <c r="C3007" s="8"/>
      <c r="D3007" s="44"/>
      <c r="E3007" s="108" t="s">
        <v>1038</v>
      </c>
      <c r="F3007" s="20"/>
      <c r="G3007" s="19"/>
      <c r="H3007" s="24"/>
    </row>
    <row r="3008" spans="2:8" x14ac:dyDescent="0.2">
      <c r="B3008" s="49">
        <v>9</v>
      </c>
      <c r="C3008" s="13" t="s">
        <v>2075</v>
      </c>
      <c r="D3008" s="45"/>
      <c r="E3008" s="14"/>
      <c r="F3008" s="16"/>
      <c r="G3008" s="15"/>
      <c r="H3008" s="15"/>
    </row>
    <row r="3009" spans="2:8" x14ac:dyDescent="0.2">
      <c r="B3009" s="48"/>
      <c r="C3009" s="60" t="s">
        <v>2076</v>
      </c>
      <c r="D3009" s="44"/>
      <c r="E3009" s="108" t="s">
        <v>1034</v>
      </c>
      <c r="F3009" s="20"/>
      <c r="G3009" s="19"/>
      <c r="H3009" s="21" t="b">
        <f>IF(D3009="x",H$2,H$1)</f>
        <v>0</v>
      </c>
    </row>
    <row r="3010" spans="2:8" ht="32" x14ac:dyDescent="0.2">
      <c r="B3010" s="48"/>
      <c r="C3010" s="61" t="s">
        <v>2077</v>
      </c>
      <c r="D3010" s="44"/>
      <c r="E3010" s="108" t="s">
        <v>1035</v>
      </c>
      <c r="F3010" s="22"/>
      <c r="G3010" s="19"/>
      <c r="H3010" s="21" t="str">
        <f>IF(E$3200="comprobar",COUNTIF(D3009:D3013,"x"),"")</f>
        <v/>
      </c>
    </row>
    <row r="3011" spans="2:8" x14ac:dyDescent="0.2">
      <c r="B3011" s="48"/>
      <c r="C3011" s="61" t="s">
        <v>2078</v>
      </c>
      <c r="D3011" s="44"/>
      <c r="E3011" s="108" t="s">
        <v>1036</v>
      </c>
      <c r="F3011" s="23"/>
      <c r="G3011" s="19"/>
      <c r="H3011" s="24">
        <f t="shared" ref="H3011" si="868">IF(H3010=1,IF(H3009=H$2,1,-0.33),0)</f>
        <v>0</v>
      </c>
    </row>
    <row r="3012" spans="2:8" x14ac:dyDescent="0.2">
      <c r="B3012" s="48"/>
      <c r="C3012" s="61" t="s">
        <v>2079</v>
      </c>
      <c r="D3012" s="44"/>
      <c r="E3012" s="108" t="s">
        <v>1037</v>
      </c>
      <c r="F3012" s="20"/>
      <c r="G3012" s="19"/>
      <c r="H3012" s="24"/>
    </row>
    <row r="3013" spans="2:8" x14ac:dyDescent="0.2">
      <c r="B3013" s="48"/>
      <c r="C3013" s="8"/>
      <c r="D3013" s="44"/>
      <c r="E3013" s="108" t="s">
        <v>1038</v>
      </c>
      <c r="F3013" s="12"/>
      <c r="G3013" s="19"/>
      <c r="H3013" s="24"/>
    </row>
    <row r="3014" spans="2:8" x14ac:dyDescent="0.2">
      <c r="B3014" s="49">
        <v>10</v>
      </c>
      <c r="C3014" s="13" t="s">
        <v>1889</v>
      </c>
      <c r="D3014" s="45"/>
      <c r="E3014" s="14"/>
      <c r="F3014" s="30"/>
      <c r="G3014" s="29"/>
      <c r="H3014" s="15"/>
    </row>
    <row r="3015" spans="2:8" ht="32" x14ac:dyDescent="0.2">
      <c r="B3015" s="48"/>
      <c r="C3015" s="60" t="s">
        <v>1890</v>
      </c>
      <c r="D3015" s="44"/>
      <c r="E3015" s="108" t="s">
        <v>1034</v>
      </c>
      <c r="F3015" s="27"/>
      <c r="G3015" s="26"/>
      <c r="H3015" s="21" t="b">
        <f>IF(D3016="x",H$2,H$1)</f>
        <v>0</v>
      </c>
    </row>
    <row r="3016" spans="2:8" x14ac:dyDescent="0.2">
      <c r="B3016" s="48"/>
      <c r="C3016" s="61" t="s">
        <v>1891</v>
      </c>
      <c r="D3016" s="44"/>
      <c r="E3016" s="108" t="s">
        <v>1035</v>
      </c>
      <c r="F3016" s="22"/>
      <c r="G3016" s="26"/>
      <c r="H3016" s="21" t="str">
        <f>IF(E$3200="comprobar",COUNTIF(D3015:D3019,"x"),"")</f>
        <v/>
      </c>
    </row>
    <row r="3017" spans="2:8" x14ac:dyDescent="0.2">
      <c r="B3017" s="48"/>
      <c r="C3017" s="61" t="s">
        <v>1892</v>
      </c>
      <c r="D3017" s="44"/>
      <c r="E3017" s="108" t="s">
        <v>1036</v>
      </c>
      <c r="F3017" s="23"/>
      <c r="G3017" s="26"/>
      <c r="H3017" s="24">
        <f t="shared" ref="H3017" si="869">IF(H3016=1,IF(H3015=H$2,1,-0.33),0)</f>
        <v>0</v>
      </c>
    </row>
    <row r="3018" spans="2:8" x14ac:dyDescent="0.2">
      <c r="B3018" s="48"/>
      <c r="C3018" s="61" t="s">
        <v>1865</v>
      </c>
      <c r="D3018" s="44"/>
      <c r="E3018" s="108" t="s">
        <v>1037</v>
      </c>
      <c r="F3018" s="28"/>
      <c r="G3018" s="26"/>
      <c r="H3018" s="24"/>
    </row>
    <row r="3019" spans="2:8" x14ac:dyDescent="0.2">
      <c r="B3019" s="48"/>
      <c r="C3019" s="8"/>
      <c r="D3019" s="44"/>
      <c r="E3019" s="108" t="s">
        <v>1038</v>
      </c>
      <c r="F3019" s="28"/>
      <c r="G3019" s="26"/>
      <c r="H3019" s="24"/>
    </row>
    <row r="3020" spans="2:8" x14ac:dyDescent="0.2">
      <c r="B3020" s="49">
        <v>11</v>
      </c>
      <c r="C3020" s="13" t="s">
        <v>2080</v>
      </c>
      <c r="D3020" s="45"/>
      <c r="E3020" s="14"/>
      <c r="F3020" s="30"/>
      <c r="G3020" s="29"/>
      <c r="H3020" s="15"/>
    </row>
    <row r="3021" spans="2:8" x14ac:dyDescent="0.2">
      <c r="B3021" s="48"/>
      <c r="C3021" s="60" t="s">
        <v>2072</v>
      </c>
      <c r="D3021" s="44"/>
      <c r="E3021" s="108" t="s">
        <v>1034</v>
      </c>
      <c r="F3021" s="27"/>
      <c r="G3021" s="26"/>
      <c r="H3021" s="21" t="b">
        <f>IF(D3021="x",H$2,H$1)</f>
        <v>0</v>
      </c>
    </row>
    <row r="3022" spans="2:8" x14ac:dyDescent="0.2">
      <c r="B3022" s="48"/>
      <c r="C3022" s="61" t="s">
        <v>2073</v>
      </c>
      <c r="D3022" s="44"/>
      <c r="E3022" s="108" t="s">
        <v>1035</v>
      </c>
      <c r="F3022" s="22"/>
      <c r="G3022" s="26"/>
      <c r="H3022" s="21" t="str">
        <f>IF(E$3200="comprobar",COUNTIF(D3021:D3025,"x"),"")</f>
        <v/>
      </c>
    </row>
    <row r="3023" spans="2:8" x14ac:dyDescent="0.2">
      <c r="B3023" s="48"/>
      <c r="C3023" s="61" t="s">
        <v>2074</v>
      </c>
      <c r="D3023" s="44"/>
      <c r="E3023" s="108" t="s">
        <v>1036</v>
      </c>
      <c r="F3023" s="23"/>
      <c r="G3023" s="26"/>
      <c r="H3023" s="24">
        <f t="shared" ref="H3023" si="870">IF(H3022=1,IF(H3021=H$2,1,-0.33),0)</f>
        <v>0</v>
      </c>
    </row>
    <row r="3024" spans="2:8" x14ac:dyDescent="0.2">
      <c r="B3024" s="48"/>
      <c r="C3024" s="61" t="s">
        <v>841</v>
      </c>
      <c r="D3024" s="44"/>
      <c r="E3024" s="108" t="s">
        <v>1037</v>
      </c>
      <c r="F3024" s="20"/>
      <c r="G3024" s="55"/>
      <c r="H3024" s="24"/>
    </row>
    <row r="3025" spans="2:8" x14ac:dyDescent="0.2">
      <c r="B3025" s="48"/>
      <c r="C3025" s="8"/>
      <c r="D3025" s="44"/>
      <c r="E3025" s="108" t="s">
        <v>1038</v>
      </c>
      <c r="F3025" s="28"/>
      <c r="G3025" s="26"/>
      <c r="H3025" s="24"/>
    </row>
    <row r="3026" spans="2:8" x14ac:dyDescent="0.2">
      <c r="B3026" s="49">
        <v>12</v>
      </c>
      <c r="C3026" s="13" t="s">
        <v>2081</v>
      </c>
      <c r="D3026" s="45"/>
      <c r="E3026" s="14"/>
      <c r="F3026" s="30"/>
      <c r="G3026" s="29"/>
      <c r="H3026" s="15"/>
    </row>
    <row r="3027" spans="2:8" x14ac:dyDescent="0.2">
      <c r="B3027" s="48"/>
      <c r="C3027" s="60" t="s">
        <v>2072</v>
      </c>
      <c r="D3027" s="44"/>
      <c r="E3027" s="108" t="s">
        <v>1034</v>
      </c>
      <c r="F3027" s="27"/>
      <c r="G3027" s="26"/>
      <c r="H3027" s="21" t="b">
        <f>IF(D3028="x",H$2,H$1)</f>
        <v>0</v>
      </c>
    </row>
    <row r="3028" spans="2:8" x14ac:dyDescent="0.2">
      <c r="B3028" s="48"/>
      <c r="C3028" s="61" t="s">
        <v>2073</v>
      </c>
      <c r="D3028" s="44"/>
      <c r="E3028" s="108" t="s">
        <v>1035</v>
      </c>
      <c r="F3028" s="22"/>
      <c r="G3028" s="26"/>
      <c r="H3028" s="21" t="str">
        <f>IF(E$3200="comprobar",COUNTIF(D3027:D3031,"x"),"")</f>
        <v/>
      </c>
    </row>
    <row r="3029" spans="2:8" x14ac:dyDescent="0.2">
      <c r="B3029" s="48"/>
      <c r="C3029" s="61" t="s">
        <v>2074</v>
      </c>
      <c r="D3029" s="44"/>
      <c r="E3029" s="108" t="s">
        <v>1036</v>
      </c>
      <c r="F3029" s="23"/>
      <c r="G3029" s="26"/>
      <c r="H3029" s="24">
        <f t="shared" ref="H3029" si="871">IF(H3028=1,IF(H3027=H$2,1,-0.33),0)</f>
        <v>0</v>
      </c>
    </row>
    <row r="3030" spans="2:8" x14ac:dyDescent="0.2">
      <c r="B3030" s="48"/>
      <c r="C3030" s="61" t="s">
        <v>841</v>
      </c>
      <c r="D3030" s="44"/>
      <c r="E3030" s="108" t="s">
        <v>1037</v>
      </c>
      <c r="F3030" s="28"/>
      <c r="G3030" s="26"/>
      <c r="H3030" s="24"/>
    </row>
    <row r="3031" spans="2:8" x14ac:dyDescent="0.2">
      <c r="B3031" s="48"/>
      <c r="C3031" s="8"/>
      <c r="D3031" s="44"/>
      <c r="E3031" s="108" t="s">
        <v>1038</v>
      </c>
      <c r="F3031" s="28"/>
      <c r="G3031" s="26"/>
      <c r="H3031" s="24"/>
    </row>
    <row r="3032" spans="2:8" x14ac:dyDescent="0.2">
      <c r="B3032" s="49">
        <v>13</v>
      </c>
      <c r="C3032" s="13" t="s">
        <v>2082</v>
      </c>
      <c r="D3032" s="45"/>
      <c r="E3032" s="14"/>
      <c r="F3032" s="16"/>
      <c r="G3032" s="15"/>
      <c r="H3032" s="15"/>
    </row>
    <row r="3033" spans="2:8" ht="32" x14ac:dyDescent="0.2">
      <c r="B3033" s="48"/>
      <c r="C3033" s="60" t="s">
        <v>1862</v>
      </c>
      <c r="D3033" s="44"/>
      <c r="E3033" s="108" t="s">
        <v>1034</v>
      </c>
      <c r="F3033" s="20"/>
      <c r="G3033" s="19"/>
      <c r="H3033" s="21" t="b">
        <f>IF(D3034="x",H$2,H$1)</f>
        <v>0</v>
      </c>
    </row>
    <row r="3034" spans="2:8" ht="32" x14ac:dyDescent="0.2">
      <c r="B3034" s="48"/>
      <c r="C3034" s="61" t="s">
        <v>1863</v>
      </c>
      <c r="D3034" s="44"/>
      <c r="E3034" s="108" t="s">
        <v>1035</v>
      </c>
      <c r="F3034" s="22"/>
      <c r="G3034" s="19"/>
      <c r="H3034" s="21" t="str">
        <f>IF(E$3200="comprobar",COUNTIF(D3033:D3037,"x"),"")</f>
        <v/>
      </c>
    </row>
    <row r="3035" spans="2:8" x14ac:dyDescent="0.2">
      <c r="B3035" s="48"/>
      <c r="C3035" s="61" t="s">
        <v>1864</v>
      </c>
      <c r="D3035" s="44"/>
      <c r="E3035" s="108" t="s">
        <v>1036</v>
      </c>
      <c r="F3035" s="23"/>
      <c r="G3035" s="19"/>
      <c r="H3035" s="24">
        <f t="shared" ref="H3035" si="872">IF(H3034=1,IF(H3033=H$2,1,-0.33),0)</f>
        <v>0</v>
      </c>
    </row>
    <row r="3036" spans="2:8" x14ac:dyDescent="0.2">
      <c r="B3036" s="48"/>
      <c r="C3036" s="61" t="s">
        <v>1865</v>
      </c>
      <c r="D3036" s="44"/>
      <c r="E3036" s="108" t="s">
        <v>1037</v>
      </c>
      <c r="F3036" s="20"/>
      <c r="G3036" s="19"/>
      <c r="H3036" s="24"/>
    </row>
    <row r="3037" spans="2:8" x14ac:dyDescent="0.2">
      <c r="B3037" s="48"/>
      <c r="C3037" s="8"/>
      <c r="D3037" s="44"/>
      <c r="E3037" s="108" t="s">
        <v>1038</v>
      </c>
      <c r="F3037" s="20"/>
      <c r="G3037" s="19"/>
      <c r="H3037" s="24"/>
    </row>
    <row r="3038" spans="2:8" x14ac:dyDescent="0.2">
      <c r="B3038" s="49">
        <v>14</v>
      </c>
      <c r="C3038" s="13" t="s">
        <v>2083</v>
      </c>
      <c r="D3038" s="45"/>
      <c r="E3038" s="14"/>
      <c r="F3038" s="30"/>
      <c r="G3038" s="29"/>
      <c r="H3038" s="15"/>
    </row>
    <row r="3039" spans="2:8" ht="32" x14ac:dyDescent="0.2">
      <c r="B3039" s="48"/>
      <c r="C3039" s="60" t="s">
        <v>2084</v>
      </c>
      <c r="D3039" s="44"/>
      <c r="E3039" s="108" t="s">
        <v>1034</v>
      </c>
      <c r="F3039" s="27"/>
      <c r="G3039" s="26"/>
      <c r="H3039" s="21" t="b">
        <f>IF(D3039="x",H$2,H$1)</f>
        <v>0</v>
      </c>
    </row>
    <row r="3040" spans="2:8" x14ac:dyDescent="0.2">
      <c r="B3040" s="48"/>
      <c r="C3040" s="61" t="s">
        <v>2085</v>
      </c>
      <c r="D3040" s="44"/>
      <c r="E3040" s="108" t="s">
        <v>1035</v>
      </c>
      <c r="F3040" s="22"/>
      <c r="G3040" s="26"/>
      <c r="H3040" s="21" t="str">
        <f>IF(E$3200="comprobar",COUNTIF(D3039:D3043,"x"),"")</f>
        <v/>
      </c>
    </row>
    <row r="3041" spans="2:8" x14ac:dyDescent="0.2">
      <c r="B3041" s="48"/>
      <c r="C3041" s="61" t="s">
        <v>2086</v>
      </c>
      <c r="D3041" s="44"/>
      <c r="E3041" s="108" t="s">
        <v>1036</v>
      </c>
      <c r="F3041" s="23"/>
      <c r="G3041" s="26"/>
      <c r="H3041" s="24">
        <f t="shared" ref="H3041" si="873">IF(H3040=1,IF(H3039=H$2,1,-0.33),0)</f>
        <v>0</v>
      </c>
    </row>
    <row r="3042" spans="2:8" x14ac:dyDescent="0.2">
      <c r="B3042" s="48"/>
      <c r="C3042" s="61" t="s">
        <v>622</v>
      </c>
      <c r="D3042" s="44"/>
      <c r="E3042" s="108" t="s">
        <v>1037</v>
      </c>
      <c r="F3042" s="28"/>
      <c r="G3042" s="26"/>
      <c r="H3042" s="24"/>
    </row>
    <row r="3043" spans="2:8" x14ac:dyDescent="0.2">
      <c r="B3043" s="48"/>
      <c r="C3043" s="8"/>
      <c r="D3043" s="44"/>
      <c r="E3043" s="108" t="s">
        <v>1038</v>
      </c>
      <c r="F3043" s="28"/>
      <c r="G3043" s="26"/>
      <c r="H3043" s="24"/>
    </row>
    <row r="3044" spans="2:8" x14ac:dyDescent="0.2">
      <c r="B3044" s="49">
        <v>15</v>
      </c>
      <c r="C3044" s="13" t="s">
        <v>2087</v>
      </c>
      <c r="D3044" s="95"/>
      <c r="E3044" s="14"/>
      <c r="F3044" s="71"/>
      <c r="G3044" s="29"/>
      <c r="H3044" s="15"/>
    </row>
    <row r="3045" spans="2:8" x14ac:dyDescent="0.2">
      <c r="B3045" s="48"/>
      <c r="C3045" s="60" t="s">
        <v>2088</v>
      </c>
      <c r="D3045" s="44"/>
      <c r="E3045" s="108" t="s">
        <v>1034</v>
      </c>
      <c r="F3045" s="28"/>
      <c r="G3045" s="55"/>
      <c r="H3045" s="21" t="b">
        <f>IF(D3048="x",H$2,H$1)</f>
        <v>0</v>
      </c>
    </row>
    <row r="3046" spans="2:8" x14ac:dyDescent="0.2">
      <c r="B3046" s="48"/>
      <c r="C3046" s="61" t="s">
        <v>2089</v>
      </c>
      <c r="D3046" s="44"/>
      <c r="E3046" s="108" t="s">
        <v>1035</v>
      </c>
      <c r="F3046" s="22"/>
      <c r="G3046" s="26"/>
      <c r="H3046" s="21" t="str">
        <f>IF(E$3200="comprobar",COUNTIF(D3045:D3049,"x"),"")</f>
        <v/>
      </c>
    </row>
    <row r="3047" spans="2:8" x14ac:dyDescent="0.2">
      <c r="B3047" s="48"/>
      <c r="C3047" s="61" t="s">
        <v>2090</v>
      </c>
      <c r="D3047" s="44"/>
      <c r="E3047" s="108" t="s">
        <v>1036</v>
      </c>
      <c r="F3047" s="23"/>
      <c r="G3047" s="26"/>
      <c r="H3047" s="24">
        <f t="shared" ref="H3047" si="874">IF(H3046=1,IF(H3045=H$2,1,-0.33),0)</f>
        <v>0</v>
      </c>
    </row>
    <row r="3048" spans="2:8" x14ac:dyDescent="0.2">
      <c r="B3048" s="48"/>
      <c r="C3048" s="61" t="s">
        <v>595</v>
      </c>
      <c r="D3048" s="44"/>
      <c r="E3048" s="108" t="s">
        <v>1037</v>
      </c>
      <c r="F3048" s="28"/>
      <c r="G3048" s="26"/>
      <c r="H3048" s="24"/>
    </row>
    <row r="3049" spans="2:8" x14ac:dyDescent="0.2">
      <c r="B3049" s="48"/>
      <c r="C3049" s="8"/>
      <c r="D3049" s="44"/>
      <c r="E3049" s="108" t="s">
        <v>1038</v>
      </c>
      <c r="F3049" s="28"/>
      <c r="G3049" s="26"/>
      <c r="H3049" s="24"/>
    </row>
    <row r="3050" spans="2:8" x14ac:dyDescent="0.2">
      <c r="B3050" s="49">
        <v>16</v>
      </c>
      <c r="C3050" s="13" t="s">
        <v>1907</v>
      </c>
      <c r="D3050" s="45"/>
      <c r="E3050" s="14"/>
      <c r="F3050" s="30"/>
      <c r="G3050" s="29"/>
      <c r="H3050" s="15"/>
    </row>
    <row r="3051" spans="2:8" x14ac:dyDescent="0.2">
      <c r="B3051" s="48"/>
      <c r="C3051" s="60" t="s">
        <v>2091</v>
      </c>
      <c r="D3051" s="44"/>
      <c r="E3051" s="108" t="s">
        <v>1034</v>
      </c>
      <c r="F3051" s="27"/>
      <c r="G3051" s="26"/>
      <c r="H3051" s="21" t="b">
        <f>IF(D3052="x",H$2,H$1)</f>
        <v>0</v>
      </c>
    </row>
    <row r="3052" spans="2:8" x14ac:dyDescent="0.2">
      <c r="B3052" s="48"/>
      <c r="C3052" s="61" t="s">
        <v>2092</v>
      </c>
      <c r="D3052" s="44"/>
      <c r="E3052" s="108" t="s">
        <v>1035</v>
      </c>
      <c r="F3052" s="22"/>
      <c r="G3052" s="26"/>
      <c r="H3052" s="21" t="str">
        <f>IF(E$3200="comprobar",COUNTIF(D3051:D3055,"x"),"")</f>
        <v/>
      </c>
    </row>
    <row r="3053" spans="2:8" x14ac:dyDescent="0.2">
      <c r="B3053" s="48"/>
      <c r="C3053" s="61" t="s">
        <v>2093</v>
      </c>
      <c r="D3053" s="44"/>
      <c r="E3053" s="108" t="s">
        <v>1036</v>
      </c>
      <c r="F3053" s="23"/>
      <c r="G3053" s="26"/>
      <c r="H3053" s="24">
        <f t="shared" ref="H3053" si="875">IF(H3052=1,IF(H3051=H$2,1,-0.33),0)</f>
        <v>0</v>
      </c>
    </row>
    <row r="3054" spans="2:8" x14ac:dyDescent="0.2">
      <c r="B3054" s="48"/>
      <c r="C3054" s="61" t="s">
        <v>595</v>
      </c>
      <c r="D3054" s="44"/>
      <c r="E3054" s="108" t="s">
        <v>1037</v>
      </c>
      <c r="F3054" s="28"/>
      <c r="G3054" s="26"/>
      <c r="H3054" s="24"/>
    </row>
    <row r="3055" spans="2:8" x14ac:dyDescent="0.2">
      <c r="B3055" s="48"/>
      <c r="C3055" s="8"/>
      <c r="D3055" s="44"/>
      <c r="E3055" s="108" t="s">
        <v>1038</v>
      </c>
      <c r="F3055" s="28"/>
      <c r="G3055" s="26"/>
      <c r="H3055" s="24"/>
    </row>
    <row r="3056" spans="2:8" x14ac:dyDescent="0.2">
      <c r="B3056" s="49">
        <v>17</v>
      </c>
      <c r="C3056" s="13" t="s">
        <v>2094</v>
      </c>
      <c r="D3056" s="45"/>
      <c r="E3056" s="14"/>
      <c r="F3056" s="30"/>
      <c r="G3056" s="29"/>
      <c r="H3056" s="15"/>
    </row>
    <row r="3057" spans="2:8" x14ac:dyDescent="0.2">
      <c r="B3057" s="48"/>
      <c r="C3057" s="60" t="s">
        <v>2095</v>
      </c>
      <c r="D3057" s="44"/>
      <c r="E3057" s="108" t="s">
        <v>1034</v>
      </c>
      <c r="F3057" s="28"/>
      <c r="G3057" s="55"/>
      <c r="H3057" s="21" t="b">
        <f>IF(D3060="x",H$2,H$1)</f>
        <v>0</v>
      </c>
    </row>
    <row r="3058" spans="2:8" x14ac:dyDescent="0.2">
      <c r="B3058" s="48"/>
      <c r="C3058" s="61" t="s">
        <v>2096</v>
      </c>
      <c r="D3058" s="44"/>
      <c r="E3058" s="108" t="s">
        <v>1035</v>
      </c>
      <c r="F3058" s="22"/>
      <c r="G3058" s="26"/>
      <c r="H3058" s="21" t="str">
        <f>IF(E$3200="comprobar",COUNTIF(D3057:D3061,"x"),"")</f>
        <v/>
      </c>
    </row>
    <row r="3059" spans="2:8" x14ac:dyDescent="0.2">
      <c r="B3059" s="48"/>
      <c r="C3059" s="61" t="s">
        <v>2097</v>
      </c>
      <c r="D3059" s="44"/>
      <c r="E3059" s="108" t="s">
        <v>1036</v>
      </c>
      <c r="F3059" s="23"/>
      <c r="G3059" s="26"/>
      <c r="H3059" s="24">
        <f t="shared" ref="H3059" si="876">IF(H3058=1,IF(H3057=H$2,1,-0.33),0)</f>
        <v>0</v>
      </c>
    </row>
    <row r="3060" spans="2:8" x14ac:dyDescent="0.2">
      <c r="B3060" s="48"/>
      <c r="C3060" s="61" t="s">
        <v>2098</v>
      </c>
      <c r="D3060" s="44"/>
      <c r="E3060" s="108" t="s">
        <v>1037</v>
      </c>
      <c r="F3060" s="28"/>
      <c r="G3060" s="26"/>
      <c r="H3060" s="24"/>
    </row>
    <row r="3061" spans="2:8" x14ac:dyDescent="0.2">
      <c r="B3061" s="48"/>
      <c r="C3061" s="8"/>
      <c r="D3061" s="44"/>
      <c r="E3061" s="108" t="s">
        <v>1038</v>
      </c>
      <c r="F3061" s="28"/>
      <c r="G3061" s="26"/>
      <c r="H3061" s="24"/>
    </row>
    <row r="3062" spans="2:8" x14ac:dyDescent="0.2">
      <c r="B3062" s="49">
        <v>18</v>
      </c>
      <c r="C3062" s="13" t="s">
        <v>1911</v>
      </c>
      <c r="D3062" s="95"/>
      <c r="E3062" s="14"/>
      <c r="F3062" s="71"/>
      <c r="G3062" s="29"/>
      <c r="H3062" s="15"/>
    </row>
    <row r="3063" spans="2:8" x14ac:dyDescent="0.2">
      <c r="B3063" s="48"/>
      <c r="C3063" s="60" t="s">
        <v>1912</v>
      </c>
      <c r="D3063" s="44"/>
      <c r="E3063" s="108" t="s">
        <v>1034</v>
      </c>
      <c r="F3063" s="27"/>
      <c r="G3063" s="26"/>
      <c r="H3063" s="21" t="b">
        <f>IF(D3066="x",H$2,H$1)</f>
        <v>0</v>
      </c>
    </row>
    <row r="3064" spans="2:8" x14ac:dyDescent="0.2">
      <c r="B3064" s="48"/>
      <c r="C3064" s="61" t="s">
        <v>1913</v>
      </c>
      <c r="D3064" s="44"/>
      <c r="E3064" s="108" t="s">
        <v>1035</v>
      </c>
      <c r="F3064" s="22"/>
      <c r="G3064" s="26"/>
      <c r="H3064" s="21" t="str">
        <f>IF(E$3200="comprobar",COUNTIF(D3063:D3067,"x"),"")</f>
        <v/>
      </c>
    </row>
    <row r="3065" spans="2:8" x14ac:dyDescent="0.2">
      <c r="B3065" s="48"/>
      <c r="C3065" s="61" t="s">
        <v>1914</v>
      </c>
      <c r="D3065" s="44"/>
      <c r="E3065" s="108" t="s">
        <v>1036</v>
      </c>
      <c r="F3065" s="23"/>
      <c r="G3065" s="26"/>
      <c r="H3065" s="24">
        <f t="shared" ref="H3065" si="877">IF(H3064=1,IF(H3063=H$2,1,-0.33),0)</f>
        <v>0</v>
      </c>
    </row>
    <row r="3066" spans="2:8" x14ac:dyDescent="0.2">
      <c r="B3066" s="48"/>
      <c r="C3066" s="61" t="s">
        <v>622</v>
      </c>
      <c r="D3066" s="44"/>
      <c r="E3066" s="108" t="s">
        <v>1037</v>
      </c>
      <c r="F3066" s="28"/>
      <c r="G3066" s="55"/>
      <c r="H3066" s="24"/>
    </row>
    <row r="3067" spans="2:8" x14ac:dyDescent="0.2">
      <c r="B3067" s="48"/>
      <c r="C3067" s="8"/>
      <c r="D3067" s="44"/>
      <c r="E3067" s="108" t="s">
        <v>1038</v>
      </c>
      <c r="F3067" s="28"/>
      <c r="G3067" s="26"/>
      <c r="H3067" s="24"/>
    </row>
    <row r="3068" spans="2:8" x14ac:dyDescent="0.2">
      <c r="B3068" s="49">
        <v>19</v>
      </c>
      <c r="C3068" s="13" t="s">
        <v>1946</v>
      </c>
      <c r="D3068" s="45"/>
      <c r="E3068" s="14"/>
      <c r="F3068" s="30"/>
      <c r="G3068" s="29"/>
      <c r="H3068" s="15"/>
    </row>
    <row r="3069" spans="2:8" x14ac:dyDescent="0.2">
      <c r="B3069" s="48"/>
      <c r="C3069" s="60" t="s">
        <v>2099</v>
      </c>
      <c r="D3069" s="44"/>
      <c r="E3069" s="108" t="s">
        <v>1034</v>
      </c>
      <c r="F3069" s="27"/>
      <c r="G3069" s="26"/>
      <c r="H3069" s="21" t="b">
        <f>IF(D3072="x",H$2,H$1)</f>
        <v>0</v>
      </c>
    </row>
    <row r="3070" spans="2:8" x14ac:dyDescent="0.2">
      <c r="B3070" s="48"/>
      <c r="C3070" s="61" t="s">
        <v>2100</v>
      </c>
      <c r="D3070" s="44"/>
      <c r="E3070" s="108" t="s">
        <v>1035</v>
      </c>
      <c r="F3070" s="22"/>
      <c r="G3070" s="26"/>
      <c r="H3070" s="21" t="str">
        <f>IF(E$3200="comprobar",COUNTIF(D3069:D3073,"x"),"")</f>
        <v/>
      </c>
    </row>
    <row r="3071" spans="2:8" x14ac:dyDescent="0.2">
      <c r="B3071" s="48"/>
      <c r="C3071" s="61" t="s">
        <v>2101</v>
      </c>
      <c r="D3071" s="44"/>
      <c r="E3071" s="108" t="s">
        <v>1036</v>
      </c>
      <c r="F3071" s="23"/>
      <c r="G3071" s="26"/>
      <c r="H3071" s="24">
        <f t="shared" ref="H3071" si="878">IF(H3070=1,IF(H3069=H$2,1,-0.33),0)</f>
        <v>0</v>
      </c>
    </row>
    <row r="3072" spans="2:8" x14ac:dyDescent="0.2">
      <c r="B3072" s="48"/>
      <c r="C3072" s="61" t="s">
        <v>2037</v>
      </c>
      <c r="D3072" s="44"/>
      <c r="E3072" s="108" t="s">
        <v>1037</v>
      </c>
      <c r="F3072" s="28"/>
      <c r="G3072" s="26"/>
      <c r="H3072" s="24"/>
    </row>
    <row r="3073" spans="2:8" x14ac:dyDescent="0.2">
      <c r="B3073" s="48"/>
      <c r="C3073" s="8"/>
      <c r="D3073" s="44"/>
      <c r="E3073" s="108" t="s">
        <v>1038</v>
      </c>
      <c r="F3073" s="28"/>
      <c r="G3073" s="26"/>
      <c r="H3073" s="24"/>
    </row>
    <row r="3074" spans="2:8" x14ac:dyDescent="0.2">
      <c r="B3074" s="49">
        <v>20</v>
      </c>
      <c r="C3074" s="13" t="s">
        <v>50</v>
      </c>
      <c r="D3074" s="45"/>
      <c r="E3074" s="14"/>
      <c r="F3074" s="30"/>
      <c r="G3074" s="29"/>
      <c r="H3074" s="15"/>
    </row>
    <row r="3075" spans="2:8" x14ac:dyDescent="0.2">
      <c r="B3075" s="48"/>
      <c r="C3075" s="60" t="s">
        <v>1968</v>
      </c>
      <c r="D3075" s="44"/>
      <c r="E3075" s="108" t="s">
        <v>1034</v>
      </c>
      <c r="F3075" s="28"/>
      <c r="G3075" s="55"/>
      <c r="H3075" s="21" t="b">
        <f>IF(D3076="x",H$2,H$1)</f>
        <v>0</v>
      </c>
    </row>
    <row r="3076" spans="2:8" ht="32" x14ac:dyDescent="0.2">
      <c r="B3076" s="48"/>
      <c r="C3076" s="61" t="s">
        <v>1969</v>
      </c>
      <c r="D3076" s="44"/>
      <c r="E3076" s="108" t="s">
        <v>1035</v>
      </c>
      <c r="F3076" s="22"/>
      <c r="G3076" s="26"/>
      <c r="H3076" s="21" t="str">
        <f>IF(E$3200="comprobar",COUNTIF(D3075:D3079,"x"),"")</f>
        <v/>
      </c>
    </row>
    <row r="3077" spans="2:8" x14ac:dyDescent="0.2">
      <c r="B3077" s="48"/>
      <c r="C3077" s="61" t="s">
        <v>1970</v>
      </c>
      <c r="D3077" s="44"/>
      <c r="E3077" s="108" t="s">
        <v>1036</v>
      </c>
      <c r="F3077" s="23"/>
      <c r="G3077" s="26"/>
      <c r="H3077" s="24">
        <f t="shared" ref="H3077" si="879">IF(H3076=1,IF(H3075=H$2,1,-0.33),0)</f>
        <v>0</v>
      </c>
    </row>
    <row r="3078" spans="2:8" x14ac:dyDescent="0.2">
      <c r="B3078" s="48"/>
      <c r="C3078" s="61" t="s">
        <v>622</v>
      </c>
      <c r="D3078" s="44"/>
      <c r="E3078" s="108" t="s">
        <v>1037</v>
      </c>
      <c r="F3078" s="28"/>
      <c r="G3078" s="26"/>
      <c r="H3078" s="24"/>
    </row>
    <row r="3079" spans="2:8" x14ac:dyDescent="0.2">
      <c r="B3079" s="48"/>
      <c r="C3079" s="8"/>
      <c r="D3079" s="44"/>
      <c r="E3079" s="108" t="s">
        <v>1038</v>
      </c>
      <c r="F3079" s="20"/>
      <c r="G3079" s="19"/>
      <c r="H3079" s="24"/>
    </row>
    <row r="3080" spans="2:8" x14ac:dyDescent="0.2">
      <c r="B3080" s="49">
        <v>21</v>
      </c>
      <c r="C3080" s="13" t="s">
        <v>1935</v>
      </c>
      <c r="D3080" s="14"/>
      <c r="E3080" s="14"/>
      <c r="F3080" s="16"/>
      <c r="G3080" s="15"/>
      <c r="H3080" s="15"/>
    </row>
    <row r="3081" spans="2:8" x14ac:dyDescent="0.2">
      <c r="B3081" s="48"/>
      <c r="C3081" s="60" t="s">
        <v>1936</v>
      </c>
      <c r="D3081" s="44"/>
      <c r="E3081" s="108" t="s">
        <v>1034</v>
      </c>
      <c r="F3081" s="20"/>
      <c r="G3081" s="19"/>
      <c r="H3081" s="21" t="b">
        <f>IF(D3083="x",H$2,H$1)</f>
        <v>0</v>
      </c>
    </row>
    <row r="3082" spans="2:8" x14ac:dyDescent="0.2">
      <c r="B3082" s="48"/>
      <c r="C3082" s="61" t="s">
        <v>1937</v>
      </c>
      <c r="D3082" s="44"/>
      <c r="E3082" s="108" t="s">
        <v>1035</v>
      </c>
      <c r="F3082" s="22"/>
      <c r="G3082" s="19"/>
      <c r="H3082" s="21" t="str">
        <f>IF(E$3200="comprobar",COUNTIF(D3081:D3085,"x"),"")</f>
        <v/>
      </c>
    </row>
    <row r="3083" spans="2:8" x14ac:dyDescent="0.2">
      <c r="B3083" s="48"/>
      <c r="C3083" s="61" t="s">
        <v>1938</v>
      </c>
      <c r="D3083" s="44"/>
      <c r="E3083" s="108" t="s">
        <v>1036</v>
      </c>
      <c r="F3083" s="23"/>
      <c r="G3083" s="19"/>
      <c r="H3083" s="24">
        <f>IF(H3082=1,IF(H3081=H$2,1,-0.33),0)</f>
        <v>0</v>
      </c>
    </row>
    <row r="3084" spans="2:8" x14ac:dyDescent="0.2">
      <c r="B3084" s="48"/>
      <c r="C3084" s="61" t="s">
        <v>1931</v>
      </c>
      <c r="D3084" s="44"/>
      <c r="E3084" s="108" t="s">
        <v>1037</v>
      </c>
      <c r="F3084" s="20"/>
      <c r="G3084" s="19"/>
      <c r="H3084" s="24"/>
    </row>
    <row r="3085" spans="2:8" x14ac:dyDescent="0.2">
      <c r="B3085" s="48"/>
      <c r="C3085" s="8"/>
      <c r="D3085" s="44"/>
      <c r="E3085" s="108" t="s">
        <v>1038</v>
      </c>
      <c r="F3085" s="20"/>
      <c r="G3085" s="19"/>
      <c r="H3085" s="24"/>
    </row>
    <row r="3086" spans="2:8" x14ac:dyDescent="0.2">
      <c r="B3086" s="49">
        <v>22</v>
      </c>
      <c r="C3086" s="13" t="s">
        <v>1959</v>
      </c>
      <c r="D3086" s="45"/>
      <c r="E3086" s="14"/>
      <c r="F3086" s="16"/>
      <c r="G3086" s="15"/>
      <c r="H3086" s="15"/>
    </row>
    <row r="3087" spans="2:8" x14ac:dyDescent="0.2">
      <c r="B3087" s="48"/>
      <c r="C3087" s="60" t="s">
        <v>2102</v>
      </c>
      <c r="D3087" s="44"/>
      <c r="E3087" s="108" t="s">
        <v>1034</v>
      </c>
      <c r="F3087" s="20"/>
      <c r="G3087" s="19"/>
      <c r="H3087" s="21" t="b">
        <f>IF(D3089="x",H$2,H$1)</f>
        <v>0</v>
      </c>
    </row>
    <row r="3088" spans="2:8" x14ac:dyDescent="0.2">
      <c r="B3088" s="48"/>
      <c r="C3088" s="61" t="s">
        <v>2103</v>
      </c>
      <c r="D3088" s="44"/>
      <c r="E3088" s="108" t="s">
        <v>1035</v>
      </c>
      <c r="F3088" s="22"/>
      <c r="G3088" s="19"/>
      <c r="H3088" s="21" t="str">
        <f>IF(E$3200="comprobar",COUNTIF(D3087:D3091,"x"),"")</f>
        <v/>
      </c>
    </row>
    <row r="3089" spans="2:8" x14ac:dyDescent="0.2">
      <c r="B3089" s="48"/>
      <c r="C3089" s="61" t="s">
        <v>2104</v>
      </c>
      <c r="D3089" s="44"/>
      <c r="E3089" s="108" t="s">
        <v>1036</v>
      </c>
      <c r="F3089" s="23"/>
      <c r="G3089" s="19"/>
      <c r="H3089" s="24">
        <f t="shared" ref="H3089" si="880">IF(H3088=1,IF(H3087=H$2,1,-0.33),0)</f>
        <v>0</v>
      </c>
    </row>
    <row r="3090" spans="2:8" x14ac:dyDescent="0.2">
      <c r="B3090" s="48"/>
      <c r="C3090" s="61" t="s">
        <v>2037</v>
      </c>
      <c r="D3090" s="44"/>
      <c r="E3090" s="108" t="s">
        <v>1037</v>
      </c>
      <c r="F3090" s="20"/>
      <c r="G3090" s="19"/>
      <c r="H3090" s="24"/>
    </row>
    <row r="3091" spans="2:8" x14ac:dyDescent="0.2">
      <c r="B3091" s="48"/>
      <c r="C3091" s="8"/>
      <c r="D3091" s="44"/>
      <c r="E3091" s="108" t="s">
        <v>1038</v>
      </c>
      <c r="F3091" s="20"/>
      <c r="G3091" s="19"/>
      <c r="H3091" s="24"/>
    </row>
    <row r="3092" spans="2:8" x14ac:dyDescent="0.2">
      <c r="B3092" s="49">
        <v>23</v>
      </c>
      <c r="C3092" s="13" t="s">
        <v>1930</v>
      </c>
      <c r="D3092" s="45"/>
      <c r="E3092" s="14"/>
      <c r="F3092" s="16"/>
      <c r="G3092" s="15"/>
      <c r="H3092" s="15"/>
    </row>
    <row r="3093" spans="2:8" x14ac:dyDescent="0.2">
      <c r="B3093" s="48"/>
      <c r="C3093" s="60" t="s">
        <v>1931</v>
      </c>
      <c r="D3093" s="44"/>
      <c r="E3093" s="108" t="s">
        <v>1034</v>
      </c>
      <c r="F3093" s="20"/>
      <c r="G3093" s="19"/>
      <c r="H3093" s="21" t="b">
        <f>IF(D3095="x",H$2,H$1)</f>
        <v>0</v>
      </c>
    </row>
    <row r="3094" spans="2:8" x14ac:dyDescent="0.2">
      <c r="B3094" s="48"/>
      <c r="C3094" s="61" t="s">
        <v>1932</v>
      </c>
      <c r="D3094" s="44"/>
      <c r="E3094" s="108" t="s">
        <v>1035</v>
      </c>
      <c r="F3094" s="22"/>
      <c r="G3094" s="19"/>
      <c r="H3094" s="21" t="str">
        <f>IF(E$3200="comprobar",COUNTIF(D3093:D3097,"x"),"")</f>
        <v/>
      </c>
    </row>
    <row r="3095" spans="2:8" x14ac:dyDescent="0.2">
      <c r="B3095" s="48"/>
      <c r="C3095" s="61" t="s">
        <v>1933</v>
      </c>
      <c r="D3095" s="44"/>
      <c r="E3095" s="108" t="s">
        <v>1036</v>
      </c>
      <c r="F3095" s="23"/>
      <c r="G3095" s="19"/>
      <c r="H3095" s="24">
        <f t="shared" ref="H3095" si="881">IF(H3094=1,IF(H3093=H$2,1,-0.33),0)</f>
        <v>0</v>
      </c>
    </row>
    <row r="3096" spans="2:8" x14ac:dyDescent="0.2">
      <c r="B3096" s="48"/>
      <c r="C3096" s="61" t="s">
        <v>1934</v>
      </c>
      <c r="D3096" s="44"/>
      <c r="E3096" s="108" t="s">
        <v>1037</v>
      </c>
      <c r="F3096" s="20"/>
      <c r="G3096" s="19"/>
      <c r="H3096" s="24"/>
    </row>
    <row r="3097" spans="2:8" x14ac:dyDescent="0.2">
      <c r="B3097" s="48"/>
      <c r="C3097" s="8"/>
      <c r="D3097" s="44"/>
      <c r="E3097" s="108" t="s">
        <v>1038</v>
      </c>
      <c r="F3097" s="20"/>
      <c r="G3097" s="19"/>
      <c r="H3097" s="24"/>
    </row>
    <row r="3098" spans="2:8" x14ac:dyDescent="0.2">
      <c r="B3098" s="49">
        <v>24</v>
      </c>
      <c r="C3098" s="13" t="s">
        <v>1963</v>
      </c>
      <c r="D3098" s="45"/>
      <c r="E3098" s="14"/>
      <c r="F3098" s="16"/>
      <c r="G3098" s="15"/>
      <c r="H3098" s="15"/>
    </row>
    <row r="3099" spans="2:8" x14ac:dyDescent="0.2">
      <c r="B3099" s="48"/>
      <c r="C3099" s="60" t="s">
        <v>1964</v>
      </c>
      <c r="D3099" s="44"/>
      <c r="E3099" s="108" t="s">
        <v>1034</v>
      </c>
      <c r="F3099" s="20"/>
      <c r="G3099" s="19"/>
      <c r="H3099" s="21" t="b">
        <f>IF(D3100="x",H$2,H$1)</f>
        <v>0</v>
      </c>
    </row>
    <row r="3100" spans="2:8" x14ac:dyDescent="0.2">
      <c r="B3100" s="48"/>
      <c r="C3100" s="61" t="s">
        <v>1965</v>
      </c>
      <c r="D3100" s="44"/>
      <c r="E3100" s="108" t="s">
        <v>1035</v>
      </c>
      <c r="F3100" s="22"/>
      <c r="G3100" s="19"/>
      <c r="H3100" s="21" t="str">
        <f>IF(E$3200="comprobar",COUNTIF(D3099:D3103,"x"),"")</f>
        <v/>
      </c>
    </row>
    <row r="3101" spans="2:8" x14ac:dyDescent="0.2">
      <c r="B3101" s="48"/>
      <c r="C3101" s="61" t="s">
        <v>1966</v>
      </c>
      <c r="D3101" s="44"/>
      <c r="E3101" s="108" t="s">
        <v>1036</v>
      </c>
      <c r="F3101" s="23"/>
      <c r="G3101" s="19"/>
      <c r="H3101" s="24">
        <f t="shared" ref="H3101" si="882">IF(H3100=1,IF(H3099=H$2,1,-0.33),0)</f>
        <v>0</v>
      </c>
    </row>
    <row r="3102" spans="2:8" x14ac:dyDescent="0.2">
      <c r="B3102" s="48"/>
      <c r="C3102" s="61" t="s">
        <v>2105</v>
      </c>
      <c r="D3102" s="44"/>
      <c r="E3102" s="108" t="s">
        <v>1037</v>
      </c>
      <c r="F3102" s="20"/>
      <c r="G3102" s="19"/>
      <c r="H3102" s="24"/>
    </row>
    <row r="3103" spans="2:8" x14ac:dyDescent="0.2">
      <c r="B3103" s="48"/>
      <c r="C3103" s="8"/>
      <c r="D3103" s="44"/>
      <c r="E3103" s="108" t="s">
        <v>1038</v>
      </c>
      <c r="F3103" s="20"/>
      <c r="G3103" s="19"/>
      <c r="H3103" s="24"/>
    </row>
    <row r="3104" spans="2:8" x14ac:dyDescent="0.2">
      <c r="B3104" s="49">
        <v>25</v>
      </c>
      <c r="C3104" s="13" t="s">
        <v>2106</v>
      </c>
      <c r="D3104" s="45"/>
      <c r="E3104" s="14"/>
      <c r="F3104" s="16"/>
      <c r="G3104" s="15"/>
      <c r="H3104" s="15"/>
    </row>
    <row r="3105" spans="2:8" x14ac:dyDescent="0.2">
      <c r="B3105" s="48"/>
      <c r="C3105" s="60" t="s">
        <v>1983</v>
      </c>
      <c r="D3105" s="44"/>
      <c r="E3105" s="108" t="s">
        <v>1034</v>
      </c>
      <c r="F3105" s="20"/>
      <c r="G3105" s="19"/>
      <c r="H3105" s="21" t="b">
        <f>IF(D3106="x",H$2,H$1)</f>
        <v>0</v>
      </c>
    </row>
    <row r="3106" spans="2:8" ht="32" x14ac:dyDescent="0.2">
      <c r="B3106" s="48"/>
      <c r="C3106" s="61" t="s">
        <v>1984</v>
      </c>
      <c r="D3106" s="44"/>
      <c r="E3106" s="108" t="s">
        <v>1035</v>
      </c>
      <c r="F3106" s="22"/>
      <c r="G3106" s="19"/>
      <c r="H3106" s="21" t="str">
        <f>IF(E$3200="comprobar",COUNTIF(D3105:D3109,"x"),"")</f>
        <v/>
      </c>
    </row>
    <row r="3107" spans="2:8" ht="32" x14ac:dyDescent="0.2">
      <c r="B3107" s="48"/>
      <c r="C3107" s="61" t="s">
        <v>1985</v>
      </c>
      <c r="D3107" s="44"/>
      <c r="E3107" s="108" t="s">
        <v>1036</v>
      </c>
      <c r="F3107" s="23"/>
      <c r="G3107" s="19"/>
      <c r="H3107" s="24">
        <f t="shared" ref="H3107" si="883">IF(H3106=1,IF(H3105=H$2,1,-0.33),0)</f>
        <v>0</v>
      </c>
    </row>
    <row r="3108" spans="2:8" x14ac:dyDescent="0.2">
      <c r="B3108" s="48"/>
      <c r="C3108" s="61" t="s">
        <v>1986</v>
      </c>
      <c r="D3108" s="44"/>
      <c r="E3108" s="108" t="s">
        <v>1037</v>
      </c>
      <c r="F3108" s="20"/>
      <c r="G3108" s="19"/>
      <c r="H3108" s="24"/>
    </row>
    <row r="3109" spans="2:8" x14ac:dyDescent="0.2">
      <c r="B3109" s="48"/>
      <c r="C3109" s="8"/>
      <c r="D3109" s="44"/>
      <c r="E3109" s="108" t="s">
        <v>1038</v>
      </c>
      <c r="F3109" s="20"/>
      <c r="G3109" s="19"/>
      <c r="H3109" s="24"/>
    </row>
    <row r="3110" spans="2:8" x14ac:dyDescent="0.2">
      <c r="B3110" s="49">
        <v>26</v>
      </c>
      <c r="C3110" s="13" t="s">
        <v>50</v>
      </c>
      <c r="D3110" s="45"/>
      <c r="E3110" s="14"/>
      <c r="F3110" s="16"/>
      <c r="G3110" s="15"/>
      <c r="H3110" s="15"/>
    </row>
    <row r="3111" spans="2:8" x14ac:dyDescent="0.2">
      <c r="B3111" s="48"/>
      <c r="C3111" s="60" t="s">
        <v>2107</v>
      </c>
      <c r="D3111" s="44"/>
      <c r="E3111" s="108" t="s">
        <v>1034</v>
      </c>
      <c r="F3111" s="20"/>
      <c r="G3111" s="19"/>
      <c r="H3111" s="21" t="b">
        <f>IF(D3114="x",H$2,H$1)</f>
        <v>0</v>
      </c>
    </row>
    <row r="3112" spans="2:8" x14ac:dyDescent="0.2">
      <c r="B3112" s="48"/>
      <c r="C3112" s="61" t="s">
        <v>2108</v>
      </c>
      <c r="D3112" s="44"/>
      <c r="E3112" s="108" t="s">
        <v>1035</v>
      </c>
      <c r="F3112" s="22"/>
      <c r="G3112" s="19"/>
      <c r="H3112" s="21" t="str">
        <f>IF(E$3200="comprobar",COUNTIF(D3111:D3115,"x"),"")</f>
        <v/>
      </c>
    </row>
    <row r="3113" spans="2:8" x14ac:dyDescent="0.2">
      <c r="B3113" s="48"/>
      <c r="C3113" s="61" t="s">
        <v>2109</v>
      </c>
      <c r="D3113" s="44"/>
      <c r="E3113" s="108" t="s">
        <v>1036</v>
      </c>
      <c r="F3113" s="23"/>
      <c r="G3113" s="19"/>
      <c r="H3113" s="24">
        <f t="shared" ref="H3113" si="884">IF(H3112=1,IF(H3111=H$2,1,-0.33),0)</f>
        <v>0</v>
      </c>
    </row>
    <row r="3114" spans="2:8" x14ac:dyDescent="0.2">
      <c r="B3114" s="48"/>
      <c r="C3114" s="61" t="s">
        <v>622</v>
      </c>
      <c r="D3114" s="44"/>
      <c r="E3114" s="108" t="s">
        <v>1037</v>
      </c>
      <c r="F3114" s="20"/>
      <c r="G3114" s="19"/>
      <c r="H3114" s="24"/>
    </row>
    <row r="3115" spans="2:8" x14ac:dyDescent="0.2">
      <c r="B3115" s="48"/>
      <c r="C3115" s="8"/>
      <c r="D3115" s="44"/>
      <c r="E3115" s="108" t="s">
        <v>1038</v>
      </c>
      <c r="F3115" s="20"/>
      <c r="G3115" s="19"/>
      <c r="H3115" s="24"/>
    </row>
    <row r="3116" spans="2:8" x14ac:dyDescent="0.2">
      <c r="B3116" s="49">
        <v>27</v>
      </c>
      <c r="C3116" s="13" t="s">
        <v>2001</v>
      </c>
      <c r="D3116" s="45"/>
      <c r="E3116" s="14"/>
      <c r="F3116" s="16"/>
      <c r="G3116" s="15"/>
      <c r="H3116" s="15"/>
    </row>
    <row r="3117" spans="2:8" x14ac:dyDescent="0.2">
      <c r="B3117" s="48"/>
      <c r="C3117" s="60" t="s">
        <v>2002</v>
      </c>
      <c r="D3117" s="44"/>
      <c r="E3117" s="108" t="s">
        <v>1034</v>
      </c>
      <c r="F3117" s="20"/>
      <c r="G3117" s="19"/>
      <c r="H3117" s="21" t="b">
        <f>IF(D3120="x",H$2,H$1)</f>
        <v>0</v>
      </c>
    </row>
    <row r="3118" spans="2:8" x14ac:dyDescent="0.2">
      <c r="B3118" s="48"/>
      <c r="C3118" s="61" t="s">
        <v>2003</v>
      </c>
      <c r="D3118" s="44"/>
      <c r="E3118" s="108" t="s">
        <v>1035</v>
      </c>
      <c r="F3118" s="22"/>
      <c r="G3118" s="19"/>
      <c r="H3118" s="21" t="str">
        <f>IF(E$3200="comprobar",COUNTIF(D3117:D3121,"x"),"")</f>
        <v/>
      </c>
    </row>
    <row r="3119" spans="2:8" x14ac:dyDescent="0.2">
      <c r="B3119" s="48"/>
      <c r="C3119" s="61" t="s">
        <v>2004</v>
      </c>
      <c r="D3119" s="44"/>
      <c r="E3119" s="108" t="s">
        <v>1036</v>
      </c>
      <c r="F3119" s="23"/>
      <c r="G3119" s="19"/>
      <c r="H3119" s="24">
        <f t="shared" ref="H3119" si="885">IF(H3118=1,IF(H3117=H$2,1,-0.33),0)</f>
        <v>0</v>
      </c>
    </row>
    <row r="3120" spans="2:8" x14ac:dyDescent="0.2">
      <c r="B3120" s="48"/>
      <c r="C3120" s="61" t="s">
        <v>595</v>
      </c>
      <c r="D3120" s="44"/>
      <c r="E3120" s="108" t="s">
        <v>1037</v>
      </c>
      <c r="F3120" s="20"/>
      <c r="G3120" s="19"/>
      <c r="H3120" s="24"/>
    </row>
    <row r="3121" spans="2:8" x14ac:dyDescent="0.2">
      <c r="B3121" s="48"/>
      <c r="C3121" s="8"/>
      <c r="D3121" s="44"/>
      <c r="E3121" s="108" t="s">
        <v>1038</v>
      </c>
      <c r="F3121" s="20"/>
      <c r="G3121" s="19"/>
      <c r="H3121" s="24"/>
    </row>
    <row r="3122" spans="2:8" x14ac:dyDescent="0.2">
      <c r="B3122" s="49">
        <v>28</v>
      </c>
      <c r="C3122" s="13" t="s">
        <v>2000</v>
      </c>
      <c r="D3122" s="45"/>
      <c r="E3122" s="14"/>
      <c r="F3122" s="16"/>
      <c r="G3122" s="15"/>
      <c r="H3122" s="15"/>
    </row>
    <row r="3123" spans="2:8" x14ac:dyDescent="0.2">
      <c r="B3123" s="48"/>
      <c r="C3123" s="60" t="s">
        <v>1983</v>
      </c>
      <c r="D3123" s="44"/>
      <c r="E3123" s="108" t="s">
        <v>1034</v>
      </c>
      <c r="F3123" s="20"/>
      <c r="G3123" s="19"/>
      <c r="H3123" s="21" t="b">
        <f>IF(D3126="x",H$2,H$1)</f>
        <v>0</v>
      </c>
    </row>
    <row r="3124" spans="2:8" ht="32" x14ac:dyDescent="0.2">
      <c r="B3124" s="48"/>
      <c r="C3124" s="61" t="s">
        <v>1984</v>
      </c>
      <c r="D3124" s="44"/>
      <c r="E3124" s="108" t="s">
        <v>1035</v>
      </c>
      <c r="F3124" s="22"/>
      <c r="G3124" s="19"/>
      <c r="H3124" s="21" t="str">
        <f>IF(E$3200="comprobar",COUNTIF(D3123:D3127,"x"),"")</f>
        <v/>
      </c>
    </row>
    <row r="3125" spans="2:8" ht="32" x14ac:dyDescent="0.2">
      <c r="B3125" s="48"/>
      <c r="C3125" s="61" t="s">
        <v>1985</v>
      </c>
      <c r="D3125" s="44"/>
      <c r="E3125" s="108" t="s">
        <v>1036</v>
      </c>
      <c r="F3125" s="23"/>
      <c r="G3125" s="19"/>
      <c r="H3125" s="24">
        <f t="shared" ref="H3125" si="886">IF(H3124=1,IF(H3123=H$2,1,-0.33),0)</f>
        <v>0</v>
      </c>
    </row>
    <row r="3126" spans="2:8" x14ac:dyDescent="0.2">
      <c r="B3126" s="48"/>
      <c r="C3126" s="61" t="s">
        <v>1986</v>
      </c>
      <c r="D3126" s="44"/>
      <c r="E3126" s="108" t="s">
        <v>1037</v>
      </c>
      <c r="F3126" s="20"/>
      <c r="G3126" s="19"/>
      <c r="H3126" s="24"/>
    </row>
    <row r="3127" spans="2:8" x14ac:dyDescent="0.2">
      <c r="B3127" s="48"/>
      <c r="C3127" s="8"/>
      <c r="D3127" s="44"/>
      <c r="E3127" s="108" t="s">
        <v>1038</v>
      </c>
      <c r="F3127" s="20"/>
      <c r="G3127" s="19"/>
      <c r="H3127" s="24"/>
    </row>
    <row r="3128" spans="2:8" x14ac:dyDescent="0.2">
      <c r="B3128" s="49">
        <v>29</v>
      </c>
      <c r="C3128" s="13" t="s">
        <v>2110</v>
      </c>
      <c r="D3128" s="45"/>
      <c r="E3128" s="14"/>
      <c r="F3128" s="16"/>
      <c r="G3128" s="15"/>
      <c r="H3128" s="15"/>
    </row>
    <row r="3129" spans="2:8" x14ac:dyDescent="0.2">
      <c r="B3129" s="48"/>
      <c r="C3129" s="60" t="s">
        <v>2111</v>
      </c>
      <c r="D3129" s="44"/>
      <c r="E3129" s="108" t="s">
        <v>1034</v>
      </c>
      <c r="F3129" s="20"/>
      <c r="G3129" s="19"/>
      <c r="H3129" s="21" t="b">
        <f>IF(D3129="x",H$2,H$1)</f>
        <v>0</v>
      </c>
    </row>
    <row r="3130" spans="2:8" x14ac:dyDescent="0.2">
      <c r="B3130" s="48"/>
      <c r="C3130" s="61" t="s">
        <v>2112</v>
      </c>
      <c r="D3130" s="44"/>
      <c r="E3130" s="108" t="s">
        <v>1035</v>
      </c>
      <c r="F3130" s="22"/>
      <c r="G3130" s="19"/>
      <c r="H3130" s="21" t="str">
        <f>IF(E$3200="comprobar",COUNTIF(D3129:D3133,"x"),"")</f>
        <v/>
      </c>
    </row>
    <row r="3131" spans="2:8" x14ac:dyDescent="0.2">
      <c r="B3131" s="48"/>
      <c r="C3131" s="61" t="s">
        <v>2113</v>
      </c>
      <c r="D3131" s="44"/>
      <c r="E3131" s="108" t="s">
        <v>1036</v>
      </c>
      <c r="F3131" s="23"/>
      <c r="G3131" s="19"/>
      <c r="H3131" s="24">
        <f t="shared" ref="H3131" si="887">IF(H3130=1,IF(H3129=H$2,1,-0.33),0)</f>
        <v>0</v>
      </c>
    </row>
    <row r="3132" spans="2:8" x14ac:dyDescent="0.2">
      <c r="B3132" s="48"/>
      <c r="C3132" s="61" t="s">
        <v>595</v>
      </c>
      <c r="D3132" s="44"/>
      <c r="E3132" s="108" t="s">
        <v>1037</v>
      </c>
      <c r="F3132" s="20"/>
      <c r="G3132" s="19"/>
      <c r="H3132" s="24"/>
    </row>
    <row r="3133" spans="2:8" x14ac:dyDescent="0.2">
      <c r="B3133" s="48"/>
      <c r="C3133" s="8"/>
      <c r="D3133" s="44"/>
      <c r="E3133" s="108" t="s">
        <v>1038</v>
      </c>
      <c r="F3133" s="12"/>
      <c r="G3133" s="19"/>
      <c r="H3133" s="24"/>
    </row>
    <row r="3134" spans="2:8" x14ac:dyDescent="0.2">
      <c r="B3134" s="49">
        <v>30</v>
      </c>
      <c r="C3134" s="13" t="s">
        <v>1978</v>
      </c>
      <c r="D3134" s="45"/>
      <c r="E3134" s="14"/>
      <c r="F3134" s="30"/>
      <c r="G3134" s="29"/>
      <c r="H3134" s="15"/>
    </row>
    <row r="3135" spans="2:8" x14ac:dyDescent="0.2">
      <c r="B3135" s="48"/>
      <c r="C3135" s="60" t="s">
        <v>1979</v>
      </c>
      <c r="D3135" s="44"/>
      <c r="E3135" s="108" t="s">
        <v>1034</v>
      </c>
      <c r="F3135" s="27"/>
      <c r="G3135" s="26"/>
      <c r="H3135" s="21" t="b">
        <f>IF(D3138="x",H$2,H$1)</f>
        <v>0</v>
      </c>
    </row>
    <row r="3136" spans="2:8" x14ac:dyDescent="0.2">
      <c r="B3136" s="48"/>
      <c r="C3136" s="61" t="s">
        <v>1980</v>
      </c>
      <c r="D3136" s="44"/>
      <c r="E3136" s="108" t="s">
        <v>1035</v>
      </c>
      <c r="F3136" s="22"/>
      <c r="G3136" s="26"/>
      <c r="H3136" s="21" t="str">
        <f>IF(E$3200="comprobar",COUNTIF(D3135:D3139,"x"),"")</f>
        <v/>
      </c>
    </row>
    <row r="3137" spans="2:8" x14ac:dyDescent="0.2">
      <c r="B3137" s="48"/>
      <c r="C3137" s="61" t="s">
        <v>1981</v>
      </c>
      <c r="D3137" s="44"/>
      <c r="E3137" s="108" t="s">
        <v>1036</v>
      </c>
      <c r="F3137" s="23"/>
      <c r="G3137" s="26"/>
      <c r="H3137" s="24">
        <f t="shared" ref="H3137" si="888">IF(H3136=1,IF(H3135=H$2,1,-0.33),0)</f>
        <v>0</v>
      </c>
    </row>
    <row r="3138" spans="2:8" x14ac:dyDescent="0.2">
      <c r="B3138" s="48"/>
      <c r="C3138" s="61" t="s">
        <v>605</v>
      </c>
      <c r="D3138" s="44"/>
      <c r="E3138" s="108" t="s">
        <v>1037</v>
      </c>
      <c r="F3138" s="28"/>
      <c r="G3138" s="26"/>
      <c r="H3138" s="24"/>
    </row>
    <row r="3139" spans="2:8" x14ac:dyDescent="0.2">
      <c r="B3139" s="48"/>
      <c r="C3139" s="8"/>
      <c r="D3139" s="44"/>
      <c r="E3139" s="108" t="s">
        <v>1038</v>
      </c>
      <c r="F3139" s="28"/>
      <c r="G3139" s="26"/>
      <c r="H3139" s="24"/>
    </row>
    <row r="3140" spans="2:8" x14ac:dyDescent="0.2">
      <c r="B3140" s="49">
        <v>31</v>
      </c>
      <c r="C3140" s="13" t="s">
        <v>50</v>
      </c>
      <c r="D3140" s="45"/>
      <c r="E3140" s="14"/>
      <c r="F3140" s="30"/>
      <c r="G3140" s="29"/>
      <c r="H3140" s="15"/>
    </row>
    <row r="3141" spans="2:8" x14ac:dyDescent="0.2">
      <c r="B3141" s="48"/>
      <c r="C3141" s="60" t="s">
        <v>2114</v>
      </c>
      <c r="D3141" s="44"/>
      <c r="E3141" s="108" t="s">
        <v>1034</v>
      </c>
      <c r="F3141" s="27"/>
      <c r="G3141" s="26"/>
      <c r="H3141" s="21" t="b">
        <f>IF(D3144="x",H$2,H$1)</f>
        <v>0</v>
      </c>
    </row>
    <row r="3142" spans="2:8" x14ac:dyDescent="0.2">
      <c r="B3142" s="48"/>
      <c r="C3142" s="61" t="s">
        <v>2115</v>
      </c>
      <c r="D3142" s="44"/>
      <c r="E3142" s="108" t="s">
        <v>1035</v>
      </c>
      <c r="F3142" s="22"/>
      <c r="G3142" s="26"/>
      <c r="H3142" s="21" t="str">
        <f>IF(E$3200="comprobar",COUNTIF(D3141:D3145,"x"),"")</f>
        <v/>
      </c>
    </row>
    <row r="3143" spans="2:8" x14ac:dyDescent="0.2">
      <c r="B3143" s="48"/>
      <c r="C3143" s="61" t="s">
        <v>2116</v>
      </c>
      <c r="D3143" s="44"/>
      <c r="E3143" s="108" t="s">
        <v>1036</v>
      </c>
      <c r="F3143" s="23"/>
      <c r="G3143" s="26"/>
      <c r="H3143" s="24">
        <f t="shared" ref="H3143" si="889">IF(H3142=1,IF(H3141=H$2,1,-0.33),0)</f>
        <v>0</v>
      </c>
    </row>
    <row r="3144" spans="2:8" x14ac:dyDescent="0.2">
      <c r="B3144" s="48"/>
      <c r="C3144" s="61" t="s">
        <v>622</v>
      </c>
      <c r="D3144" s="44"/>
      <c r="E3144" s="108" t="s">
        <v>1037</v>
      </c>
      <c r="F3144" s="20"/>
      <c r="G3144" s="55"/>
      <c r="H3144" s="24"/>
    </row>
    <row r="3145" spans="2:8" x14ac:dyDescent="0.2">
      <c r="B3145" s="48"/>
      <c r="C3145" s="8"/>
      <c r="D3145" s="44"/>
      <c r="E3145" s="108" t="s">
        <v>1038</v>
      </c>
      <c r="F3145" s="28"/>
      <c r="G3145" s="26"/>
      <c r="H3145" s="24"/>
    </row>
    <row r="3146" spans="2:8" x14ac:dyDescent="0.2">
      <c r="B3146" s="49">
        <v>32</v>
      </c>
      <c r="C3146" s="13" t="s">
        <v>2117</v>
      </c>
      <c r="D3146" s="45"/>
      <c r="E3146" s="14"/>
      <c r="F3146" s="30"/>
      <c r="G3146" s="29"/>
      <c r="H3146" s="15"/>
    </row>
    <row r="3147" spans="2:8" x14ac:dyDescent="0.2">
      <c r="B3147" s="48"/>
      <c r="C3147" s="60" t="s">
        <v>2118</v>
      </c>
      <c r="D3147" s="44"/>
      <c r="E3147" s="108" t="s">
        <v>1034</v>
      </c>
      <c r="F3147" s="27"/>
      <c r="G3147" s="26"/>
      <c r="H3147" s="21" t="b">
        <f>IF(D3149="x",H$2,H$1)</f>
        <v>0</v>
      </c>
    </row>
    <row r="3148" spans="2:8" x14ac:dyDescent="0.2">
      <c r="B3148" s="48"/>
      <c r="C3148" s="61" t="s">
        <v>2119</v>
      </c>
      <c r="D3148" s="44"/>
      <c r="E3148" s="108" t="s">
        <v>1035</v>
      </c>
      <c r="F3148" s="22"/>
      <c r="G3148" s="26"/>
      <c r="H3148" s="21" t="str">
        <f>IF(E$3200="comprobar",COUNTIF(D3147:D3151,"x"),"")</f>
        <v/>
      </c>
    </row>
    <row r="3149" spans="2:8" x14ac:dyDescent="0.2">
      <c r="B3149" s="48"/>
      <c r="C3149" s="61" t="s">
        <v>2120</v>
      </c>
      <c r="D3149" s="44"/>
      <c r="E3149" s="108" t="s">
        <v>1036</v>
      </c>
      <c r="F3149" s="23"/>
      <c r="G3149" s="26"/>
      <c r="H3149" s="24">
        <f t="shared" ref="H3149" si="890">IF(H3148=1,IF(H3147=H$2,1,-0.33),0)</f>
        <v>0</v>
      </c>
    </row>
    <row r="3150" spans="2:8" x14ac:dyDescent="0.2">
      <c r="B3150" s="48"/>
      <c r="C3150" s="61" t="s">
        <v>605</v>
      </c>
      <c r="D3150" s="44"/>
      <c r="E3150" s="108" t="s">
        <v>1037</v>
      </c>
      <c r="F3150" s="28"/>
      <c r="G3150" s="26"/>
      <c r="H3150" s="24"/>
    </row>
    <row r="3151" spans="2:8" x14ac:dyDescent="0.2">
      <c r="B3151" s="48"/>
      <c r="C3151" s="8"/>
      <c r="D3151" s="44"/>
      <c r="E3151" s="108" t="s">
        <v>1038</v>
      </c>
      <c r="F3151" s="28"/>
      <c r="G3151" s="26"/>
      <c r="H3151" s="24"/>
    </row>
    <row r="3152" spans="2:8" x14ac:dyDescent="0.2">
      <c r="B3152" s="49">
        <v>33</v>
      </c>
      <c r="C3152" s="13" t="s">
        <v>2121</v>
      </c>
      <c r="D3152" s="45"/>
      <c r="E3152" s="14"/>
      <c r="F3152" s="16"/>
      <c r="G3152" s="15"/>
      <c r="H3152" s="15"/>
    </row>
    <row r="3153" spans="2:8" x14ac:dyDescent="0.2">
      <c r="B3153" s="48"/>
      <c r="C3153" s="60" t="s">
        <v>2137</v>
      </c>
      <c r="D3153" s="44"/>
      <c r="E3153" s="108" t="s">
        <v>1034</v>
      </c>
      <c r="F3153" s="20"/>
      <c r="G3153" s="19"/>
      <c r="H3153" s="21" t="b">
        <f>IF(D3153="x",H$2,H$1)</f>
        <v>0</v>
      </c>
    </row>
    <row r="3154" spans="2:8" ht="32" x14ac:dyDescent="0.2">
      <c r="B3154" s="48"/>
      <c r="C3154" s="61" t="s">
        <v>2122</v>
      </c>
      <c r="D3154" s="44"/>
      <c r="E3154" s="108" t="s">
        <v>1035</v>
      </c>
      <c r="F3154" s="22"/>
      <c r="G3154" s="19"/>
      <c r="H3154" s="21" t="str">
        <f>IF(E$3200="comprobar",COUNTIF(D3153:D3157,"x"),"")</f>
        <v/>
      </c>
    </row>
    <row r="3155" spans="2:8" x14ac:dyDescent="0.2">
      <c r="B3155" s="48"/>
      <c r="C3155" s="61" t="s">
        <v>2123</v>
      </c>
      <c r="D3155" s="44"/>
      <c r="E3155" s="108" t="s">
        <v>1036</v>
      </c>
      <c r="F3155" s="23"/>
      <c r="G3155" s="19"/>
      <c r="H3155" s="24">
        <f t="shared" ref="H3155" si="891">IF(H3154=1,IF(H3153=H$2,1,-0.33),0)</f>
        <v>0</v>
      </c>
    </row>
    <row r="3156" spans="2:8" x14ac:dyDescent="0.2">
      <c r="B3156" s="48"/>
      <c r="C3156" s="61" t="s">
        <v>2037</v>
      </c>
      <c r="D3156" s="44"/>
      <c r="E3156" s="108" t="s">
        <v>1037</v>
      </c>
      <c r="F3156" s="20"/>
      <c r="G3156" s="19"/>
      <c r="H3156" s="24"/>
    </row>
    <row r="3157" spans="2:8" x14ac:dyDescent="0.2">
      <c r="B3157" s="48"/>
      <c r="C3157" s="8"/>
      <c r="D3157" s="44"/>
      <c r="E3157" s="108" t="s">
        <v>1038</v>
      </c>
      <c r="F3157" s="20"/>
      <c r="G3157" s="19"/>
      <c r="H3157" s="24"/>
    </row>
    <row r="3158" spans="2:8" x14ac:dyDescent="0.2">
      <c r="B3158" s="49">
        <v>34</v>
      </c>
      <c r="C3158" s="13" t="s">
        <v>2013</v>
      </c>
      <c r="D3158" s="45"/>
      <c r="E3158" s="14"/>
      <c r="F3158" s="30"/>
      <c r="G3158" s="29"/>
      <c r="H3158" s="15"/>
    </row>
    <row r="3159" spans="2:8" ht="32" x14ac:dyDescent="0.2">
      <c r="B3159" s="48"/>
      <c r="C3159" s="60" t="s">
        <v>2014</v>
      </c>
      <c r="D3159" s="44"/>
      <c r="E3159" s="108" t="s">
        <v>1034</v>
      </c>
      <c r="F3159" s="27"/>
      <c r="G3159" s="26"/>
      <c r="H3159" s="21" t="b">
        <f>IF(D3162="x",H$2,H$1)</f>
        <v>0</v>
      </c>
    </row>
    <row r="3160" spans="2:8" x14ac:dyDescent="0.2">
      <c r="B3160" s="48"/>
      <c r="C3160" s="61" t="s">
        <v>2015</v>
      </c>
      <c r="D3160" s="44"/>
      <c r="E3160" s="108" t="s">
        <v>1035</v>
      </c>
      <c r="F3160" s="22"/>
      <c r="G3160" s="26"/>
      <c r="H3160" s="21" t="str">
        <f>IF(E$3200="comprobar",COUNTIF(D3159:D3163,"x"),"")</f>
        <v/>
      </c>
    </row>
    <row r="3161" spans="2:8" x14ac:dyDescent="0.2">
      <c r="B3161" s="48"/>
      <c r="C3161" s="61" t="s">
        <v>2016</v>
      </c>
      <c r="D3161" s="44"/>
      <c r="E3161" s="108" t="s">
        <v>1036</v>
      </c>
      <c r="F3161" s="23"/>
      <c r="G3161" s="26"/>
      <c r="H3161" s="24">
        <f t="shared" ref="H3161" si="892">IF(H3160=1,IF(H3159=H$2,1,-0.33),0)</f>
        <v>0</v>
      </c>
    </row>
    <row r="3162" spans="2:8" x14ac:dyDescent="0.2">
      <c r="B3162" s="48"/>
      <c r="C3162" s="61" t="s">
        <v>595</v>
      </c>
      <c r="D3162" s="44"/>
      <c r="E3162" s="108" t="s">
        <v>1037</v>
      </c>
      <c r="F3162" s="28"/>
      <c r="G3162" s="26"/>
      <c r="H3162" s="24"/>
    </row>
    <row r="3163" spans="2:8" x14ac:dyDescent="0.2">
      <c r="B3163" s="48"/>
      <c r="C3163" s="8"/>
      <c r="D3163" s="44"/>
      <c r="E3163" s="108" t="s">
        <v>1038</v>
      </c>
      <c r="F3163" s="28"/>
      <c r="G3163" s="26"/>
      <c r="H3163" s="24"/>
    </row>
    <row r="3164" spans="2:8" x14ac:dyDescent="0.2">
      <c r="B3164" s="49">
        <v>35</v>
      </c>
      <c r="C3164" s="13" t="s">
        <v>2124</v>
      </c>
      <c r="D3164" s="95"/>
      <c r="E3164" s="14"/>
      <c r="F3164" s="71"/>
      <c r="G3164" s="29"/>
      <c r="H3164" s="15"/>
    </row>
    <row r="3165" spans="2:8" x14ac:dyDescent="0.2">
      <c r="B3165" s="48"/>
      <c r="C3165" s="60" t="s">
        <v>2125</v>
      </c>
      <c r="D3165" s="44"/>
      <c r="E3165" s="108" t="s">
        <v>1034</v>
      </c>
      <c r="F3165" s="28"/>
      <c r="G3165" s="55"/>
      <c r="H3165" s="21" t="b">
        <f>IF(D3165="x",H$2,H$1)</f>
        <v>0</v>
      </c>
    </row>
    <row r="3166" spans="2:8" x14ac:dyDescent="0.2">
      <c r="B3166" s="48"/>
      <c r="C3166" s="61" t="s">
        <v>2126</v>
      </c>
      <c r="D3166" s="44"/>
      <c r="E3166" s="108" t="s">
        <v>1035</v>
      </c>
      <c r="F3166" s="22"/>
      <c r="G3166" s="26"/>
      <c r="H3166" s="21" t="str">
        <f>IF(E$3200="comprobar",COUNTIF(D3165:D3169,"x"),"")</f>
        <v/>
      </c>
    </row>
    <row r="3167" spans="2:8" x14ac:dyDescent="0.2">
      <c r="B3167" s="48"/>
      <c r="C3167" s="61" t="s">
        <v>2127</v>
      </c>
      <c r="D3167" s="44"/>
      <c r="E3167" s="108" t="s">
        <v>1036</v>
      </c>
      <c r="F3167" s="23"/>
      <c r="G3167" s="26"/>
      <c r="H3167" s="24">
        <f t="shared" ref="H3167" si="893">IF(H3166=1,IF(H3165=H$2,1,-0.33),0)</f>
        <v>0</v>
      </c>
    </row>
    <row r="3168" spans="2:8" x14ac:dyDescent="0.2">
      <c r="B3168" s="48"/>
      <c r="C3168" s="61" t="s">
        <v>595</v>
      </c>
      <c r="D3168" s="44"/>
      <c r="E3168" s="108" t="s">
        <v>1037</v>
      </c>
      <c r="F3168" s="28"/>
      <c r="G3168" s="26"/>
      <c r="H3168" s="24"/>
    </row>
    <row r="3169" spans="2:8" x14ac:dyDescent="0.2">
      <c r="B3169" s="48"/>
      <c r="C3169" s="8"/>
      <c r="D3169" s="44"/>
      <c r="E3169" s="108" t="s">
        <v>1038</v>
      </c>
      <c r="F3169" s="28"/>
      <c r="G3169" s="26"/>
      <c r="H3169" s="24"/>
    </row>
    <row r="3170" spans="2:8" x14ac:dyDescent="0.2">
      <c r="B3170" s="49">
        <v>36</v>
      </c>
      <c r="C3170" s="13" t="s">
        <v>2128</v>
      </c>
      <c r="D3170" s="45"/>
      <c r="E3170" s="14"/>
      <c r="F3170" s="30"/>
      <c r="G3170" s="29"/>
      <c r="H3170" s="15"/>
    </row>
    <row r="3171" spans="2:8" x14ac:dyDescent="0.2">
      <c r="B3171" s="48"/>
      <c r="C3171" s="60" t="s">
        <v>2125</v>
      </c>
      <c r="D3171" s="44"/>
      <c r="E3171" s="108" t="s">
        <v>1034</v>
      </c>
      <c r="F3171" s="27"/>
      <c r="G3171" s="26"/>
      <c r="H3171" s="21" t="b">
        <f>IF(D3173="x",H$2,H$1)</f>
        <v>0</v>
      </c>
    </row>
    <row r="3172" spans="2:8" x14ac:dyDescent="0.2">
      <c r="B3172" s="48"/>
      <c r="C3172" s="61" t="s">
        <v>2129</v>
      </c>
      <c r="D3172" s="44"/>
      <c r="E3172" s="108" t="s">
        <v>1035</v>
      </c>
      <c r="F3172" s="22"/>
      <c r="G3172" s="26"/>
      <c r="H3172" s="21" t="str">
        <f>IF(E$3200="comprobar",COUNTIF(D3171:D3175,"x"),"")</f>
        <v/>
      </c>
    </row>
    <row r="3173" spans="2:8" x14ac:dyDescent="0.2">
      <c r="B3173" s="48"/>
      <c r="C3173" s="61" t="s">
        <v>2127</v>
      </c>
      <c r="D3173" s="44"/>
      <c r="E3173" s="108" t="s">
        <v>1036</v>
      </c>
      <c r="F3173" s="23"/>
      <c r="G3173" s="26"/>
      <c r="H3173" s="24">
        <f t="shared" ref="H3173" si="894">IF(H3172=1,IF(H3171=H$2,1,-0.33),0)</f>
        <v>0</v>
      </c>
    </row>
    <row r="3174" spans="2:8" x14ac:dyDescent="0.2">
      <c r="B3174" s="48"/>
      <c r="C3174" s="61" t="s">
        <v>595</v>
      </c>
      <c r="D3174" s="44"/>
      <c r="E3174" s="108" t="s">
        <v>1037</v>
      </c>
      <c r="F3174" s="28"/>
      <c r="G3174" s="26"/>
      <c r="H3174" s="24"/>
    </row>
    <row r="3175" spans="2:8" x14ac:dyDescent="0.2">
      <c r="B3175" s="48"/>
      <c r="C3175" s="8"/>
      <c r="D3175" s="44"/>
      <c r="E3175" s="108" t="s">
        <v>1038</v>
      </c>
      <c r="F3175" s="28"/>
      <c r="G3175" s="26"/>
      <c r="H3175" s="24"/>
    </row>
    <row r="3176" spans="2:8" x14ac:dyDescent="0.2">
      <c r="B3176" s="49">
        <v>37</v>
      </c>
      <c r="C3176" s="13" t="s">
        <v>2130</v>
      </c>
      <c r="D3176" s="45"/>
      <c r="E3176" s="14"/>
      <c r="F3176" s="30"/>
      <c r="G3176" s="29"/>
      <c r="H3176" s="15"/>
    </row>
    <row r="3177" spans="2:8" x14ac:dyDescent="0.2">
      <c r="B3177" s="48"/>
      <c r="C3177" s="60" t="s">
        <v>2131</v>
      </c>
      <c r="D3177" s="44"/>
      <c r="E3177" s="108" t="s">
        <v>1034</v>
      </c>
      <c r="F3177" s="28"/>
      <c r="G3177" s="55"/>
      <c r="H3177" s="21" t="b">
        <f>IF(D3177="x",H$2,H$1)</f>
        <v>0</v>
      </c>
    </row>
    <row r="3178" spans="2:8" x14ac:dyDescent="0.2">
      <c r="B3178" s="48"/>
      <c r="C3178" s="61" t="s">
        <v>2132</v>
      </c>
      <c r="D3178" s="44"/>
      <c r="E3178" s="108" t="s">
        <v>1035</v>
      </c>
      <c r="F3178" s="22"/>
      <c r="G3178" s="26"/>
      <c r="H3178" s="21" t="str">
        <f>IF(E$3200="comprobar",COUNTIF(D3177:D3181,"x"),"")</f>
        <v/>
      </c>
    </row>
    <row r="3179" spans="2:8" x14ac:dyDescent="0.2">
      <c r="B3179" s="48"/>
      <c r="C3179" s="61" t="s">
        <v>2133</v>
      </c>
      <c r="D3179" s="44"/>
      <c r="E3179" s="108" t="s">
        <v>1036</v>
      </c>
      <c r="F3179" s="23"/>
      <c r="G3179" s="26"/>
      <c r="H3179" s="24">
        <f t="shared" ref="H3179" si="895">IF(H3178=1,IF(H3177=H$2,1,-0.33),0)</f>
        <v>0</v>
      </c>
    </row>
    <row r="3180" spans="2:8" x14ac:dyDescent="0.2">
      <c r="B3180" s="48"/>
      <c r="C3180" s="61" t="s">
        <v>583</v>
      </c>
      <c r="D3180" s="44"/>
      <c r="E3180" s="108" t="s">
        <v>1037</v>
      </c>
      <c r="F3180" s="28"/>
      <c r="G3180" s="26"/>
      <c r="H3180" s="24"/>
    </row>
    <row r="3181" spans="2:8" x14ac:dyDescent="0.2">
      <c r="B3181" s="48"/>
      <c r="C3181" s="8"/>
      <c r="D3181" s="44"/>
      <c r="E3181" s="108" t="s">
        <v>1038</v>
      </c>
      <c r="F3181" s="28"/>
      <c r="G3181" s="26"/>
      <c r="H3181" s="24"/>
    </row>
    <row r="3182" spans="2:8" x14ac:dyDescent="0.2">
      <c r="B3182" s="49">
        <v>38</v>
      </c>
      <c r="C3182" s="13" t="s">
        <v>2038</v>
      </c>
      <c r="D3182" s="95"/>
      <c r="E3182" s="14"/>
      <c r="F3182" s="71"/>
      <c r="G3182" s="29"/>
      <c r="H3182" s="15"/>
    </row>
    <row r="3183" spans="2:8" x14ac:dyDescent="0.2">
      <c r="B3183" s="48"/>
      <c r="C3183" s="60" t="s">
        <v>2039</v>
      </c>
      <c r="D3183" s="44"/>
      <c r="E3183" s="108" t="s">
        <v>1034</v>
      </c>
      <c r="F3183" s="27"/>
      <c r="G3183" s="26"/>
      <c r="H3183" s="21" t="b">
        <f>IF(D3186="x",H$2,H$1)</f>
        <v>0</v>
      </c>
    </row>
    <row r="3184" spans="2:8" x14ac:dyDescent="0.2">
      <c r="B3184" s="48"/>
      <c r="C3184" s="61" t="s">
        <v>2040</v>
      </c>
      <c r="D3184" s="44"/>
      <c r="E3184" s="108" t="s">
        <v>1035</v>
      </c>
      <c r="F3184" s="22"/>
      <c r="G3184" s="26"/>
      <c r="H3184" s="21" t="str">
        <f>IF(E$3200="comprobar",COUNTIF(D3183:D3187,"x"),"")</f>
        <v/>
      </c>
    </row>
    <row r="3185" spans="2:8" x14ac:dyDescent="0.2">
      <c r="B3185" s="48"/>
      <c r="C3185" s="61" t="s">
        <v>2041</v>
      </c>
      <c r="D3185" s="44"/>
      <c r="E3185" s="108" t="s">
        <v>1036</v>
      </c>
      <c r="F3185" s="23"/>
      <c r="G3185" s="26"/>
      <c r="H3185" s="24">
        <f t="shared" ref="H3185" si="896">IF(H3184=1,IF(H3183=H$2,1,-0.33),0)</f>
        <v>0</v>
      </c>
    </row>
    <row r="3186" spans="2:8" x14ac:dyDescent="0.2">
      <c r="B3186" s="48"/>
      <c r="C3186" s="61" t="s">
        <v>1919</v>
      </c>
      <c r="D3186" s="44"/>
      <c r="E3186" s="108" t="s">
        <v>1037</v>
      </c>
      <c r="F3186" s="28"/>
      <c r="G3186" s="55"/>
      <c r="H3186" s="24"/>
    </row>
    <row r="3187" spans="2:8" x14ac:dyDescent="0.2">
      <c r="B3187" s="48"/>
      <c r="C3187" s="8"/>
      <c r="D3187" s="44"/>
      <c r="E3187" s="108" t="s">
        <v>1038</v>
      </c>
      <c r="F3187" s="28"/>
      <c r="G3187" s="26"/>
      <c r="H3187" s="24"/>
    </row>
    <row r="3188" spans="2:8" x14ac:dyDescent="0.2">
      <c r="B3188" s="49">
        <v>39</v>
      </c>
      <c r="C3188" s="13" t="s">
        <v>2017</v>
      </c>
      <c r="D3188" s="45"/>
      <c r="E3188" s="14"/>
      <c r="F3188" s="30"/>
      <c r="G3188" s="29"/>
      <c r="H3188" s="15"/>
    </row>
    <row r="3189" spans="2:8" x14ac:dyDescent="0.2">
      <c r="B3189" s="48"/>
      <c r="C3189" s="60" t="s">
        <v>2018</v>
      </c>
      <c r="D3189" s="44"/>
      <c r="E3189" s="108" t="s">
        <v>1034</v>
      </c>
      <c r="F3189" s="27"/>
      <c r="G3189" s="26"/>
      <c r="H3189" s="21" t="b">
        <f>IF(D3192="x",H$2,H$1)</f>
        <v>0</v>
      </c>
    </row>
    <row r="3190" spans="2:8" x14ac:dyDescent="0.2">
      <c r="B3190" s="48"/>
      <c r="C3190" s="61" t="s">
        <v>2019</v>
      </c>
      <c r="D3190" s="44"/>
      <c r="E3190" s="108" t="s">
        <v>1035</v>
      </c>
      <c r="F3190" s="22"/>
      <c r="G3190" s="26"/>
      <c r="H3190" s="21" t="str">
        <f>IF(E$3200="comprobar",COUNTIF(D3189:D3193,"x"),"")</f>
        <v/>
      </c>
    </row>
    <row r="3191" spans="2:8" x14ac:dyDescent="0.2">
      <c r="B3191" s="48"/>
      <c r="C3191" s="61" t="s">
        <v>2020</v>
      </c>
      <c r="D3191" s="44"/>
      <c r="E3191" s="108" t="s">
        <v>1036</v>
      </c>
      <c r="F3191" s="23"/>
      <c r="G3191" s="26"/>
      <c r="H3191" s="24">
        <f t="shared" ref="H3191" si="897">IF(H3190=1,IF(H3189=H$2,1,-0.33),0)</f>
        <v>0</v>
      </c>
    </row>
    <row r="3192" spans="2:8" x14ac:dyDescent="0.2">
      <c r="B3192" s="48"/>
      <c r="C3192" s="61" t="s">
        <v>605</v>
      </c>
      <c r="D3192" s="44"/>
      <c r="E3192" s="108" t="s">
        <v>1037</v>
      </c>
      <c r="F3192" s="28"/>
      <c r="G3192" s="26"/>
      <c r="H3192" s="24"/>
    </row>
    <row r="3193" spans="2:8" x14ac:dyDescent="0.2">
      <c r="B3193" s="48"/>
      <c r="C3193" s="8"/>
      <c r="D3193" s="44"/>
      <c r="E3193" s="108" t="s">
        <v>1038</v>
      </c>
      <c r="F3193" s="28"/>
      <c r="G3193" s="26"/>
      <c r="H3193" s="24"/>
    </row>
    <row r="3194" spans="2:8" x14ac:dyDescent="0.2">
      <c r="B3194" s="49">
        <v>40</v>
      </c>
      <c r="C3194" s="13" t="s">
        <v>2025</v>
      </c>
      <c r="D3194" s="45"/>
      <c r="E3194" s="14"/>
      <c r="F3194" s="30"/>
      <c r="G3194" s="29"/>
      <c r="H3194" s="15"/>
    </row>
    <row r="3195" spans="2:8" x14ac:dyDescent="0.2">
      <c r="B3195" s="48"/>
      <c r="C3195" s="60" t="s">
        <v>2134</v>
      </c>
      <c r="D3195" s="44"/>
      <c r="E3195" s="108" t="s">
        <v>1034</v>
      </c>
      <c r="F3195" s="28"/>
      <c r="G3195" s="55"/>
      <c r="H3195" s="21" t="b">
        <f>IF(D3198="x",H$2,H$1)</f>
        <v>0</v>
      </c>
    </row>
    <row r="3196" spans="2:8" x14ac:dyDescent="0.2">
      <c r="B3196" s="48"/>
      <c r="C3196" s="61" t="s">
        <v>2135</v>
      </c>
      <c r="D3196" s="44"/>
      <c r="E3196" s="108" t="s">
        <v>1035</v>
      </c>
      <c r="F3196" s="22"/>
      <c r="G3196" s="26"/>
      <c r="H3196" s="21" t="str">
        <f>IF(E$3200="comprobar",COUNTIF(D3195:D3199,"x"),"")</f>
        <v/>
      </c>
    </row>
    <row r="3197" spans="2:8" x14ac:dyDescent="0.2">
      <c r="B3197" s="48"/>
      <c r="C3197" s="61" t="s">
        <v>2136</v>
      </c>
      <c r="D3197" s="44"/>
      <c r="E3197" s="108" t="s">
        <v>1036</v>
      </c>
      <c r="F3197" s="23"/>
      <c r="G3197" s="26"/>
      <c r="H3197" s="24">
        <f t="shared" ref="H3197" si="898">IF(H3196=1,IF(H3195=H$2,1,-0.33),0)</f>
        <v>0</v>
      </c>
    </row>
    <row r="3198" spans="2:8" x14ac:dyDescent="0.2">
      <c r="B3198" s="48"/>
      <c r="C3198" s="61" t="s">
        <v>595</v>
      </c>
      <c r="D3198" s="44"/>
      <c r="E3198" s="108" t="s">
        <v>1037</v>
      </c>
      <c r="F3198" s="28"/>
      <c r="G3198" s="26"/>
      <c r="H3198" s="24"/>
    </row>
    <row r="3199" spans="2:8" x14ac:dyDescent="0.2">
      <c r="B3199" s="48"/>
      <c r="C3199" s="8"/>
      <c r="D3199" s="44"/>
      <c r="E3199" s="108" t="s">
        <v>1038</v>
      </c>
      <c r="F3199" s="20"/>
      <c r="G3199" s="19"/>
      <c r="H3199" s="24"/>
    </row>
    <row r="3200" spans="2:8" x14ac:dyDescent="0.2">
      <c r="B3200" s="52"/>
      <c r="C3200" s="47"/>
      <c r="D3200" s="73"/>
      <c r="E3200" s="92"/>
      <c r="F3200" s="20"/>
      <c r="G3200" s="19"/>
      <c r="H3200" s="19"/>
    </row>
    <row r="3201" spans="2:8" x14ac:dyDescent="0.2">
      <c r="B3201" s="52"/>
      <c r="C3201" s="18"/>
      <c r="D3201" s="108"/>
      <c r="E3201" s="108"/>
      <c r="F3201" s="31" t="s">
        <v>93</v>
      </c>
      <c r="G3201" s="19" t="s">
        <v>91</v>
      </c>
      <c r="H3201" s="19" t="s">
        <v>92</v>
      </c>
    </row>
    <row r="3202" spans="2:8" ht="20" x14ac:dyDescent="0.2">
      <c r="B3202" s="52"/>
      <c r="C3202" s="18"/>
      <c r="D3202" s="108"/>
      <c r="E3202" s="1"/>
      <c r="F3202" s="32" t="str">
        <f>IF(E3200="comprobar",H3137+H3131+H3125+H3119+H3113+H3107+H3101+H3095+H3089+H3083+H3143+H3149+H3155+H3029+H3161+H3167+H3173+H3179+H3185+H3191+H3197+H2963+H2969+H2975+H2981+H2987+H2993+H2999+H3005+H3011+H3035+H3017+H3023+H3041+H3047+H3053+H3059+H3065+H3071+H3077,"")</f>
        <v/>
      </c>
      <c r="G3202" s="19">
        <f>40/2</f>
        <v>20</v>
      </c>
      <c r="H3202" s="19"/>
    </row>
    <row r="3203" spans="2:8" ht="17" thickBot="1" x14ac:dyDescent="0.25">
      <c r="B3203" s="53"/>
      <c r="C3203" s="33"/>
      <c r="D3203" s="34"/>
      <c r="E3203" s="9"/>
      <c r="F3203" s="35" t="str">
        <f>IF(F3202&gt;G3202,G3201,H3201)</f>
        <v>APROBADO</v>
      </c>
      <c r="G3203" s="19"/>
      <c r="H3203" s="19"/>
    </row>
  </sheetData>
  <sheetProtection password="CC41" sheet="1" objects="1" scenarios="1" selectLockedCells="1"/>
  <mergeCells count="31">
    <mergeCell ref="C2959:F2959"/>
    <mergeCell ref="C1751:F1751"/>
    <mergeCell ref="C1876:F1876"/>
    <mergeCell ref="D2118:E2118"/>
    <mergeCell ref="B1985:C1985"/>
    <mergeCell ref="C2709:F2709"/>
    <mergeCell ref="C2834:F2834"/>
    <mergeCell ref="D2582:E2582"/>
    <mergeCell ref="C2120:F2120"/>
    <mergeCell ref="B2205:C2205"/>
    <mergeCell ref="C2245:F2245"/>
    <mergeCell ref="B2294:C2294"/>
    <mergeCell ref="B2318:C2318"/>
    <mergeCell ref="B2223:C2223"/>
    <mergeCell ref="B2330:C2330"/>
    <mergeCell ref="C2340:F2340"/>
    <mergeCell ref="B2449:C2449"/>
    <mergeCell ref="C2584:F2584"/>
    <mergeCell ref="C1626:F1626"/>
    <mergeCell ref="D130:E130"/>
    <mergeCell ref="C6:F6"/>
    <mergeCell ref="C132:F132"/>
    <mergeCell ref="D1124:E1124"/>
    <mergeCell ref="C882:F882"/>
    <mergeCell ref="C1126:F1126"/>
    <mergeCell ref="C1251:F1251"/>
    <mergeCell ref="C1376:F1376"/>
    <mergeCell ref="C1501:F1501"/>
    <mergeCell ref="B1461:C1461"/>
    <mergeCell ref="B1449:C1449"/>
    <mergeCell ref="B1163:C1163"/>
  </mergeCells>
  <phoneticPr fontId="8" type="noConversion"/>
  <printOptions horizontalCentered="1" verticalCentered="1"/>
  <pageMargins left="0" right="0" top="0" bottom="0" header="0" footer="0"/>
  <pageSetup paperSize="9" scale="72" fitToHeight="2" orientation="portrait" horizontalDpi="4294967293" verticalDpi="1200" r:id="rId1"/>
  <headerFooter>
    <oddHeader>&amp;C&amp;"Calibri,Normal"&amp;K000000=A1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autoFill="0" autoPict="0" macro="[0]!tema1" altText="Borrar">
                <anchor moveWithCells="1" sizeWithCells="1">
                  <from>
                    <xdr:col>2</xdr:col>
                    <xdr:colOff>9309100</xdr:colOff>
                    <xdr:row>128</xdr:row>
                    <xdr:rowOff>152400</xdr:rowOff>
                  </from>
                  <to>
                    <xdr:col>2</xdr:col>
                    <xdr:colOff>9918700</xdr:colOff>
                    <xdr:row>129</xdr:row>
                    <xdr:rowOff>228600</xdr:rowOff>
                  </to>
                </anchor>
              </controlPr>
            </control>
          </mc:Choice>
          <mc:Fallback/>
        </mc:AlternateContent>
        <mc:AlternateContent xmlns:mc="http://schemas.openxmlformats.org/markup-compatibility/2006">
          <mc:Choice Requires="x14">
            <control shapeId="1031" r:id="rId5" name="Button 7">
              <controlPr defaultSize="0" autoFill="0" autoPict="0" macro="[0]!tema2" altText="Borrar">
                <anchor moveWithCells="1" sizeWithCells="1">
                  <from>
                    <xdr:col>2</xdr:col>
                    <xdr:colOff>9271000</xdr:colOff>
                    <xdr:row>254</xdr:row>
                    <xdr:rowOff>25400</xdr:rowOff>
                  </from>
                  <to>
                    <xdr:col>2</xdr:col>
                    <xdr:colOff>9855200</xdr:colOff>
                    <xdr:row>255</xdr:row>
                    <xdr:rowOff>101600</xdr:rowOff>
                  </to>
                </anchor>
              </controlPr>
            </control>
          </mc:Choice>
          <mc:Fallback/>
        </mc:AlternateContent>
        <mc:AlternateContent xmlns:mc="http://schemas.openxmlformats.org/markup-compatibility/2006">
          <mc:Choice Requires="x14">
            <control shapeId="1032" r:id="rId6" name="Button 8">
              <controlPr defaultSize="0" autoFill="0" autoPict="0" macro="[0]!tema3" altText="Borrar">
                <anchor moveWithCells="1" sizeWithCells="1">
                  <from>
                    <xdr:col>2</xdr:col>
                    <xdr:colOff>9194800</xdr:colOff>
                    <xdr:row>379</xdr:row>
                    <xdr:rowOff>12700</xdr:rowOff>
                  </from>
                  <to>
                    <xdr:col>2</xdr:col>
                    <xdr:colOff>9766300</xdr:colOff>
                    <xdr:row>380</xdr:row>
                    <xdr:rowOff>38100</xdr:rowOff>
                  </to>
                </anchor>
              </controlPr>
            </control>
          </mc:Choice>
          <mc:Fallback/>
        </mc:AlternateContent>
        <mc:AlternateContent xmlns:mc="http://schemas.openxmlformats.org/markup-compatibility/2006">
          <mc:Choice Requires="x14">
            <control shapeId="1034" r:id="rId7" name="Button 10">
              <controlPr defaultSize="0" autoFill="0" autoPict="0" macro="[0]!tema4" altText="Borrar">
                <anchor moveWithCells="1" sizeWithCells="1">
                  <from>
                    <xdr:col>2</xdr:col>
                    <xdr:colOff>9232900</xdr:colOff>
                    <xdr:row>503</xdr:row>
                    <xdr:rowOff>190500</xdr:rowOff>
                  </from>
                  <to>
                    <xdr:col>2</xdr:col>
                    <xdr:colOff>9804400</xdr:colOff>
                    <xdr:row>505</xdr:row>
                    <xdr:rowOff>76200</xdr:rowOff>
                  </to>
                </anchor>
              </controlPr>
            </control>
          </mc:Choice>
          <mc:Fallback/>
        </mc:AlternateContent>
        <mc:AlternateContent xmlns:mc="http://schemas.openxmlformats.org/markup-compatibility/2006">
          <mc:Choice Requires="x14">
            <control shapeId="1035" r:id="rId8" name="Button 11">
              <controlPr defaultSize="0" autoFill="0" autoPict="0" macro="[0]!tema5" altText="Borrar">
                <anchor moveWithCells="1" sizeWithCells="1">
                  <from>
                    <xdr:col>2</xdr:col>
                    <xdr:colOff>9194800</xdr:colOff>
                    <xdr:row>628</xdr:row>
                    <xdr:rowOff>203200</xdr:rowOff>
                  </from>
                  <to>
                    <xdr:col>2</xdr:col>
                    <xdr:colOff>9779000</xdr:colOff>
                    <xdr:row>630</xdr:row>
                    <xdr:rowOff>0</xdr:rowOff>
                  </to>
                </anchor>
              </controlPr>
            </control>
          </mc:Choice>
          <mc:Fallback/>
        </mc:AlternateContent>
        <mc:AlternateContent xmlns:mc="http://schemas.openxmlformats.org/markup-compatibility/2006">
          <mc:Choice Requires="x14">
            <control shapeId="1036" r:id="rId9" name="Button 12">
              <controlPr defaultSize="0" autoFill="0" autoPict="0" macro="[0]!tema6" altText="Borrar">
                <anchor moveWithCells="1" sizeWithCells="1">
                  <from>
                    <xdr:col>2</xdr:col>
                    <xdr:colOff>9232900</xdr:colOff>
                    <xdr:row>754</xdr:row>
                    <xdr:rowOff>0</xdr:rowOff>
                  </from>
                  <to>
                    <xdr:col>2</xdr:col>
                    <xdr:colOff>9817100</xdr:colOff>
                    <xdr:row>755</xdr:row>
                    <xdr:rowOff>0</xdr:rowOff>
                  </to>
                </anchor>
              </controlPr>
            </control>
          </mc:Choice>
          <mc:Fallback/>
        </mc:AlternateContent>
        <mc:AlternateContent xmlns:mc="http://schemas.openxmlformats.org/markup-compatibility/2006">
          <mc:Choice Requires="x14">
            <control shapeId="1037" r:id="rId10" name="Button 13">
              <controlPr defaultSize="0" autoFill="0" autoPict="0" macro="[0]!tema7" altText="Borrar">
                <anchor moveWithCells="1" sizeWithCells="1">
                  <from>
                    <xdr:col>2</xdr:col>
                    <xdr:colOff>9169400</xdr:colOff>
                    <xdr:row>878</xdr:row>
                    <xdr:rowOff>190500</xdr:rowOff>
                  </from>
                  <to>
                    <xdr:col>2</xdr:col>
                    <xdr:colOff>9791700</xdr:colOff>
                    <xdr:row>879</xdr:row>
                    <xdr:rowOff>241300</xdr:rowOff>
                  </to>
                </anchor>
              </controlPr>
            </control>
          </mc:Choice>
          <mc:Fallback/>
        </mc:AlternateContent>
        <mc:AlternateContent xmlns:mc="http://schemas.openxmlformats.org/markup-compatibility/2006">
          <mc:Choice Requires="x14">
            <control shapeId="1038" r:id="rId11" name="Button 14">
              <controlPr defaultSize="0" autoFill="0" autoPict="0" macro="[0]!compro7">
                <anchor moveWithCells="1" sizeWithCells="1">
                  <from>
                    <xdr:col>2</xdr:col>
                    <xdr:colOff>7785100</xdr:colOff>
                    <xdr:row>878</xdr:row>
                    <xdr:rowOff>203200</xdr:rowOff>
                  </from>
                  <to>
                    <xdr:col>2</xdr:col>
                    <xdr:colOff>9093200</xdr:colOff>
                    <xdr:row>879</xdr:row>
                    <xdr:rowOff>241300</xdr:rowOff>
                  </to>
                </anchor>
              </controlPr>
            </control>
          </mc:Choice>
          <mc:Fallback/>
        </mc:AlternateContent>
        <mc:AlternateContent xmlns:mc="http://schemas.openxmlformats.org/markup-compatibility/2006">
          <mc:Choice Requires="x14">
            <control shapeId="1039" r:id="rId12" name="Button 15">
              <controlPr defaultSize="0" autoFill="0" autoPict="0" macro="[0]!Compro6">
                <anchor moveWithCells="1" sizeWithCells="1">
                  <from>
                    <xdr:col>2</xdr:col>
                    <xdr:colOff>7785100</xdr:colOff>
                    <xdr:row>754</xdr:row>
                    <xdr:rowOff>12700</xdr:rowOff>
                  </from>
                  <to>
                    <xdr:col>2</xdr:col>
                    <xdr:colOff>9093200</xdr:colOff>
                    <xdr:row>755</xdr:row>
                    <xdr:rowOff>0</xdr:rowOff>
                  </to>
                </anchor>
              </controlPr>
            </control>
          </mc:Choice>
          <mc:Fallback/>
        </mc:AlternateContent>
        <mc:AlternateContent xmlns:mc="http://schemas.openxmlformats.org/markup-compatibility/2006">
          <mc:Choice Requires="x14">
            <control shapeId="1040" r:id="rId13" name="Button 16">
              <controlPr defaultSize="0" autoFill="0" autoPict="0" macro="[0]!Compro5">
                <anchor moveWithCells="1" sizeWithCells="1">
                  <from>
                    <xdr:col>2</xdr:col>
                    <xdr:colOff>7785100</xdr:colOff>
                    <xdr:row>629</xdr:row>
                    <xdr:rowOff>12700</xdr:rowOff>
                  </from>
                  <to>
                    <xdr:col>2</xdr:col>
                    <xdr:colOff>9093200</xdr:colOff>
                    <xdr:row>630</xdr:row>
                    <xdr:rowOff>0</xdr:rowOff>
                  </to>
                </anchor>
              </controlPr>
            </control>
          </mc:Choice>
          <mc:Fallback/>
        </mc:AlternateContent>
        <mc:AlternateContent xmlns:mc="http://schemas.openxmlformats.org/markup-compatibility/2006">
          <mc:Choice Requires="x14">
            <control shapeId="1041" r:id="rId14" name="Button 17">
              <controlPr defaultSize="0" autoFill="0" autoPict="0" macro="[0]!Compro4">
                <anchor moveWithCells="1" sizeWithCells="1">
                  <from>
                    <xdr:col>2</xdr:col>
                    <xdr:colOff>7785100</xdr:colOff>
                    <xdr:row>503</xdr:row>
                    <xdr:rowOff>190500</xdr:rowOff>
                  </from>
                  <to>
                    <xdr:col>2</xdr:col>
                    <xdr:colOff>9093200</xdr:colOff>
                    <xdr:row>505</xdr:row>
                    <xdr:rowOff>38100</xdr:rowOff>
                  </to>
                </anchor>
              </controlPr>
            </control>
          </mc:Choice>
          <mc:Fallback/>
        </mc:AlternateContent>
        <mc:AlternateContent xmlns:mc="http://schemas.openxmlformats.org/markup-compatibility/2006">
          <mc:Choice Requires="x14">
            <control shapeId="1042" r:id="rId15" name="Button 18">
              <controlPr defaultSize="0" autoFill="0" autoPict="0" macro="[0]!Compro3">
                <anchor moveWithCells="1" sizeWithCells="1">
                  <from>
                    <xdr:col>2</xdr:col>
                    <xdr:colOff>7785100</xdr:colOff>
                    <xdr:row>379</xdr:row>
                    <xdr:rowOff>25400</xdr:rowOff>
                  </from>
                  <to>
                    <xdr:col>2</xdr:col>
                    <xdr:colOff>9093200</xdr:colOff>
                    <xdr:row>379</xdr:row>
                    <xdr:rowOff>254000</xdr:rowOff>
                  </to>
                </anchor>
              </controlPr>
            </control>
          </mc:Choice>
          <mc:Fallback/>
        </mc:AlternateContent>
        <mc:AlternateContent xmlns:mc="http://schemas.openxmlformats.org/markup-compatibility/2006">
          <mc:Choice Requires="x14">
            <control shapeId="1043" r:id="rId16" name="Button 19">
              <controlPr defaultSize="0" autoFill="0" autoPict="0" macro="[0]!Compro2">
                <anchor moveWithCells="1" sizeWithCells="1">
                  <from>
                    <xdr:col>2</xdr:col>
                    <xdr:colOff>7785100</xdr:colOff>
                    <xdr:row>254</xdr:row>
                    <xdr:rowOff>38100</xdr:rowOff>
                  </from>
                  <to>
                    <xdr:col>2</xdr:col>
                    <xdr:colOff>9093200</xdr:colOff>
                    <xdr:row>255</xdr:row>
                    <xdr:rowOff>63500</xdr:rowOff>
                  </to>
                </anchor>
              </controlPr>
            </control>
          </mc:Choice>
          <mc:Fallback/>
        </mc:AlternateContent>
        <mc:AlternateContent xmlns:mc="http://schemas.openxmlformats.org/markup-compatibility/2006">
          <mc:Choice Requires="x14">
            <control shapeId="1044" r:id="rId17" name="Button 20">
              <controlPr defaultSize="0" autoFill="0" autoPict="0" macro="[0]!Compro1">
                <anchor moveWithCells="1" sizeWithCells="1">
                  <from>
                    <xdr:col>2</xdr:col>
                    <xdr:colOff>7785100</xdr:colOff>
                    <xdr:row>128</xdr:row>
                    <xdr:rowOff>177800</xdr:rowOff>
                  </from>
                  <to>
                    <xdr:col>2</xdr:col>
                    <xdr:colOff>9093200</xdr:colOff>
                    <xdr:row>129</xdr:row>
                    <xdr:rowOff>190500</xdr:rowOff>
                  </to>
                </anchor>
              </controlPr>
            </control>
          </mc:Choice>
          <mc:Fallback/>
        </mc:AlternateContent>
        <mc:AlternateContent xmlns:mc="http://schemas.openxmlformats.org/markup-compatibility/2006">
          <mc:Choice Requires="x14">
            <control shapeId="1045" r:id="rId18" name="Button 21">
              <controlPr defaultSize="0" autoFill="0" autoPict="0" macro="[0]!PEC1_BORRAR" altText="Borrar">
                <anchor moveWithCells="1" sizeWithCells="1">
                  <from>
                    <xdr:col>2</xdr:col>
                    <xdr:colOff>9207500</xdr:colOff>
                    <xdr:row>1122</xdr:row>
                    <xdr:rowOff>165100</xdr:rowOff>
                  </from>
                  <to>
                    <xdr:col>2</xdr:col>
                    <xdr:colOff>9817100</xdr:colOff>
                    <xdr:row>1123</xdr:row>
                    <xdr:rowOff>241300</xdr:rowOff>
                  </to>
                </anchor>
              </controlPr>
            </control>
          </mc:Choice>
          <mc:Fallback/>
        </mc:AlternateContent>
        <mc:AlternateContent xmlns:mc="http://schemas.openxmlformats.org/markup-compatibility/2006">
          <mc:Choice Requires="x14">
            <control shapeId="1046" r:id="rId19" name="Button 22">
              <controlPr defaultSize="0" autoFill="0" autoPict="0" macro="[0]!PEC1_COMPRO">
                <anchor moveWithCells="1" sizeWithCells="1">
                  <from>
                    <xdr:col>2</xdr:col>
                    <xdr:colOff>7785100</xdr:colOff>
                    <xdr:row>1122</xdr:row>
                    <xdr:rowOff>177800</xdr:rowOff>
                  </from>
                  <to>
                    <xdr:col>2</xdr:col>
                    <xdr:colOff>9093200</xdr:colOff>
                    <xdr:row>1123</xdr:row>
                    <xdr:rowOff>190500</xdr:rowOff>
                  </to>
                </anchor>
              </controlPr>
            </control>
          </mc:Choice>
          <mc:Fallback/>
        </mc:AlternateContent>
        <mc:AlternateContent xmlns:mc="http://schemas.openxmlformats.org/markup-compatibility/2006">
          <mc:Choice Requires="x14">
            <control shapeId="1048" r:id="rId20" name="Button 24">
              <controlPr defaultSize="0" autoFill="0" autoPict="0" macro="[0]!tema8" altText="Borrar">
                <anchor moveWithCells="1" sizeWithCells="1">
                  <from>
                    <xdr:col>2</xdr:col>
                    <xdr:colOff>9169400</xdr:colOff>
                    <xdr:row>1248</xdr:row>
                    <xdr:rowOff>38100</xdr:rowOff>
                  </from>
                  <to>
                    <xdr:col>2</xdr:col>
                    <xdr:colOff>9753600</xdr:colOff>
                    <xdr:row>1249</xdr:row>
                    <xdr:rowOff>114300</xdr:rowOff>
                  </to>
                </anchor>
              </controlPr>
            </control>
          </mc:Choice>
          <mc:Fallback/>
        </mc:AlternateContent>
        <mc:AlternateContent xmlns:mc="http://schemas.openxmlformats.org/markup-compatibility/2006">
          <mc:Choice Requires="x14">
            <control shapeId="1049" r:id="rId21" name="Button 25">
              <controlPr defaultSize="0" autoFill="0" autoPict="0" macro="[0]!Compro8">
                <anchor moveWithCells="1" sizeWithCells="1">
                  <from>
                    <xdr:col>2</xdr:col>
                    <xdr:colOff>7785100</xdr:colOff>
                    <xdr:row>1248</xdr:row>
                    <xdr:rowOff>38100</xdr:rowOff>
                  </from>
                  <to>
                    <xdr:col>2</xdr:col>
                    <xdr:colOff>9093200</xdr:colOff>
                    <xdr:row>1249</xdr:row>
                    <xdr:rowOff>63500</xdr:rowOff>
                  </to>
                </anchor>
              </controlPr>
            </control>
          </mc:Choice>
          <mc:Fallback/>
        </mc:AlternateContent>
        <mc:AlternateContent xmlns:mc="http://schemas.openxmlformats.org/markup-compatibility/2006">
          <mc:Choice Requires="x14">
            <control shapeId="1050" r:id="rId22" name="Button 26">
              <controlPr defaultSize="0" autoFill="0" autoPict="0" macro="[0]!tema9" altText="Borrar">
                <anchor moveWithCells="1" sizeWithCells="1">
                  <from>
                    <xdr:col>2</xdr:col>
                    <xdr:colOff>9182100</xdr:colOff>
                    <xdr:row>1373</xdr:row>
                    <xdr:rowOff>38100</xdr:rowOff>
                  </from>
                  <to>
                    <xdr:col>2</xdr:col>
                    <xdr:colOff>9766300</xdr:colOff>
                    <xdr:row>1374</xdr:row>
                    <xdr:rowOff>114300</xdr:rowOff>
                  </to>
                </anchor>
              </controlPr>
            </control>
          </mc:Choice>
          <mc:Fallback/>
        </mc:AlternateContent>
        <mc:AlternateContent xmlns:mc="http://schemas.openxmlformats.org/markup-compatibility/2006">
          <mc:Choice Requires="x14">
            <control shapeId="1051" r:id="rId23" name="Button 27">
              <controlPr defaultSize="0" autoFill="0" autoPict="0" macro="[0]!Compro9">
                <anchor moveWithCells="1" sizeWithCells="1">
                  <from>
                    <xdr:col>2</xdr:col>
                    <xdr:colOff>7785100</xdr:colOff>
                    <xdr:row>1373</xdr:row>
                    <xdr:rowOff>38100</xdr:rowOff>
                  </from>
                  <to>
                    <xdr:col>2</xdr:col>
                    <xdr:colOff>9093200</xdr:colOff>
                    <xdr:row>1374</xdr:row>
                    <xdr:rowOff>63500</xdr:rowOff>
                  </to>
                </anchor>
              </controlPr>
            </control>
          </mc:Choice>
          <mc:Fallback/>
        </mc:AlternateContent>
        <mc:AlternateContent xmlns:mc="http://schemas.openxmlformats.org/markup-compatibility/2006">
          <mc:Choice Requires="x14">
            <control shapeId="1052" r:id="rId24" name="Button 28">
              <controlPr defaultSize="0" autoFill="0" autoPict="0" macro="[0]!tema10" altText="Borrar">
                <anchor moveWithCells="1" sizeWithCells="1">
                  <from>
                    <xdr:col>2</xdr:col>
                    <xdr:colOff>9372600</xdr:colOff>
                    <xdr:row>1496</xdr:row>
                    <xdr:rowOff>190500</xdr:rowOff>
                  </from>
                  <to>
                    <xdr:col>2</xdr:col>
                    <xdr:colOff>9956800</xdr:colOff>
                    <xdr:row>1498</xdr:row>
                    <xdr:rowOff>101600</xdr:rowOff>
                  </to>
                </anchor>
              </controlPr>
            </control>
          </mc:Choice>
          <mc:Fallback/>
        </mc:AlternateContent>
        <mc:AlternateContent xmlns:mc="http://schemas.openxmlformats.org/markup-compatibility/2006">
          <mc:Choice Requires="x14">
            <control shapeId="1053" r:id="rId25" name="Button 29">
              <controlPr defaultSize="0" autoFill="0" autoPict="0" macro="[0]!Compro10">
                <anchor moveWithCells="1" sizeWithCells="1">
                  <from>
                    <xdr:col>2</xdr:col>
                    <xdr:colOff>7988300</xdr:colOff>
                    <xdr:row>1496</xdr:row>
                    <xdr:rowOff>190500</xdr:rowOff>
                  </from>
                  <to>
                    <xdr:col>2</xdr:col>
                    <xdr:colOff>9296400</xdr:colOff>
                    <xdr:row>1498</xdr:row>
                    <xdr:rowOff>50800</xdr:rowOff>
                  </to>
                </anchor>
              </controlPr>
            </control>
          </mc:Choice>
          <mc:Fallback/>
        </mc:AlternateContent>
        <mc:AlternateContent xmlns:mc="http://schemas.openxmlformats.org/markup-compatibility/2006">
          <mc:Choice Requires="x14">
            <control shapeId="1054" r:id="rId26" name="Button 30">
              <controlPr defaultSize="0" autoFill="0" autoPict="0" macro="[0]!tema11" altText="Borrar">
                <anchor moveWithCells="1" sizeWithCells="1">
                  <from>
                    <xdr:col>2</xdr:col>
                    <xdr:colOff>9182100</xdr:colOff>
                    <xdr:row>1623</xdr:row>
                    <xdr:rowOff>25400</xdr:rowOff>
                  </from>
                  <to>
                    <xdr:col>2</xdr:col>
                    <xdr:colOff>9766300</xdr:colOff>
                    <xdr:row>1624</xdr:row>
                    <xdr:rowOff>101600</xdr:rowOff>
                  </to>
                </anchor>
              </controlPr>
            </control>
          </mc:Choice>
          <mc:Fallback/>
        </mc:AlternateContent>
        <mc:AlternateContent xmlns:mc="http://schemas.openxmlformats.org/markup-compatibility/2006">
          <mc:Choice Requires="x14">
            <control shapeId="1055" r:id="rId27" name="Button 31">
              <controlPr defaultSize="0" autoFill="0" autoPict="0" macro="[0]!Compro11">
                <anchor moveWithCells="1" sizeWithCells="1">
                  <from>
                    <xdr:col>2</xdr:col>
                    <xdr:colOff>7785100</xdr:colOff>
                    <xdr:row>1623</xdr:row>
                    <xdr:rowOff>38100</xdr:rowOff>
                  </from>
                  <to>
                    <xdr:col>2</xdr:col>
                    <xdr:colOff>9093200</xdr:colOff>
                    <xdr:row>1624</xdr:row>
                    <xdr:rowOff>63500</xdr:rowOff>
                  </to>
                </anchor>
              </controlPr>
            </control>
          </mc:Choice>
          <mc:Fallback/>
        </mc:AlternateContent>
        <mc:AlternateContent xmlns:mc="http://schemas.openxmlformats.org/markup-compatibility/2006">
          <mc:Choice Requires="x14">
            <control shapeId="1056" r:id="rId28" name="Button 32">
              <controlPr defaultSize="0" autoFill="0" autoPict="0" macro="[0]!tema12" altText="Borrar">
                <anchor moveWithCells="1" sizeWithCells="1">
                  <from>
                    <xdr:col>2</xdr:col>
                    <xdr:colOff>9169400</xdr:colOff>
                    <xdr:row>1748</xdr:row>
                    <xdr:rowOff>38100</xdr:rowOff>
                  </from>
                  <to>
                    <xdr:col>2</xdr:col>
                    <xdr:colOff>9753600</xdr:colOff>
                    <xdr:row>1749</xdr:row>
                    <xdr:rowOff>114300</xdr:rowOff>
                  </to>
                </anchor>
              </controlPr>
            </control>
          </mc:Choice>
          <mc:Fallback/>
        </mc:AlternateContent>
        <mc:AlternateContent xmlns:mc="http://schemas.openxmlformats.org/markup-compatibility/2006">
          <mc:Choice Requires="x14">
            <control shapeId="1057" r:id="rId29" name="Button 33">
              <controlPr defaultSize="0" autoFill="0" autoPict="0" macro="[0]!Compro12">
                <anchor moveWithCells="1" sizeWithCells="1">
                  <from>
                    <xdr:col>2</xdr:col>
                    <xdr:colOff>7785100</xdr:colOff>
                    <xdr:row>1748</xdr:row>
                    <xdr:rowOff>38100</xdr:rowOff>
                  </from>
                  <to>
                    <xdr:col>2</xdr:col>
                    <xdr:colOff>9093200</xdr:colOff>
                    <xdr:row>1749</xdr:row>
                    <xdr:rowOff>63500</xdr:rowOff>
                  </to>
                </anchor>
              </controlPr>
            </control>
          </mc:Choice>
          <mc:Fallback/>
        </mc:AlternateContent>
        <mc:AlternateContent xmlns:mc="http://schemas.openxmlformats.org/markup-compatibility/2006">
          <mc:Choice Requires="x14">
            <control shapeId="1138" r:id="rId30" name="Button 114">
              <controlPr defaultSize="0" autoFill="0" autoPict="0" macro="[0]!tema13" altText="Borrar">
                <anchor moveWithCells="1" sizeWithCells="1">
                  <from>
                    <xdr:col>2</xdr:col>
                    <xdr:colOff>9575800</xdr:colOff>
                    <xdr:row>1872</xdr:row>
                    <xdr:rowOff>127000</xdr:rowOff>
                  </from>
                  <to>
                    <xdr:col>2</xdr:col>
                    <xdr:colOff>10160000</xdr:colOff>
                    <xdr:row>1874</xdr:row>
                    <xdr:rowOff>0</xdr:rowOff>
                  </to>
                </anchor>
              </controlPr>
            </control>
          </mc:Choice>
          <mc:Fallback/>
        </mc:AlternateContent>
        <mc:AlternateContent xmlns:mc="http://schemas.openxmlformats.org/markup-compatibility/2006">
          <mc:Choice Requires="x14">
            <control shapeId="1139" r:id="rId31" name="Button 115">
              <controlPr defaultSize="0" autoFill="0" autoPict="0" macro="[0]!Compro13">
                <anchor moveWithCells="1" sizeWithCells="1">
                  <from>
                    <xdr:col>2</xdr:col>
                    <xdr:colOff>8191500</xdr:colOff>
                    <xdr:row>1872</xdr:row>
                    <xdr:rowOff>139700</xdr:rowOff>
                  </from>
                  <to>
                    <xdr:col>2</xdr:col>
                    <xdr:colOff>9499600</xdr:colOff>
                    <xdr:row>1873</xdr:row>
                    <xdr:rowOff>203200</xdr:rowOff>
                  </to>
                </anchor>
              </controlPr>
            </control>
          </mc:Choice>
          <mc:Fallback/>
        </mc:AlternateContent>
        <mc:AlternateContent xmlns:mc="http://schemas.openxmlformats.org/markup-compatibility/2006">
          <mc:Choice Requires="x14">
            <control shapeId="1142" r:id="rId32" name="Button 118">
              <controlPr defaultSize="0" autoFill="0" autoPict="0" macro="[0]!PEC2_BORRAR" altText="Borrar">
                <anchor moveWithCells="1" sizeWithCells="1">
                  <from>
                    <xdr:col>2</xdr:col>
                    <xdr:colOff>9169400</xdr:colOff>
                    <xdr:row>2117</xdr:row>
                    <xdr:rowOff>0</xdr:rowOff>
                  </from>
                  <to>
                    <xdr:col>2</xdr:col>
                    <xdr:colOff>9766300</xdr:colOff>
                    <xdr:row>2118</xdr:row>
                    <xdr:rowOff>38100</xdr:rowOff>
                  </to>
                </anchor>
              </controlPr>
            </control>
          </mc:Choice>
          <mc:Fallback/>
        </mc:AlternateContent>
        <mc:AlternateContent xmlns:mc="http://schemas.openxmlformats.org/markup-compatibility/2006">
          <mc:Choice Requires="x14">
            <control shapeId="1145" r:id="rId33" name="Button 121">
              <controlPr defaultSize="0" autoFill="0" autoPict="0" macro="[0]!PEC2_COMPRO">
                <anchor moveWithCells="1" sizeWithCells="1">
                  <from>
                    <xdr:col>2</xdr:col>
                    <xdr:colOff>7785100</xdr:colOff>
                    <xdr:row>2117</xdr:row>
                    <xdr:rowOff>12700</xdr:rowOff>
                  </from>
                  <to>
                    <xdr:col>2</xdr:col>
                    <xdr:colOff>9093200</xdr:colOff>
                    <xdr:row>2118</xdr:row>
                    <xdr:rowOff>38100</xdr:rowOff>
                  </to>
                </anchor>
              </controlPr>
            </control>
          </mc:Choice>
          <mc:Fallback/>
        </mc:AlternateContent>
        <mc:AlternateContent xmlns:mc="http://schemas.openxmlformats.org/markup-compatibility/2006">
          <mc:Choice Requires="x14">
            <control shapeId="1147" r:id="rId34" name="Button 123">
              <controlPr defaultSize="0" autoFill="0" autoPict="0" macro="[0]!tema14" altText="Borrar">
                <anchor moveWithCells="1" sizeWithCells="1">
                  <from>
                    <xdr:col>2</xdr:col>
                    <xdr:colOff>9207500</xdr:colOff>
                    <xdr:row>2241</xdr:row>
                    <xdr:rowOff>139700</xdr:rowOff>
                  </from>
                  <to>
                    <xdr:col>2</xdr:col>
                    <xdr:colOff>9791700</xdr:colOff>
                    <xdr:row>2243</xdr:row>
                    <xdr:rowOff>12700</xdr:rowOff>
                  </to>
                </anchor>
              </controlPr>
            </control>
          </mc:Choice>
          <mc:Fallback/>
        </mc:AlternateContent>
        <mc:AlternateContent xmlns:mc="http://schemas.openxmlformats.org/markup-compatibility/2006">
          <mc:Choice Requires="x14">
            <control shapeId="1148" r:id="rId35" name="Button 124">
              <controlPr defaultSize="0" autoFill="0" autoPict="0" macro="[0]!Compro14">
                <anchor moveWithCells="1" sizeWithCells="1">
                  <from>
                    <xdr:col>2</xdr:col>
                    <xdr:colOff>7848600</xdr:colOff>
                    <xdr:row>2241</xdr:row>
                    <xdr:rowOff>139700</xdr:rowOff>
                  </from>
                  <to>
                    <xdr:col>2</xdr:col>
                    <xdr:colOff>9156700</xdr:colOff>
                    <xdr:row>2242</xdr:row>
                    <xdr:rowOff>203200</xdr:rowOff>
                  </to>
                </anchor>
              </controlPr>
            </control>
          </mc:Choice>
          <mc:Fallback/>
        </mc:AlternateContent>
        <mc:AlternateContent xmlns:mc="http://schemas.openxmlformats.org/markup-compatibility/2006">
          <mc:Choice Requires="x14">
            <control shapeId="1149" r:id="rId36" name="Button 125">
              <controlPr defaultSize="0" autoFill="0" autoPict="0" macro="[0]!tema15" altText="Borrar">
                <anchor moveWithCells="1" sizeWithCells="1">
                  <from>
                    <xdr:col>2</xdr:col>
                    <xdr:colOff>9207500</xdr:colOff>
                    <xdr:row>2337</xdr:row>
                    <xdr:rowOff>25400</xdr:rowOff>
                  </from>
                  <to>
                    <xdr:col>2</xdr:col>
                    <xdr:colOff>9791700</xdr:colOff>
                    <xdr:row>2338</xdr:row>
                    <xdr:rowOff>101600</xdr:rowOff>
                  </to>
                </anchor>
              </controlPr>
            </control>
          </mc:Choice>
          <mc:Fallback/>
        </mc:AlternateContent>
        <mc:AlternateContent xmlns:mc="http://schemas.openxmlformats.org/markup-compatibility/2006">
          <mc:Choice Requires="x14">
            <control shapeId="1150" r:id="rId37" name="Button 126">
              <controlPr defaultSize="0" autoFill="0" autoPict="0" macro="[0]!Compro15">
                <anchor moveWithCells="1" sizeWithCells="1">
                  <from>
                    <xdr:col>2</xdr:col>
                    <xdr:colOff>7848600</xdr:colOff>
                    <xdr:row>2337</xdr:row>
                    <xdr:rowOff>25400</xdr:rowOff>
                  </from>
                  <to>
                    <xdr:col>2</xdr:col>
                    <xdr:colOff>9156700</xdr:colOff>
                    <xdr:row>2338</xdr:row>
                    <xdr:rowOff>50800</xdr:rowOff>
                  </to>
                </anchor>
              </controlPr>
            </control>
          </mc:Choice>
          <mc:Fallback/>
        </mc:AlternateContent>
        <mc:AlternateContent xmlns:mc="http://schemas.openxmlformats.org/markup-compatibility/2006">
          <mc:Choice Requires="x14">
            <control shapeId="1151" r:id="rId38" name="Button 127">
              <controlPr defaultSize="0" autoFill="0" autoPict="0" macro="[0]!PEC3_BORRAR" altText="Borrar">
                <anchor moveWithCells="1" sizeWithCells="1">
                  <from>
                    <xdr:col>2</xdr:col>
                    <xdr:colOff>9169400</xdr:colOff>
                    <xdr:row>2581</xdr:row>
                    <xdr:rowOff>12700</xdr:rowOff>
                  </from>
                  <to>
                    <xdr:col>2</xdr:col>
                    <xdr:colOff>9779000</xdr:colOff>
                    <xdr:row>2582</xdr:row>
                    <xdr:rowOff>50800</xdr:rowOff>
                  </to>
                </anchor>
              </controlPr>
            </control>
          </mc:Choice>
          <mc:Fallback/>
        </mc:AlternateContent>
        <mc:AlternateContent xmlns:mc="http://schemas.openxmlformats.org/markup-compatibility/2006">
          <mc:Choice Requires="x14">
            <control shapeId="1153" r:id="rId39" name="Button 129">
              <controlPr defaultSize="0" autoFill="0" autoPict="0" macro="[0]!PEC3_COMPRO">
                <anchor moveWithCells="1" sizeWithCells="1">
                  <from>
                    <xdr:col>2</xdr:col>
                    <xdr:colOff>7785100</xdr:colOff>
                    <xdr:row>2581</xdr:row>
                    <xdr:rowOff>12700</xdr:rowOff>
                  </from>
                  <to>
                    <xdr:col>2</xdr:col>
                    <xdr:colOff>9093200</xdr:colOff>
                    <xdr:row>2582</xdr:row>
                    <xdr:rowOff>38100</xdr:rowOff>
                  </to>
                </anchor>
              </controlPr>
            </control>
          </mc:Choice>
          <mc:Fallback/>
        </mc:AlternateContent>
        <mc:AlternateContent xmlns:mc="http://schemas.openxmlformats.org/markup-compatibility/2006">
          <mc:Choice Requires="x14">
            <control shapeId="1155" r:id="rId40" name="Button 131">
              <controlPr defaultSize="0" autoFill="0" autoPict="0" macro="[0]!Macro16_borrar" altText="Borrar">
                <anchor moveWithCells="1" sizeWithCells="1">
                  <from>
                    <xdr:col>2</xdr:col>
                    <xdr:colOff>9169400</xdr:colOff>
                    <xdr:row>2704</xdr:row>
                    <xdr:rowOff>12700</xdr:rowOff>
                  </from>
                  <to>
                    <xdr:col>2</xdr:col>
                    <xdr:colOff>9779000</xdr:colOff>
                    <xdr:row>2705</xdr:row>
                    <xdr:rowOff>101600</xdr:rowOff>
                  </to>
                </anchor>
              </controlPr>
            </control>
          </mc:Choice>
          <mc:Fallback/>
        </mc:AlternateContent>
        <mc:AlternateContent xmlns:mc="http://schemas.openxmlformats.org/markup-compatibility/2006">
          <mc:Choice Requires="x14">
            <control shapeId="1156" r:id="rId41" name="Button 132">
              <controlPr defaultSize="0" autoFill="0" autoPict="0" macro="[0]!Macro16_comprobar">
                <anchor moveWithCells="1" sizeWithCells="1">
                  <from>
                    <xdr:col>2</xdr:col>
                    <xdr:colOff>7785100</xdr:colOff>
                    <xdr:row>2704</xdr:row>
                    <xdr:rowOff>12700</xdr:rowOff>
                  </from>
                  <to>
                    <xdr:col>2</xdr:col>
                    <xdr:colOff>9093200</xdr:colOff>
                    <xdr:row>2705</xdr:row>
                    <xdr:rowOff>88900</xdr:rowOff>
                  </to>
                </anchor>
              </controlPr>
            </control>
          </mc:Choice>
          <mc:Fallback/>
        </mc:AlternateContent>
        <mc:AlternateContent xmlns:mc="http://schemas.openxmlformats.org/markup-compatibility/2006">
          <mc:Choice Requires="x14">
            <control shapeId="1157" r:id="rId42" name="Button 133">
              <controlPr defaultSize="0" autoFill="0" autoPict="0" macro="[0]!Macro17_borrar" altText="Borrar">
                <anchor moveWithCells="1" sizeWithCells="1">
                  <from>
                    <xdr:col>2</xdr:col>
                    <xdr:colOff>9169400</xdr:colOff>
                    <xdr:row>2829</xdr:row>
                    <xdr:rowOff>12700</xdr:rowOff>
                  </from>
                  <to>
                    <xdr:col>2</xdr:col>
                    <xdr:colOff>9779000</xdr:colOff>
                    <xdr:row>2830</xdr:row>
                    <xdr:rowOff>101600</xdr:rowOff>
                  </to>
                </anchor>
              </controlPr>
            </control>
          </mc:Choice>
          <mc:Fallback/>
        </mc:AlternateContent>
        <mc:AlternateContent xmlns:mc="http://schemas.openxmlformats.org/markup-compatibility/2006">
          <mc:Choice Requires="x14">
            <control shapeId="1158" r:id="rId43" name="Button 134">
              <controlPr defaultSize="0" autoFill="0" autoPict="0" macro="[0]!Macro17_comprobar">
                <anchor moveWithCells="1" sizeWithCells="1">
                  <from>
                    <xdr:col>2</xdr:col>
                    <xdr:colOff>7785100</xdr:colOff>
                    <xdr:row>2829</xdr:row>
                    <xdr:rowOff>12700</xdr:rowOff>
                  </from>
                  <to>
                    <xdr:col>2</xdr:col>
                    <xdr:colOff>9093200</xdr:colOff>
                    <xdr:row>2830</xdr:row>
                    <xdr:rowOff>88900</xdr:rowOff>
                  </to>
                </anchor>
              </controlPr>
            </control>
          </mc:Choice>
          <mc:Fallback/>
        </mc:AlternateContent>
        <mc:AlternateContent xmlns:mc="http://schemas.openxmlformats.org/markup-compatibility/2006">
          <mc:Choice Requires="x14">
            <control shapeId="1159" r:id="rId44" name="Button 135">
              <controlPr defaultSize="0" autoFill="0" autoPict="0" macro="[0]!Macro18_borrar" altText="Borrar">
                <anchor moveWithCells="1" sizeWithCells="1">
                  <from>
                    <xdr:col>2</xdr:col>
                    <xdr:colOff>9169400</xdr:colOff>
                    <xdr:row>2955</xdr:row>
                    <xdr:rowOff>12700</xdr:rowOff>
                  </from>
                  <to>
                    <xdr:col>2</xdr:col>
                    <xdr:colOff>9779000</xdr:colOff>
                    <xdr:row>2956</xdr:row>
                    <xdr:rowOff>101600</xdr:rowOff>
                  </to>
                </anchor>
              </controlPr>
            </control>
          </mc:Choice>
          <mc:Fallback/>
        </mc:AlternateContent>
        <mc:AlternateContent xmlns:mc="http://schemas.openxmlformats.org/markup-compatibility/2006">
          <mc:Choice Requires="x14">
            <control shapeId="1160" r:id="rId45" name="Button 136">
              <controlPr defaultSize="0" autoFill="0" autoPict="0" macro="[0]!Macro18_comprobar">
                <anchor moveWithCells="1" sizeWithCells="1">
                  <from>
                    <xdr:col>2</xdr:col>
                    <xdr:colOff>7785100</xdr:colOff>
                    <xdr:row>2955</xdr:row>
                    <xdr:rowOff>12700</xdr:rowOff>
                  </from>
                  <to>
                    <xdr:col>2</xdr:col>
                    <xdr:colOff>9093200</xdr:colOff>
                    <xdr:row>2956</xdr:row>
                    <xdr:rowOff>88900</xdr:rowOff>
                  </to>
                </anchor>
              </controlPr>
            </control>
          </mc:Choice>
          <mc:Fallback/>
        </mc:AlternateContent>
        <mc:AlternateContent xmlns:mc="http://schemas.openxmlformats.org/markup-compatibility/2006">
          <mc:Choice Requires="x14">
            <control shapeId="1162" r:id="rId46" name="Button 138">
              <controlPr defaultSize="0" autoFill="0" autoPict="0" macro="[0]!MacroPEC4_borrar" altText="Borrar">
                <anchor moveWithCells="1" sizeWithCells="1">
                  <from>
                    <xdr:col>2</xdr:col>
                    <xdr:colOff>9169400</xdr:colOff>
                    <xdr:row>3200</xdr:row>
                    <xdr:rowOff>12700</xdr:rowOff>
                  </from>
                  <to>
                    <xdr:col>2</xdr:col>
                    <xdr:colOff>9779000</xdr:colOff>
                    <xdr:row>3201</xdr:row>
                    <xdr:rowOff>101600</xdr:rowOff>
                  </to>
                </anchor>
              </controlPr>
            </control>
          </mc:Choice>
          <mc:Fallback/>
        </mc:AlternateContent>
        <mc:AlternateContent xmlns:mc="http://schemas.openxmlformats.org/markup-compatibility/2006">
          <mc:Choice Requires="x14">
            <control shapeId="1163" r:id="rId47" name="Button 139">
              <controlPr defaultSize="0" autoFill="0" autoPict="0" macro="[0]!MacroPEC4">
                <anchor moveWithCells="1" sizeWithCells="1">
                  <from>
                    <xdr:col>2</xdr:col>
                    <xdr:colOff>7785100</xdr:colOff>
                    <xdr:row>3200</xdr:row>
                    <xdr:rowOff>12700</xdr:rowOff>
                  </from>
                  <to>
                    <xdr:col>2</xdr:col>
                    <xdr:colOff>9093200</xdr:colOff>
                    <xdr:row>3201</xdr:row>
                    <xdr:rowOff>88900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FyLO</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Usuario de Microsoft Office</cp:lastModifiedBy>
  <cp:revision/>
  <dcterms:created xsi:type="dcterms:W3CDTF">2016-11-17T08:46:58Z</dcterms:created>
  <dcterms:modified xsi:type="dcterms:W3CDTF">2017-05-30T09:15:40Z</dcterms:modified>
  <cp:category/>
  <cp:contentStatus/>
</cp:coreProperties>
</file>