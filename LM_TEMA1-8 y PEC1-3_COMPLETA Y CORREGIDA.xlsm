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Volumes/Datos/diegofdez/OneDrive - UNED/ASIR/Modulos/Lenguajes de Marcas y Sistemas/PEC/"/>
    </mc:Choice>
  </mc:AlternateContent>
  <bookViews>
    <workbookView xWindow="0" yWindow="0" windowWidth="25600" windowHeight="16000" tabRatio="500"/>
  </bookViews>
  <sheets>
    <sheet name="LM" sheetId="6" r:id="rId1"/>
  </sheets>
  <definedNames>
    <definedName name="_xlnm.Print_Area" localSheetId="0">LM!$B$1:$H$70</definedName>
    <definedName name="OLE_LINK2" localSheetId="0">LM!$B$72</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732" i="6" l="1"/>
  <c r="H733" i="6"/>
  <c r="H726" i="6"/>
  <c r="H727" i="6"/>
  <c r="H720" i="6"/>
  <c r="H721" i="6"/>
  <c r="H714" i="6"/>
  <c r="H715" i="6"/>
  <c r="H708" i="6"/>
  <c r="H709" i="6"/>
  <c r="H702" i="6"/>
  <c r="H703" i="6"/>
  <c r="H696" i="6"/>
  <c r="H697" i="6"/>
  <c r="H690" i="6"/>
  <c r="H691" i="6"/>
  <c r="H684" i="6"/>
  <c r="H685" i="6"/>
  <c r="H678" i="6"/>
  <c r="H683" i="6"/>
  <c r="H689" i="6"/>
  <c r="H695" i="6"/>
  <c r="H707" i="6"/>
  <c r="H731" i="6"/>
  <c r="H677" i="6"/>
  <c r="F738" i="6"/>
  <c r="G738" i="6"/>
  <c r="F733" i="6"/>
  <c r="F732" i="6"/>
  <c r="F727" i="6"/>
  <c r="F726" i="6"/>
  <c r="H725" i="6"/>
  <c r="F721" i="6"/>
  <c r="F720" i="6"/>
  <c r="H719" i="6"/>
  <c r="F715" i="6"/>
  <c r="F714" i="6"/>
  <c r="H713" i="6"/>
  <c r="F709" i="6"/>
  <c r="F708" i="6"/>
  <c r="F703" i="6"/>
  <c r="F702" i="6"/>
  <c r="H701" i="6"/>
  <c r="F697" i="6"/>
  <c r="F696" i="6"/>
  <c r="F691" i="6"/>
  <c r="F690" i="6"/>
  <c r="F685" i="6"/>
  <c r="F684" i="6"/>
  <c r="H679" i="6"/>
  <c r="F679" i="6"/>
  <c r="F678" i="6"/>
  <c r="H667" i="6"/>
  <c r="H661" i="6"/>
  <c r="H655" i="6"/>
  <c r="H649" i="6"/>
  <c r="H643" i="6"/>
  <c r="H637" i="6"/>
  <c r="H631" i="6"/>
  <c r="H625" i="6"/>
  <c r="H619" i="6"/>
  <c r="H613" i="6"/>
  <c r="F673" i="6"/>
  <c r="G673" i="6"/>
  <c r="H668" i="6"/>
  <c r="H662" i="6"/>
  <c r="H656" i="6"/>
  <c r="H650" i="6"/>
  <c r="H644" i="6"/>
  <c r="H638" i="6"/>
  <c r="H632" i="6"/>
  <c r="H626" i="6"/>
  <c r="H620" i="6"/>
  <c r="H636" i="6"/>
  <c r="G608" i="6"/>
  <c r="H602" i="6"/>
  <c r="H603" i="6"/>
  <c r="H596" i="6"/>
  <c r="H597" i="6"/>
  <c r="H590" i="6"/>
  <c r="H591" i="6"/>
  <c r="H584" i="6"/>
  <c r="H585" i="6"/>
  <c r="H578" i="6"/>
  <c r="H579" i="6"/>
  <c r="H572" i="6"/>
  <c r="H573" i="6"/>
  <c r="H566" i="6"/>
  <c r="H567" i="6"/>
  <c r="H560" i="6"/>
  <c r="H561" i="6"/>
  <c r="H554" i="6"/>
  <c r="H555" i="6"/>
  <c r="H548" i="6"/>
  <c r="F608" i="6"/>
  <c r="H536" i="6"/>
  <c r="H537" i="6"/>
  <c r="H530" i="6"/>
  <c r="H531" i="6"/>
  <c r="H524" i="6"/>
  <c r="H525" i="6"/>
  <c r="H518" i="6"/>
  <c r="H519" i="6"/>
  <c r="H512" i="6"/>
  <c r="H513" i="6"/>
  <c r="H506" i="6"/>
  <c r="H507" i="6"/>
  <c r="H500" i="6"/>
  <c r="H501" i="6"/>
  <c r="H494" i="6"/>
  <c r="H338" i="6"/>
  <c r="H326" i="6"/>
  <c r="H327" i="6"/>
  <c r="H320" i="6"/>
  <c r="H321" i="6"/>
  <c r="H314" i="6"/>
  <c r="H315" i="6"/>
  <c r="H308" i="6"/>
  <c r="H309" i="6"/>
  <c r="H302" i="6"/>
  <c r="H303" i="6"/>
  <c r="H296" i="6"/>
  <c r="H297" i="6"/>
  <c r="H290" i="6"/>
  <c r="H291" i="6"/>
  <c r="H284" i="6"/>
  <c r="H285" i="6"/>
  <c r="H278" i="6"/>
  <c r="H279" i="6"/>
  <c r="H272" i="6"/>
  <c r="H666" i="6"/>
  <c r="H660" i="6"/>
  <c r="H654" i="6"/>
  <c r="H648" i="6"/>
  <c r="H642" i="6"/>
  <c r="H630" i="6"/>
  <c r="H624" i="6"/>
  <c r="H618" i="6"/>
  <c r="H612" i="6"/>
  <c r="F668" i="6"/>
  <c r="F667" i="6"/>
  <c r="F662" i="6"/>
  <c r="F661" i="6"/>
  <c r="F656" i="6"/>
  <c r="F655" i="6"/>
  <c r="F650" i="6"/>
  <c r="F649" i="6"/>
  <c r="F644" i="6"/>
  <c r="F643" i="6"/>
  <c r="F638" i="6"/>
  <c r="F637" i="6"/>
  <c r="F632" i="6"/>
  <c r="F631" i="6"/>
  <c r="F626" i="6"/>
  <c r="F625" i="6"/>
  <c r="F620" i="6"/>
  <c r="F619" i="6"/>
  <c r="H614" i="6"/>
  <c r="F614" i="6"/>
  <c r="F613" i="6"/>
  <c r="H601" i="6"/>
  <c r="H595" i="6"/>
  <c r="H589" i="6"/>
  <c r="H583" i="6"/>
  <c r="H577" i="6"/>
  <c r="F603" i="6"/>
  <c r="F602" i="6"/>
  <c r="F597" i="6"/>
  <c r="F596" i="6"/>
  <c r="F591" i="6"/>
  <c r="F590" i="6"/>
  <c r="F585" i="6"/>
  <c r="F584" i="6"/>
  <c r="F579" i="6"/>
  <c r="F578" i="6"/>
  <c r="H571" i="6"/>
  <c r="H565" i="6"/>
  <c r="H559" i="6"/>
  <c r="H553" i="6"/>
  <c r="H547" i="6"/>
  <c r="F573" i="6"/>
  <c r="F572" i="6"/>
  <c r="F567" i="6"/>
  <c r="F566" i="6"/>
  <c r="F561" i="6"/>
  <c r="F560" i="6"/>
  <c r="F555" i="6"/>
  <c r="F554" i="6"/>
  <c r="H549" i="6"/>
  <c r="F549" i="6"/>
  <c r="F548" i="6"/>
  <c r="H535" i="6"/>
  <c r="H529" i="6"/>
  <c r="H523" i="6"/>
  <c r="H517" i="6"/>
  <c r="H511" i="6"/>
  <c r="H505" i="6"/>
  <c r="H499" i="6"/>
  <c r="H493" i="6"/>
  <c r="G543" i="6"/>
  <c r="H495" i="6"/>
  <c r="F543" i="6"/>
  <c r="F537" i="6"/>
  <c r="F536" i="6"/>
  <c r="F531" i="6"/>
  <c r="F530" i="6"/>
  <c r="F525" i="6"/>
  <c r="F524" i="6"/>
  <c r="F519" i="6"/>
  <c r="F518" i="6"/>
  <c r="F513" i="6"/>
  <c r="F512" i="6"/>
  <c r="F507" i="6"/>
  <c r="F506" i="6"/>
  <c r="F501" i="6"/>
  <c r="F500" i="6"/>
  <c r="F495" i="6"/>
  <c r="F494" i="6"/>
  <c r="H391" i="6"/>
  <c r="H385" i="6"/>
  <c r="H379" i="6"/>
  <c r="H373" i="6"/>
  <c r="H367" i="6"/>
  <c r="H361" i="6"/>
  <c r="H355" i="6"/>
  <c r="H349" i="6"/>
  <c r="H343" i="6"/>
  <c r="H337" i="6"/>
  <c r="H482" i="6"/>
  <c r="H483" i="6"/>
  <c r="H476" i="6"/>
  <c r="H477" i="6"/>
  <c r="H470" i="6"/>
  <c r="H471" i="6"/>
  <c r="H464" i="6"/>
  <c r="H465" i="6"/>
  <c r="H458" i="6"/>
  <c r="H459" i="6"/>
  <c r="H452" i="6"/>
  <c r="H453" i="6"/>
  <c r="H446" i="6"/>
  <c r="H447" i="6"/>
  <c r="H440" i="6"/>
  <c r="H441" i="6"/>
  <c r="F489" i="6"/>
  <c r="G489" i="6"/>
  <c r="H481" i="6"/>
  <c r="H475" i="6"/>
  <c r="H469" i="6"/>
  <c r="H463" i="6"/>
  <c r="H457" i="6"/>
  <c r="H445" i="6"/>
  <c r="H439" i="6"/>
  <c r="H428" i="6"/>
  <c r="H420" i="6"/>
  <c r="H414" i="6"/>
  <c r="H408" i="6"/>
  <c r="H402" i="6"/>
  <c r="H319" i="6"/>
  <c r="H307" i="6"/>
  <c r="H295" i="6"/>
  <c r="H289" i="6"/>
  <c r="H283" i="6"/>
  <c r="H277" i="6"/>
  <c r="H271" i="6"/>
  <c r="H325" i="6"/>
  <c r="H313" i="6"/>
  <c r="H301" i="6"/>
  <c r="H257" i="6"/>
  <c r="H251" i="6"/>
  <c r="H245" i="6"/>
  <c r="H239" i="6"/>
  <c r="H233" i="6"/>
  <c r="H227" i="6"/>
  <c r="H221" i="6"/>
  <c r="H215" i="6"/>
  <c r="H209" i="6"/>
  <c r="H203" i="6"/>
  <c r="H186" i="6"/>
  <c r="H180" i="6"/>
  <c r="H174" i="6"/>
  <c r="H168" i="6"/>
  <c r="H162" i="6"/>
  <c r="H156" i="6"/>
  <c r="H150" i="6"/>
  <c r="H144" i="6"/>
  <c r="H138" i="6"/>
  <c r="H145" i="6"/>
  <c r="H127" i="6"/>
  <c r="H121" i="6"/>
  <c r="H115" i="6"/>
  <c r="H109" i="6"/>
  <c r="H103" i="6"/>
  <c r="H97" i="6"/>
  <c r="H91" i="6"/>
  <c r="H85" i="6"/>
  <c r="H79" i="6"/>
  <c r="H73" i="6"/>
  <c r="H62" i="6"/>
  <c r="H56" i="6"/>
  <c r="H50" i="6"/>
  <c r="H44" i="6"/>
  <c r="H38" i="6"/>
  <c r="H32" i="6"/>
  <c r="H26" i="6"/>
  <c r="H20" i="6"/>
  <c r="H14" i="6"/>
  <c r="H8" i="6"/>
  <c r="H9" i="6"/>
  <c r="H10" i="6"/>
  <c r="H15" i="6"/>
  <c r="H16" i="6"/>
  <c r="H21" i="6"/>
  <c r="H22" i="6"/>
  <c r="H27" i="6"/>
  <c r="H28" i="6"/>
  <c r="H33" i="6"/>
  <c r="H34" i="6"/>
  <c r="H39" i="6"/>
  <c r="H40" i="6"/>
  <c r="H45" i="6"/>
  <c r="H46" i="6"/>
  <c r="H51" i="6"/>
  <c r="H52" i="6"/>
  <c r="H57" i="6"/>
  <c r="H58" i="6"/>
  <c r="H63" i="6"/>
  <c r="H64" i="6"/>
  <c r="G69" i="6"/>
  <c r="G435" i="6"/>
  <c r="H451" i="6"/>
  <c r="H429" i="6"/>
  <c r="H430" i="6"/>
  <c r="H421" i="6"/>
  <c r="H422" i="6"/>
  <c r="H415" i="6"/>
  <c r="H416" i="6"/>
  <c r="H409" i="6"/>
  <c r="H410" i="6"/>
  <c r="H403" i="6"/>
  <c r="H404" i="6"/>
  <c r="F435" i="6"/>
  <c r="H273" i="6"/>
  <c r="F331" i="6"/>
  <c r="F327" i="6"/>
  <c r="F326" i="6"/>
  <c r="G134" i="6"/>
  <c r="H128" i="6"/>
  <c r="H129" i="6"/>
  <c r="H122" i="6"/>
  <c r="H123" i="6"/>
  <c r="H116" i="6"/>
  <c r="H117" i="6"/>
  <c r="H110" i="6"/>
  <c r="H111" i="6"/>
  <c r="H104" i="6"/>
  <c r="H105" i="6"/>
  <c r="H98" i="6"/>
  <c r="H99" i="6"/>
  <c r="H92" i="6"/>
  <c r="H93" i="6"/>
  <c r="H86" i="6"/>
  <c r="H87" i="6"/>
  <c r="H80" i="6"/>
  <c r="H81" i="6"/>
  <c r="H74" i="6"/>
  <c r="H75" i="6"/>
  <c r="F134" i="6"/>
  <c r="H192" i="6"/>
  <c r="G398" i="6"/>
  <c r="H392" i="6"/>
  <c r="H393" i="6"/>
  <c r="H386" i="6"/>
  <c r="H387" i="6"/>
  <c r="H380" i="6"/>
  <c r="H381" i="6"/>
  <c r="H374" i="6"/>
  <c r="H375" i="6"/>
  <c r="H368" i="6"/>
  <c r="H369" i="6"/>
  <c r="H362" i="6"/>
  <c r="H363" i="6"/>
  <c r="H356" i="6"/>
  <c r="H357" i="6"/>
  <c r="H350" i="6"/>
  <c r="H351" i="6"/>
  <c r="H344" i="6"/>
  <c r="H345" i="6"/>
  <c r="H339" i="6"/>
  <c r="F398" i="6"/>
  <c r="G331" i="6"/>
  <c r="G264" i="6"/>
  <c r="H258" i="6"/>
  <c r="H259" i="6"/>
  <c r="H252" i="6"/>
  <c r="H253" i="6"/>
  <c r="H246" i="6"/>
  <c r="H247" i="6"/>
  <c r="H240" i="6"/>
  <c r="H241" i="6"/>
  <c r="H234" i="6"/>
  <c r="H235" i="6"/>
  <c r="H228" i="6"/>
  <c r="H229" i="6"/>
  <c r="H222" i="6"/>
  <c r="H223" i="6"/>
  <c r="H216" i="6"/>
  <c r="H217" i="6"/>
  <c r="H210" i="6"/>
  <c r="H211" i="6"/>
  <c r="H204" i="6"/>
  <c r="H205" i="6"/>
  <c r="F264" i="6"/>
  <c r="G199" i="6"/>
  <c r="H193" i="6"/>
  <c r="H194" i="6"/>
  <c r="H187" i="6"/>
  <c r="H188" i="6"/>
  <c r="H181" i="6"/>
  <c r="H182" i="6"/>
  <c r="H175" i="6"/>
  <c r="H176" i="6"/>
  <c r="H169" i="6"/>
  <c r="H170" i="6"/>
  <c r="H163" i="6"/>
  <c r="H164" i="6"/>
  <c r="H157" i="6"/>
  <c r="H158" i="6"/>
  <c r="H151" i="6"/>
  <c r="H152" i="6"/>
  <c r="H146" i="6"/>
  <c r="H139" i="6"/>
  <c r="H140" i="6"/>
  <c r="F199" i="6"/>
  <c r="F69" i="6"/>
  <c r="F436" i="6"/>
  <c r="F430" i="6"/>
  <c r="F429" i="6"/>
  <c r="F422" i="6"/>
  <c r="F421" i="6"/>
  <c r="F416" i="6"/>
  <c r="F415" i="6"/>
  <c r="F410" i="6"/>
  <c r="F409" i="6"/>
  <c r="F404" i="6"/>
  <c r="F403" i="6"/>
  <c r="F399" i="6"/>
  <c r="F393" i="6"/>
  <c r="F392" i="6"/>
  <c r="F387" i="6"/>
  <c r="F386" i="6"/>
  <c r="F381" i="6"/>
  <c r="F380" i="6"/>
  <c r="F375" i="6"/>
  <c r="F374" i="6"/>
  <c r="F369" i="6"/>
  <c r="F368" i="6"/>
  <c r="F363" i="6"/>
  <c r="F362" i="6"/>
  <c r="F357" i="6"/>
  <c r="F356" i="6"/>
  <c r="F351" i="6"/>
  <c r="F350" i="6"/>
  <c r="F345" i="6"/>
  <c r="F344" i="6"/>
  <c r="F339" i="6"/>
  <c r="F338" i="6"/>
  <c r="F332" i="6"/>
  <c r="F321" i="6"/>
  <c r="F320" i="6"/>
  <c r="F315" i="6"/>
  <c r="F314" i="6"/>
  <c r="F309" i="6"/>
  <c r="F308" i="6"/>
  <c r="F303" i="6"/>
  <c r="F302" i="6"/>
  <c r="F297" i="6"/>
  <c r="F296" i="6"/>
  <c r="F291" i="6"/>
  <c r="F290" i="6"/>
  <c r="F285" i="6"/>
  <c r="F284" i="6"/>
  <c r="F279" i="6"/>
  <c r="F278" i="6"/>
  <c r="F273" i="6"/>
  <c r="F272" i="6"/>
  <c r="F265" i="6"/>
  <c r="F259" i="6"/>
  <c r="F258" i="6"/>
  <c r="F253" i="6"/>
  <c r="F252" i="6"/>
  <c r="F247" i="6"/>
  <c r="F246" i="6"/>
  <c r="F241" i="6"/>
  <c r="F240" i="6"/>
  <c r="F235" i="6"/>
  <c r="F234" i="6"/>
  <c r="F229" i="6"/>
  <c r="F228" i="6"/>
  <c r="F223" i="6"/>
  <c r="F222" i="6"/>
  <c r="F217" i="6"/>
  <c r="F216" i="6"/>
  <c r="F211" i="6"/>
  <c r="F210" i="6"/>
  <c r="F205" i="6"/>
  <c r="F204" i="6"/>
  <c r="F200" i="6"/>
  <c r="F194" i="6"/>
  <c r="F193" i="6"/>
  <c r="F188" i="6"/>
  <c r="F187" i="6"/>
  <c r="F182" i="6"/>
  <c r="F181" i="6"/>
  <c r="F176" i="6"/>
  <c r="F175" i="6"/>
  <c r="F170" i="6"/>
  <c r="F169" i="6"/>
  <c r="F164" i="6"/>
  <c r="F163" i="6"/>
  <c r="F158" i="6"/>
  <c r="F157" i="6"/>
  <c r="F152" i="6"/>
  <c r="F151" i="6"/>
  <c r="F146" i="6"/>
  <c r="F145" i="6"/>
  <c r="F140" i="6"/>
  <c r="F139" i="6"/>
  <c r="F135" i="6"/>
  <c r="F129" i="6"/>
  <c r="F128" i="6"/>
  <c r="F123" i="6"/>
  <c r="F122" i="6"/>
  <c r="F117" i="6"/>
  <c r="F116" i="6"/>
  <c r="F111" i="6"/>
  <c r="F110" i="6"/>
  <c r="F105" i="6"/>
  <c r="F104" i="6"/>
  <c r="F99" i="6"/>
  <c r="F98" i="6"/>
  <c r="F93" i="6"/>
  <c r="F92" i="6"/>
  <c r="F87" i="6"/>
  <c r="F86" i="6"/>
  <c r="F81" i="6"/>
  <c r="F80" i="6"/>
  <c r="F75" i="6"/>
  <c r="F74" i="6"/>
  <c r="F70" i="6"/>
  <c r="F64" i="6"/>
  <c r="F63" i="6"/>
  <c r="F58" i="6"/>
  <c r="F57" i="6"/>
  <c r="F52" i="6"/>
  <c r="F51" i="6"/>
  <c r="F46" i="6"/>
  <c r="F45" i="6"/>
  <c r="F40" i="6"/>
  <c r="F39" i="6"/>
  <c r="F34" i="6"/>
  <c r="F33" i="6"/>
  <c r="F28" i="6"/>
  <c r="F27" i="6"/>
  <c r="F22" i="6"/>
  <c r="F21" i="6"/>
  <c r="F16" i="6"/>
  <c r="F15" i="6"/>
  <c r="F10" i="6"/>
  <c r="F9" i="6"/>
  <c r="F471" i="6"/>
  <c r="F470" i="6"/>
  <c r="F483" i="6"/>
  <c r="F482" i="6"/>
  <c r="F477" i="6"/>
  <c r="F476" i="6"/>
  <c r="F465" i="6"/>
  <c r="F464" i="6"/>
  <c r="F459" i="6"/>
  <c r="F458" i="6"/>
  <c r="F453" i="6"/>
  <c r="F452" i="6"/>
  <c r="F447" i="6"/>
  <c r="F446" i="6"/>
  <c r="F441" i="6"/>
  <c r="F440" i="6"/>
</calcChain>
</file>

<file path=xl/sharedStrings.xml><?xml version="1.0" encoding="utf-8"?>
<sst xmlns="http://schemas.openxmlformats.org/spreadsheetml/2006/main" count="1221" uniqueCount="514">
  <si>
    <t>TEMA 1</t>
  </si>
  <si>
    <t>Marca con una X la respuesta correcta</t>
  </si>
  <si>
    <t>CORRECTO</t>
  </si>
  <si>
    <t>Preguntas correctas = 1 punto</t>
  </si>
  <si>
    <t>Preguntas falladas = -0.33 puntos</t>
  </si>
  <si>
    <t>Preguntas no respondida = 0 puntos</t>
  </si>
  <si>
    <t>APROBADO</t>
  </si>
  <si>
    <t>SUSPENDIDO</t>
  </si>
  <si>
    <t>NOTA</t>
  </si>
  <si>
    <t>TEMA 2</t>
  </si>
  <si>
    <t>TEMA 3</t>
  </si>
  <si>
    <t>TEMA 4</t>
  </si>
  <si>
    <t>TEMA 5</t>
  </si>
  <si>
    <t>TEMA  7</t>
  </si>
  <si>
    <t>a</t>
  </si>
  <si>
    <t>b</t>
  </si>
  <si>
    <t>c</t>
  </si>
  <si>
    <t>d</t>
  </si>
  <si>
    <t>e</t>
  </si>
  <si>
    <t>E</t>
  </si>
  <si>
    <t>1 .-Indicar cuál de las siguientes afirmaciones es cierta:</t>
  </si>
  <si>
    <t>•</t>
  </si>
  <si>
    <t>LaTeX es un lenguaje orientado a presentación.</t>
  </si>
  <si>
    <t xml:space="preserve">LaTeX es un lenguaje procedural. </t>
  </si>
  <si>
    <t>LaTeX es un lenguaje descriptivo.</t>
  </si>
  <si>
    <t>2 .-SGML es un lenguaje</t>
  </si>
  <si>
    <t>Orientado a presentación</t>
  </si>
  <si>
    <t>Procedural</t>
  </si>
  <si>
    <t>Descriptivo</t>
  </si>
  <si>
    <t>3 .-Indicar cuál de las siguientes afirmaciones es cierta:</t>
  </si>
  <si>
    <t>El consorcio W3C comenzó una iniciativa para intentar dotar a la web de un lenguaje más potente y que pudiera dar una estructurar semántica a la misma.</t>
  </si>
  <si>
    <t>ISO comenzó una iniciativa para intentar dotar a la web de un lenguaje más potente y que pudiera dar una estructurar semántica a la misma.</t>
  </si>
  <si>
    <t>El lenguaje GML fue propuesto por el consorcio W3C.</t>
  </si>
  <si>
    <t>4 .-Indicar cuál de las siguientes afirmaciones es cierta:</t>
  </si>
  <si>
    <t>Algunos elementos no tienen contenido. Se les denomina elementos vacíos y no deben llevar etiqueta de fin.</t>
  </si>
  <si>
    <t>Todos los elementos tienen que llevar obligatoriamente etiqueta de inicio y de final.</t>
  </si>
  <si>
    <t>Un atributo es un nombre que se encuentra dentro de la etiqueta de inicio de un elemento.</t>
  </si>
  <si>
    <t>5 .-Dado el siguiente texto:&lt;casa calle=”Juan del Rosal”&gt; &lt;/casa&gt; Diríamos que casa es</t>
  </si>
  <si>
    <t xml:space="preserve">Una etiqueta </t>
  </si>
  <si>
    <t xml:space="preserve">Un elemento </t>
  </si>
  <si>
    <t>Un atributo</t>
  </si>
  <si>
    <t>6 .-Dado el siguiente texto &lt;casa calle=”Juan del Rosal”&gt; &lt;/casa&gt; Diríamos que calle es</t>
  </si>
  <si>
    <t>Un atributo​</t>
  </si>
  <si>
    <t>7 .-Dado el siguiente texto &lt;casa calle=”Juan del Rosal”&gt; &lt;/casa&gt; Diríamos que &lt;casa&gt; es</t>
  </si>
  <si>
    <t>8 .-Indicar cuál de las siguientes afirmaciones falsa:</t>
  </si>
  <si>
    <t>En la DTD se identifica la estructura del documento.</t>
  </si>
  <si>
    <t>Las DTD pueden ser internas o externas a documento, o ambas cosas a la vez.</t>
  </si>
  <si>
    <t>En la DTD no se definen todos los elementos.</t>
  </si>
  <si>
    <t>9 .-Indicar cuál de las siguientes afirmaciones falsa:</t>
  </si>
  <si>
    <t>XML Schema es la evolución de la DTD descrita por el W3C.</t>
  </si>
  <si>
    <t xml:space="preserve">A XML Schema también se le denomina XSD </t>
  </si>
  <si>
    <t>A XML Schema también se le denomina RELAX NG.</t>
  </si>
  <si>
    <t>10 .-Indicar cuál de las siguientes afirmaciones falsa:</t>
  </si>
  <si>
    <t xml:space="preserve">El modelo de datos de XML Schema incluye el vocabulario. </t>
  </si>
  <si>
    <t xml:space="preserve">El modelo de datos de XML Schema no incluyen los tipos de datos. </t>
  </si>
  <si>
    <t>El modelo de datos de XML Schema incluyen los elementos.</t>
  </si>
  <si>
    <t>1 .-¿Qué etiqueta sirve en HTML para definir un párrafo?</t>
  </si>
  <si>
    <t>2 .-En HTML, ¿qué atributo de una imagen se usa para indicar la URL de la imagen?</t>
  </si>
  <si>
    <t>3 .-¿Qué significa XHTML?</t>
  </si>
  <si>
    <t>4 .-En XHTML, ¿cuál es el nombre del elemento raíz?</t>
  </si>
  <si>
    <t>5 .-¿Cuál es la diferencia entre el elemento &lt;ul&gt; y el elemento &lt;ol&gt;?</t>
  </si>
  <si>
    <t>6 .-¿Cuál de las siguientes etiquetas es válidas en XHTML?</t>
  </si>
  <si>
    <t>7 .-Dada la siguiente imagen,¿Qué elemento de un formulario representa?</t>
  </si>
  <si>
    <t>8 .-Los métodos HTTP posibles para enviar datos desde un formulario son:</t>
  </si>
  <si>
    <t>9 .- Sea el siguiente fragmento del fichero stilo.css en CSS: p { font-size : 12px } Si usamos el fichero stilo.css en nuestro documento XHTML, este fragmento de estilo se aplica a:</t>
  </si>
  <si>
    <t>10 .- En CSS, ¿para qué se usa el selector que comienza con#?</t>
  </si>
  <si>
    <r>
      <t>·</t>
    </r>
    <r>
      <rPr>
        <sz val="12"/>
        <rFont val="Times New Roman"/>
      </rPr>
      <t xml:space="preserve">       </t>
    </r>
    <r>
      <rPr>
        <sz val="12"/>
        <rFont val="Arial"/>
      </rPr>
      <t>&lt;img&gt;</t>
    </r>
  </si>
  <si>
    <r>
      <t>·</t>
    </r>
    <r>
      <rPr>
        <sz val="12"/>
        <rFont val="Times New Roman"/>
      </rPr>
      <t xml:space="preserve">       </t>
    </r>
    <r>
      <rPr>
        <sz val="12"/>
        <rFont val="Arial"/>
      </rPr>
      <t>&lt;br&gt;</t>
    </r>
  </si>
  <si>
    <r>
      <t>·</t>
    </r>
    <r>
      <rPr>
        <sz val="12"/>
        <rFont val="Times New Roman"/>
      </rPr>
      <t xml:space="preserve">       </t>
    </r>
    <r>
      <rPr>
        <sz val="12"/>
        <rFont val="Arial"/>
      </rPr>
      <t>&lt;b&gt;</t>
    </r>
  </si>
  <si>
    <r>
      <t>·</t>
    </r>
    <r>
      <rPr>
        <sz val="12"/>
        <rFont val="Times New Roman"/>
      </rPr>
      <t xml:space="preserve">       </t>
    </r>
    <r>
      <rPr>
        <sz val="12"/>
        <rFont val="Arial"/>
      </rPr>
      <t>Img.</t>
    </r>
  </si>
  <si>
    <r>
      <t>·</t>
    </r>
    <r>
      <rPr>
        <sz val="12"/>
        <rFont val="Times New Roman"/>
      </rPr>
      <t xml:space="preserve">       </t>
    </r>
    <r>
      <rPr>
        <sz val="12"/>
        <rFont val="Arial"/>
      </rPr>
      <t>url.</t>
    </r>
  </si>
  <si>
    <r>
      <t>·</t>
    </r>
    <r>
      <rPr>
        <sz val="12"/>
        <rFont val="Times New Roman"/>
      </rPr>
      <t xml:space="preserve">       </t>
    </r>
    <r>
      <rPr>
        <sz val="12"/>
        <rFont val="Arial"/>
      </rPr>
      <t>Source.</t>
    </r>
  </si>
  <si>
    <r>
      <t>·</t>
    </r>
    <r>
      <rPr>
        <sz val="12"/>
        <rFont val="Times New Roman"/>
      </rPr>
      <t xml:space="preserve">       </t>
    </r>
    <r>
      <rPr>
        <sz val="12"/>
        <rFont val="Arial"/>
      </rPr>
      <t>eXtra Huge Templa tes Markup Language.</t>
    </r>
  </si>
  <si>
    <r>
      <t>·</t>
    </r>
    <r>
      <rPr>
        <sz val="12"/>
        <rFont val="Times New Roman"/>
      </rPr>
      <t xml:space="preserve">       </t>
    </r>
    <r>
      <rPr>
        <sz val="12"/>
        <rFont val="Arial"/>
      </rPr>
      <t>eXtended Huge Templates Markup Language.</t>
    </r>
  </si>
  <si>
    <r>
      <t>·</t>
    </r>
    <r>
      <rPr>
        <sz val="12"/>
        <rFont val="Times New Roman"/>
      </rPr>
      <t xml:space="preserve">       </t>
    </r>
    <r>
      <rPr>
        <sz val="12"/>
        <rFont val="Arial"/>
      </rPr>
      <t>eXtra HyperText Markup Language.</t>
    </r>
  </si>
  <si>
    <r>
      <t>·</t>
    </r>
    <r>
      <rPr>
        <sz val="12"/>
        <rFont val="Times New Roman"/>
      </rPr>
      <t xml:space="preserve">       </t>
    </r>
    <r>
      <rPr>
        <sz val="12"/>
        <rFont val="Arial"/>
      </rPr>
      <t>&lt;head&gt;.</t>
    </r>
  </si>
  <si>
    <r>
      <t>·</t>
    </r>
    <r>
      <rPr>
        <sz val="12"/>
        <rFont val="Times New Roman"/>
      </rPr>
      <t xml:space="preserve">       </t>
    </r>
    <r>
      <rPr>
        <sz val="12"/>
        <rFont val="Arial"/>
      </rPr>
      <t>&lt;xhtml&gt;.</t>
    </r>
  </si>
  <si>
    <r>
      <t>·</t>
    </r>
    <r>
      <rPr>
        <sz val="12"/>
        <rFont val="Times New Roman"/>
      </rPr>
      <t xml:space="preserve">       </t>
    </r>
    <r>
      <rPr>
        <sz val="12"/>
        <rFont val="Arial"/>
      </rPr>
      <t>No hay un único elemento raíz.</t>
    </r>
  </si>
  <si>
    <r>
      <t>·</t>
    </r>
    <r>
      <rPr>
        <sz val="12"/>
        <rFont val="Times New Roman"/>
      </rPr>
      <t xml:space="preserve">       </t>
    </r>
    <r>
      <rPr>
        <sz val="12"/>
        <rFont val="Arial"/>
      </rPr>
      <t>&lt;ul&gt; es para indicar una lista y &lt;ol&gt; para definir los elementos dentro de la lista.</t>
    </r>
  </si>
  <si>
    <r>
      <t>·</t>
    </r>
    <r>
      <rPr>
        <sz val="12"/>
        <rFont val="Times New Roman"/>
      </rPr>
      <t xml:space="preserve">       </t>
    </r>
    <r>
      <rPr>
        <sz val="12"/>
        <rFont val="Arial"/>
      </rPr>
      <t>&lt;ol&gt; es para indicar una lista y &lt;ul&gt; para definir los elementos dentro de la lista.</t>
    </r>
  </si>
  <si>
    <r>
      <t>·</t>
    </r>
    <r>
      <rPr>
        <sz val="12"/>
        <rFont val="Times New Roman"/>
      </rPr>
      <t xml:space="preserve">       </t>
    </r>
    <r>
      <rPr>
        <sz val="12"/>
        <rFont val="Arial"/>
      </rPr>
      <t>&lt;ol&gt; es para listas desordenadas y &lt;ul&gt; para listas ordenadas.</t>
    </r>
  </si>
  <si>
    <r>
      <t>·</t>
    </r>
    <r>
      <rPr>
        <sz val="12"/>
        <rFont val="Times New Roman"/>
      </rPr>
      <t xml:space="preserve">       </t>
    </r>
    <r>
      <rPr>
        <sz val="12"/>
        <rFont val="Arial"/>
      </rPr>
      <t>&lt;head&gt;&lt;/Head&gt;.</t>
    </r>
  </si>
  <si>
    <r>
      <t>·</t>
    </r>
    <r>
      <rPr>
        <sz val="12"/>
        <rFont val="Times New Roman"/>
      </rPr>
      <t xml:space="preserve">       </t>
    </r>
    <r>
      <rPr>
        <sz val="12"/>
        <rFont val="Arial"/>
      </rPr>
      <t>&lt;imgsrc=imagen.jpg&gt;.</t>
    </r>
  </si>
  <si>
    <r>
      <t>·</t>
    </r>
    <r>
      <rPr>
        <sz val="12"/>
        <rFont val="Times New Roman"/>
      </rPr>
      <t xml:space="preserve">       </t>
    </r>
    <r>
      <rPr>
        <sz val="12"/>
        <rFont val="Arial"/>
      </rPr>
      <t>&lt;p&gt;&lt;br&gt;&lt;lp&gt;&lt;lbr&gt;.</t>
    </r>
  </si>
  <si>
    <r>
      <t>·</t>
    </r>
    <r>
      <rPr>
        <sz val="12"/>
        <rFont val="Times New Roman"/>
      </rPr>
      <t xml:space="preserve">       </t>
    </r>
    <r>
      <rPr>
        <sz val="12"/>
        <rFont val="Arial"/>
      </rPr>
      <t>Un componente de control de menú &lt;select&gt;.</t>
    </r>
  </si>
  <si>
    <r>
      <t>·</t>
    </r>
    <r>
      <rPr>
        <sz val="12"/>
        <rFont val="Times New Roman"/>
      </rPr>
      <t xml:space="preserve">       </t>
    </r>
    <r>
      <rPr>
        <sz val="12"/>
        <rFont val="Arial"/>
      </rPr>
      <t>Un botón &lt;input type=”submit”&gt;</t>
    </r>
  </si>
  <si>
    <r>
      <t>·</t>
    </r>
    <r>
      <rPr>
        <sz val="12"/>
        <rFont val="Times New Roman"/>
      </rPr>
      <t xml:space="preserve">       </t>
    </r>
    <r>
      <rPr>
        <sz val="12"/>
        <rFont val="Arial"/>
      </rPr>
      <t>Un botón de radio &lt;input type=’radio’&gt;</t>
    </r>
  </si>
  <si>
    <r>
      <t>·</t>
    </r>
    <r>
      <rPr>
        <sz val="12"/>
        <rFont val="Times New Roman"/>
      </rPr>
      <t xml:space="preserve">       </t>
    </r>
    <r>
      <rPr>
        <sz val="12"/>
        <rFont val="Arial"/>
      </rPr>
      <t>POST y PUT</t>
    </r>
  </si>
  <si>
    <r>
      <t>·</t>
    </r>
    <r>
      <rPr>
        <sz val="12"/>
        <rFont val="Times New Roman"/>
      </rPr>
      <t xml:space="preserve">       </t>
    </r>
    <r>
      <rPr>
        <sz val="12"/>
        <rFont val="Arial"/>
      </rPr>
      <t>POST y DELETE</t>
    </r>
  </si>
  <si>
    <r>
      <t>·</t>
    </r>
    <r>
      <rPr>
        <sz val="12"/>
        <rFont val="Times New Roman"/>
      </rPr>
      <t xml:space="preserve">       </t>
    </r>
    <r>
      <rPr>
        <sz val="12"/>
        <rFont val="Arial"/>
      </rPr>
      <t>GET y PUT</t>
    </r>
  </si>
  <si>
    <r>
      <t>·</t>
    </r>
    <r>
      <rPr>
        <sz val="12"/>
        <rFont val="Times New Roman"/>
      </rPr>
      <t xml:space="preserve">       </t>
    </r>
    <r>
      <rPr>
        <sz val="12"/>
        <rFont val="Arial"/>
      </rPr>
      <t>El primer párrafo que se encuentre el documento dentro del elemento &lt;p&gt;</t>
    </r>
  </si>
  <si>
    <r>
      <t>·</t>
    </r>
    <r>
      <rPr>
        <sz val="12"/>
        <rFont val="Times New Roman"/>
      </rPr>
      <t xml:space="preserve">       </t>
    </r>
    <r>
      <rPr>
        <sz val="12"/>
        <rFont val="Arial"/>
      </rPr>
      <t>Al elemento cuyo identificador sea p independientemente del tipo de elemento que sea. Es decir &lt;… id=’p’&gt;</t>
    </r>
  </si>
  <si>
    <r>
      <t>·</t>
    </r>
    <r>
      <rPr>
        <sz val="12"/>
        <rFont val="Times New Roman"/>
      </rPr>
      <t xml:space="preserve">       </t>
    </r>
    <r>
      <rPr>
        <sz val="12"/>
        <rFont val="Arial"/>
      </rPr>
      <t>No existe el elemento &lt;p&gt; en XHTML y por lo tanto no se aplica.</t>
    </r>
  </si>
  <si>
    <r>
      <t>·</t>
    </r>
    <r>
      <rPr>
        <sz val="12"/>
        <rFont val="Times New Roman"/>
      </rPr>
      <t xml:space="preserve">       </t>
    </r>
    <r>
      <rPr>
        <sz val="12"/>
        <rFont val="Arial"/>
      </rPr>
      <t>Seleccionar varios elementos de una clase.</t>
    </r>
  </si>
  <si>
    <r>
      <t>·</t>
    </r>
    <r>
      <rPr>
        <sz val="12"/>
        <rFont val="Times New Roman"/>
      </rPr>
      <t xml:space="preserve">       </t>
    </r>
    <r>
      <rPr>
        <sz val="12"/>
        <rFont val="Arial"/>
      </rPr>
      <t>Seleccionar todos los elementos de un tipo.</t>
    </r>
  </si>
  <si>
    <r>
      <t>·</t>
    </r>
    <r>
      <rPr>
        <sz val="12"/>
        <rFont val="Times New Roman"/>
      </rPr>
      <t xml:space="preserve">       </t>
    </r>
    <r>
      <rPr>
        <sz val="12"/>
        <rFont val="Arial"/>
      </rPr>
      <t>Un selector nunca debe comenzar con #.</t>
    </r>
  </si>
  <si>
    <r>
      <t>·</t>
    </r>
    <r>
      <rPr>
        <sz val="12"/>
        <rFont val="Times New Roman"/>
      </rPr>
      <t xml:space="preserve">       </t>
    </r>
    <r>
      <rPr>
        <sz val="12"/>
        <rFont val="Arial"/>
      </rPr>
      <t>&lt;p&gt;</t>
    </r>
  </si>
  <si>
    <r>
      <t>·</t>
    </r>
    <r>
      <rPr>
        <sz val="12"/>
        <rFont val="Times New Roman"/>
      </rPr>
      <t xml:space="preserve">       </t>
    </r>
    <r>
      <rPr>
        <sz val="12"/>
        <rFont val="Arial"/>
      </rPr>
      <t>Src.</t>
    </r>
  </si>
  <si>
    <r>
      <t>·</t>
    </r>
    <r>
      <rPr>
        <sz val="12"/>
        <rFont val="Times New Roman"/>
      </rPr>
      <t xml:space="preserve">       </t>
    </r>
    <r>
      <rPr>
        <sz val="12"/>
        <rFont val="Arial"/>
      </rPr>
      <t>eXtended HyperText Markup Language.:</t>
    </r>
  </si>
  <si>
    <r>
      <t>·</t>
    </r>
    <r>
      <rPr>
        <sz val="12"/>
        <rFont val="Times New Roman"/>
      </rPr>
      <t xml:space="preserve">       </t>
    </r>
    <r>
      <rPr>
        <sz val="12"/>
        <rFont val="Arial"/>
      </rPr>
      <t>&lt;html&gt;.</t>
    </r>
  </si>
  <si>
    <r>
      <t>·</t>
    </r>
    <r>
      <rPr>
        <sz val="12"/>
        <rFont val="Times New Roman"/>
      </rPr>
      <t xml:space="preserve">       </t>
    </r>
    <r>
      <rPr>
        <sz val="12"/>
        <rFont val="Arial"/>
      </rPr>
      <t>&lt;ul&gt; es para listas desordenadas y &lt;ol&gt; para listas ordenadas.</t>
    </r>
  </si>
  <si>
    <r>
      <t>·</t>
    </r>
    <r>
      <rPr>
        <sz val="12"/>
        <rFont val="Times New Roman"/>
      </rPr>
      <t xml:space="preserve">       </t>
    </r>
    <r>
      <rPr>
        <sz val="12"/>
        <rFont val="Arial"/>
      </rPr>
      <t>&lt;br/&gt;.</t>
    </r>
  </si>
  <si>
    <r>
      <t>·</t>
    </r>
    <r>
      <rPr>
        <sz val="12"/>
        <rFont val="Times New Roman"/>
      </rPr>
      <t xml:space="preserve">       </t>
    </r>
    <r>
      <rPr>
        <sz val="12"/>
        <rFont val="Arial"/>
      </rPr>
      <t>POST y GET</t>
    </r>
  </si>
  <si>
    <r>
      <t>·</t>
    </r>
    <r>
      <rPr>
        <sz val="12"/>
        <rFont val="Times New Roman"/>
      </rPr>
      <t xml:space="preserve">       </t>
    </r>
    <r>
      <rPr>
        <sz val="12"/>
        <rFont val="Arial"/>
      </rPr>
      <t>A todos los párrafos entre del documento que se definan con el elemento &lt;p&gt;</t>
    </r>
  </si>
  <si>
    <r>
      <t>·</t>
    </r>
    <r>
      <rPr>
        <sz val="12"/>
        <rFont val="Times New Roman"/>
      </rPr>
      <t xml:space="preserve">       </t>
    </r>
    <r>
      <rPr>
        <sz val="12"/>
        <rFont val="Arial"/>
      </rPr>
      <t>Seleccionar un único elemento.</t>
    </r>
  </si>
  <si>
    <t>Un cuadro de texto &lt;input type=’text’&gt;</t>
  </si>
  <si>
    <t>1 .-¿Qué relación tienen el SGML y el XML?</t>
  </si>
  <si>
    <t>2 .-Los lenguajes para el almacenamiento y transmisión de la información puedes ser de dos tipos:</t>
  </si>
  <si>
    <t>3 .-¿Cuál de las siguientes líneas de XML es correcta?</t>
  </si>
  <si>
    <t>4 .- Las etiquetas Casa y casa son:</t>
  </si>
  <si>
    <t>5 .-Para  escribir dentro de un elemento &lt;marca&gt; el texto “Smith&amp;Smith” dentro de un documento XML válido:</t>
  </si>
  <si>
    <t>6 .- Una sección CDATA sirve para:</t>
  </si>
  <si>
    <t>7 .- ¿Cuál de las siguientes afirmaciones es correcta?</t>
  </si>
  <si>
    <t>8 .-¿Cuál es la función principal de un espacio nombres?</t>
  </si>
  <si>
    <t>9 .- Un documento válido:</t>
  </si>
  <si>
    <t>10 .- Dado el espacio de nombres &lt;test xmlns:test=”http://www.test.com/preguntas”&gt;, ¿cómo añadiríamos de forma más correcta y de acuerdo al libro a un documento XML el elemento pregunta correspondiente a dicho espacio de nombres?:</t>
  </si>
  <si>
    <r>
      <t>·</t>
    </r>
    <r>
      <rPr>
        <sz val="12"/>
        <rFont val="Times New Roman"/>
      </rPr>
      <t xml:space="preserve">       </t>
    </r>
    <r>
      <rPr>
        <sz val="12"/>
        <rFont val="Arial"/>
      </rPr>
      <t>El SGML es un derivado del XML.</t>
    </r>
  </si>
  <si>
    <r>
      <t>·</t>
    </r>
    <r>
      <rPr>
        <sz val="12"/>
        <rFont val="Times New Roman"/>
      </rPr>
      <t xml:space="preserve">       </t>
    </r>
    <r>
      <rPr>
        <sz val="12"/>
        <rFont val="Arial"/>
      </rPr>
      <t>EL XML es un derivado del SGML.</t>
    </r>
  </si>
  <si>
    <r>
      <t>·</t>
    </r>
    <r>
      <rPr>
        <sz val="12"/>
        <rFont val="Times New Roman"/>
      </rPr>
      <t xml:space="preserve">       </t>
    </r>
    <r>
      <rPr>
        <sz val="12"/>
        <rFont val="Arial"/>
      </rPr>
      <t>Son el mismo lenguaje.</t>
    </r>
  </si>
  <si>
    <r>
      <t>·</t>
    </r>
    <r>
      <rPr>
        <sz val="12"/>
        <rFont val="Times New Roman"/>
      </rPr>
      <t xml:space="preserve">       </t>
    </r>
    <r>
      <rPr>
        <sz val="12"/>
        <rFont val="Arial"/>
      </rPr>
      <t>Ninguna de las anteriores es correcta.</t>
    </r>
  </si>
  <si>
    <r>
      <t>·</t>
    </r>
    <r>
      <rPr>
        <sz val="12"/>
        <rFont val="Times New Roman"/>
      </rPr>
      <t xml:space="preserve">       </t>
    </r>
    <r>
      <rPr>
        <sz val="12"/>
        <rFont val="Arial"/>
      </rPr>
      <t>De marcas y de registros</t>
    </r>
  </si>
  <si>
    <r>
      <t>·</t>
    </r>
    <r>
      <rPr>
        <sz val="12"/>
        <rFont val="Times New Roman"/>
      </rPr>
      <t xml:space="preserve">       </t>
    </r>
    <r>
      <rPr>
        <sz val="12"/>
        <rFont val="Arial"/>
      </rPr>
      <t>De etiquetas y de listas</t>
    </r>
  </si>
  <si>
    <r>
      <t>·</t>
    </r>
    <r>
      <rPr>
        <sz val="12"/>
        <rFont val="Times New Roman"/>
      </rPr>
      <t xml:space="preserve">       </t>
    </r>
    <r>
      <rPr>
        <sz val="12"/>
        <rFont val="Arial"/>
      </rPr>
      <t>De ficheros y de listas</t>
    </r>
  </si>
  <si>
    <r>
      <t>·</t>
    </r>
    <r>
      <rPr>
        <sz val="12"/>
        <rFont val="Times New Roman"/>
      </rPr>
      <t xml:space="preserve">       </t>
    </r>
    <r>
      <rPr>
        <sz val="12"/>
        <rFont val="Arial"/>
      </rPr>
      <t>De marcas y de listas</t>
    </r>
  </si>
  <si>
    <r>
      <t>·</t>
    </r>
    <r>
      <rPr>
        <sz val="12"/>
        <rFont val="Times New Roman"/>
      </rPr>
      <t xml:space="preserve">       </t>
    </r>
    <r>
      <rPr>
        <sz val="12"/>
        <rFont val="Arial"/>
      </rPr>
      <t>&lt;nombre&gt; Pablo&lt;nombre&gt;.</t>
    </r>
  </si>
  <si>
    <r>
      <t>·</t>
    </r>
    <r>
      <rPr>
        <sz val="12"/>
        <rFont val="Times New Roman"/>
      </rPr>
      <t xml:space="preserve">       </t>
    </r>
    <r>
      <rPr>
        <sz val="12"/>
        <rFont val="Arial"/>
      </rPr>
      <t>&lt;persona nombre="Pablo"&gt;.</t>
    </r>
  </si>
  <si>
    <r>
      <t>·</t>
    </r>
    <r>
      <rPr>
        <sz val="12"/>
        <rFont val="Times New Roman"/>
      </rPr>
      <t xml:space="preserve">       </t>
    </r>
    <r>
      <rPr>
        <sz val="12"/>
        <rFont val="Arial"/>
      </rPr>
      <t>&lt;persona nombre="Pablo"/&gt;.</t>
    </r>
  </si>
  <si>
    <r>
      <t>·</t>
    </r>
    <r>
      <rPr>
        <sz val="12"/>
        <rFont val="Times New Roman"/>
      </rPr>
      <t xml:space="preserve">       </t>
    </r>
    <r>
      <rPr>
        <sz val="12"/>
        <rFont val="Arial"/>
      </rPr>
      <t>&lt;Nombre="Pablo"&gt;&lt;/nombre&gt;.</t>
    </r>
  </si>
  <si>
    <r>
      <t>·</t>
    </r>
    <r>
      <rPr>
        <sz val="12"/>
        <rFont val="Times New Roman"/>
      </rPr>
      <t xml:space="preserve">       </t>
    </r>
    <r>
      <rPr>
        <sz val="12"/>
        <rFont val="Arial"/>
      </rPr>
      <t>Equivalentes, ya que XML no diferencia mayúsculas ni minúsculas</t>
    </r>
  </si>
  <si>
    <r>
      <t>·</t>
    </r>
    <r>
      <rPr>
        <sz val="12"/>
        <rFont val="Times New Roman"/>
      </rPr>
      <t xml:space="preserve">       </t>
    </r>
    <r>
      <rPr>
        <sz val="12"/>
        <rFont val="Arial"/>
      </rPr>
      <t>Casa no es válida porque no se permiten las mayúsculas.</t>
    </r>
  </si>
  <si>
    <r>
      <t>·</t>
    </r>
    <r>
      <rPr>
        <sz val="12"/>
        <rFont val="Times New Roman"/>
      </rPr>
      <t xml:space="preserve">       </t>
    </r>
    <r>
      <rPr>
        <sz val="12"/>
        <rFont val="Arial"/>
      </rPr>
      <t>Distintas, ya que XML diferencia mayúsculas ni minúsculas.</t>
    </r>
  </si>
  <si>
    <r>
      <t>·</t>
    </r>
    <r>
      <rPr>
        <sz val="12"/>
        <rFont val="Times New Roman"/>
      </rPr>
      <t xml:space="preserve">       </t>
    </r>
    <r>
      <rPr>
        <sz val="12"/>
        <rFont val="Arial"/>
      </rPr>
      <t>No validas ya que es un requisito que incluyan algún número.</t>
    </r>
  </si>
  <si>
    <r>
      <t>·</t>
    </r>
    <r>
      <rPr>
        <sz val="12"/>
        <rFont val="Times New Roman"/>
      </rPr>
      <t xml:space="preserve">       </t>
    </r>
    <r>
      <rPr>
        <sz val="12"/>
        <rFont val="Arial"/>
      </rPr>
      <t>&lt;marca&gt; Smith&amp;amp;Smith&lt;/marca&gt;</t>
    </r>
  </si>
  <si>
    <r>
      <t>·</t>
    </r>
    <r>
      <rPr>
        <sz val="12"/>
        <rFont val="Times New Roman"/>
      </rPr>
      <t xml:space="preserve">       </t>
    </r>
    <r>
      <rPr>
        <sz val="12"/>
        <rFont val="Arial"/>
      </rPr>
      <t>&lt;marca id=’&amp;amp;’&gt; Smith&amp;Smith &lt;/marca&gt;</t>
    </r>
  </si>
  <si>
    <r>
      <t>·</t>
    </r>
    <r>
      <rPr>
        <sz val="12"/>
        <rFont val="Times New Roman"/>
      </rPr>
      <t xml:space="preserve">       </t>
    </r>
    <r>
      <rPr>
        <sz val="12"/>
        <rFont val="Arial"/>
      </rPr>
      <t>&lt;marca texto=’Smith&amp;Smith’/&gt;</t>
    </r>
  </si>
  <si>
    <r>
      <t>·</t>
    </r>
    <r>
      <rPr>
        <sz val="12"/>
        <rFont val="Times New Roman"/>
      </rPr>
      <t xml:space="preserve">       </t>
    </r>
    <r>
      <rPr>
        <sz val="12"/>
        <rFont val="Arial"/>
      </rPr>
      <t>&lt;marca&gt; Smith&amp;quot;Smith &lt;/&gt;</t>
    </r>
  </si>
  <si>
    <r>
      <t>·</t>
    </r>
    <r>
      <rPr>
        <sz val="12"/>
        <rFont val="Times New Roman"/>
      </rPr>
      <t xml:space="preserve">       </t>
    </r>
    <r>
      <rPr>
        <sz val="12"/>
        <rFont val="Arial"/>
      </rPr>
      <t>Poner datos adicionales sobre el tipo de fichero XML.</t>
    </r>
  </si>
  <si>
    <r>
      <t>·</t>
    </r>
    <r>
      <rPr>
        <sz val="12"/>
        <rFont val="Times New Roman"/>
      </rPr>
      <t xml:space="preserve">       </t>
    </r>
    <r>
      <rPr>
        <sz val="12"/>
        <rFont val="Arial"/>
      </rPr>
      <t>Sirve para añadir metadatos adicionales en la cabecera XML.</t>
    </r>
  </si>
  <si>
    <r>
      <t>·</t>
    </r>
    <r>
      <rPr>
        <sz val="12"/>
        <rFont val="Times New Roman"/>
      </rPr>
      <t xml:space="preserve">       </t>
    </r>
    <r>
      <rPr>
        <sz val="12"/>
        <rFont val="Arial"/>
      </rPr>
      <t>Escribir un contenido que no va a ser interpretado como XML sino como solo texto.</t>
    </r>
  </si>
  <si>
    <r>
      <t>·</t>
    </r>
    <r>
      <rPr>
        <sz val="12"/>
        <rFont val="Times New Roman"/>
      </rPr>
      <t xml:space="preserve">       </t>
    </r>
    <r>
      <rPr>
        <sz val="12"/>
        <rFont val="Arial"/>
      </rPr>
      <t>No es un campo válido en XML.</t>
    </r>
  </si>
  <si>
    <r>
      <t>·</t>
    </r>
    <r>
      <rPr>
        <sz val="12"/>
        <rFont val="Times New Roman"/>
      </rPr>
      <t xml:space="preserve">       </t>
    </r>
    <r>
      <rPr>
        <sz val="12"/>
        <rFont val="Arial"/>
      </rPr>
      <t>Un fichero XML puede tener uno o más nodo raíz.</t>
    </r>
  </si>
  <si>
    <r>
      <t>·</t>
    </r>
    <r>
      <rPr>
        <sz val="12"/>
        <rFont val="Times New Roman"/>
      </rPr>
      <t xml:space="preserve">       </t>
    </r>
    <r>
      <rPr>
        <sz val="12"/>
        <rFont val="Arial"/>
      </rPr>
      <t>Un fichero XML puede tener un único nodo raíz.</t>
    </r>
  </si>
  <si>
    <r>
      <t>·</t>
    </r>
    <r>
      <rPr>
        <sz val="12"/>
        <rFont val="Times New Roman"/>
      </rPr>
      <t xml:space="preserve">       </t>
    </r>
    <r>
      <rPr>
        <sz val="12"/>
        <rFont val="Arial"/>
      </rPr>
      <t>Los elementos en XML no distinguen entre las mayúsculas y minúsculas.</t>
    </r>
  </si>
  <si>
    <r>
      <t>·</t>
    </r>
    <r>
      <rPr>
        <sz val="12"/>
        <rFont val="Times New Roman"/>
      </rPr>
      <t xml:space="preserve">       </t>
    </r>
    <r>
      <rPr>
        <sz val="12"/>
        <rFont val="Arial"/>
      </rPr>
      <t>Los caracteres &lt;, &gt;y &amp; se pueden usar sin problema en el contenido de los elementos de fichero XML.</t>
    </r>
  </si>
  <si>
    <r>
      <t>·</t>
    </r>
    <r>
      <rPr>
        <sz val="12"/>
        <rFont val="Times New Roman"/>
      </rPr>
      <t xml:space="preserve">       </t>
    </r>
    <r>
      <rPr>
        <sz val="12"/>
        <rFont val="Arial"/>
      </rPr>
      <t>Poder distinguir elementos con el mismo nombre que provienen de distinta fuente.</t>
    </r>
  </si>
  <si>
    <r>
      <t>·</t>
    </r>
    <r>
      <rPr>
        <sz val="12"/>
        <rFont val="Times New Roman"/>
      </rPr>
      <t xml:space="preserve">       </t>
    </r>
    <r>
      <rPr>
        <sz val="12"/>
        <rFont val="Arial"/>
      </rPr>
      <t>Asegurar que un documento está bien formado</t>
    </r>
  </si>
  <si>
    <r>
      <t>·</t>
    </r>
    <r>
      <rPr>
        <sz val="12"/>
        <rFont val="Times New Roman"/>
      </rPr>
      <t xml:space="preserve">       </t>
    </r>
    <r>
      <rPr>
        <sz val="12"/>
        <rFont val="Arial"/>
      </rPr>
      <t>Asegurar que un documento es válido.</t>
    </r>
  </si>
  <si>
    <r>
      <t>·</t>
    </r>
    <r>
      <rPr>
        <sz val="12"/>
        <rFont val="Times New Roman"/>
      </rPr>
      <t xml:space="preserve">       </t>
    </r>
    <r>
      <rPr>
        <sz val="12"/>
        <rFont val="Arial"/>
      </rPr>
      <t>No tiene una función específica.</t>
    </r>
  </si>
  <si>
    <r>
      <t>·</t>
    </r>
    <r>
      <rPr>
        <sz val="12"/>
        <rFont val="Times New Roman"/>
      </rPr>
      <t xml:space="preserve">       </t>
    </r>
    <r>
      <rPr>
        <sz val="12"/>
        <rFont val="Arial"/>
      </rPr>
      <t>Puede ser un documento bien formado, aunque no lo es siempre.</t>
    </r>
  </si>
  <si>
    <r>
      <t>·</t>
    </r>
    <r>
      <rPr>
        <sz val="12"/>
        <rFont val="Times New Roman"/>
      </rPr>
      <t xml:space="preserve">       </t>
    </r>
    <r>
      <rPr>
        <sz val="12"/>
        <rFont val="Arial"/>
      </rPr>
      <t>Es también un documento bien formado.</t>
    </r>
  </si>
  <si>
    <r>
      <t>·</t>
    </r>
    <r>
      <rPr>
        <sz val="12"/>
        <rFont val="Times New Roman"/>
      </rPr>
      <t xml:space="preserve">       </t>
    </r>
    <r>
      <rPr>
        <sz val="12"/>
        <rFont val="Arial"/>
      </rPr>
      <t>No tiene nada que ver con un documento bien formado.</t>
    </r>
  </si>
  <si>
    <r>
      <t>·</t>
    </r>
    <r>
      <rPr>
        <sz val="12"/>
        <rFont val="Times New Roman"/>
      </rPr>
      <t xml:space="preserve">       </t>
    </r>
    <r>
      <rPr>
        <sz val="12"/>
        <rFont val="Arial"/>
      </rPr>
      <t>Contiene más de una raíz.</t>
    </r>
  </si>
  <si>
    <r>
      <t>·</t>
    </r>
    <r>
      <rPr>
        <sz val="12"/>
        <rFont val="Times New Roman"/>
      </rPr>
      <t xml:space="preserve">       </t>
    </r>
    <r>
      <rPr>
        <sz val="12"/>
        <rFont val="Arial"/>
      </rPr>
      <t>&lt;test:pregunta&gt; &lt;/test:pregunta&gt;</t>
    </r>
  </si>
  <si>
    <r>
      <t>·</t>
    </r>
    <r>
      <rPr>
        <sz val="12"/>
        <rFont val="Times New Roman"/>
      </rPr>
      <t xml:space="preserve">       </t>
    </r>
    <r>
      <rPr>
        <sz val="12"/>
        <rFont val="Arial"/>
      </rPr>
      <t>&lt;pregunta domain=’test’&gt; &lt;/pregunta&gt;</t>
    </r>
  </si>
  <si>
    <r>
      <t>·</t>
    </r>
    <r>
      <rPr>
        <sz val="12"/>
        <rFont val="Times New Roman"/>
      </rPr>
      <t xml:space="preserve">       </t>
    </r>
    <r>
      <rPr>
        <sz val="12"/>
        <rFont val="Arial"/>
      </rPr>
      <t>&lt;pregunta&gt; &lt;/pregunta&gt;</t>
    </r>
  </si>
  <si>
    <r>
      <t>·</t>
    </r>
    <r>
      <rPr>
        <sz val="12"/>
        <rFont val="Times New Roman"/>
      </rPr>
      <t xml:space="preserve">       </t>
    </r>
    <r>
      <rPr>
        <sz val="12"/>
        <rFont val="Arial"/>
      </rPr>
      <t>&lt;test class=’pregunta’&gt;&lt;/test&gt;</t>
    </r>
  </si>
  <si>
    <t>1 .-¿Qué permite definir una DTD?</t>
  </si>
  <si>
    <t>2 .- El elemento &lt;!ELEMENT BDsms (sms*)&gt;:</t>
  </si>
  <si>
    <t>3 .- El elemento &lt;!ELEMENT BDsms (sms+)&gt;:</t>
  </si>
  <si>
    <t>4 .-El elemento &lt;IELEMENT BDsms (sms?)&gt;:</t>
  </si>
  <si>
    <t>5 .-En un esquema, si queremos establecer secuencia de elementos hijos y se añade un indicador llamado &lt;xs:all&gt;, significa:</t>
  </si>
  <si>
    <t>6 .-En un esquema, si queremos establecer una secuencia de elementos hijos y se añade un indicador  llamado &lt;xs:Choice&gt;, significa:</t>
  </si>
  <si>
    <t>7 .-En un esquema, si queremos establecer secuencia de elementos hijos y se añade un indicador llamado &lt;xs:sequence&gt;, significa:</t>
  </si>
  <si>
    <t>8 .-En un esquema, si nos encontramos &lt;xs:whiteSpace value=''preserve" 1 &gt;, significa:</t>
  </si>
  <si>
    <t>9 .-Un documento está bien formado:</t>
  </si>
  <si>
    <t>10 .-Un documento es válido:</t>
  </si>
  <si>
    <r>
      <t>·</t>
    </r>
    <r>
      <rPr>
        <sz val="12"/>
        <rFont val="Times New Roman"/>
      </rPr>
      <t xml:space="preserve">       </t>
    </r>
    <r>
      <rPr>
        <sz val="12"/>
        <rFont val="Arial"/>
      </rPr>
      <t>Define cómo se construye un documento XML válido. Para ello únicamente es necesario establecer una serie de reglas léxicas.</t>
    </r>
  </si>
  <si>
    <r>
      <t>·</t>
    </r>
    <r>
      <rPr>
        <sz val="12"/>
        <rFont val="Times New Roman"/>
      </rPr>
      <t xml:space="preserve">       </t>
    </r>
    <r>
      <rPr>
        <sz val="12"/>
        <rFont val="Arial"/>
      </rPr>
      <t>Define cómo se construye un documento XML válido. Para ello únicamente es necesario establecer una serie de reglas sintácticas.</t>
    </r>
  </si>
  <si>
    <r>
      <t>·</t>
    </r>
    <r>
      <rPr>
        <sz val="12"/>
        <rFont val="Times New Roman"/>
      </rPr>
      <t xml:space="preserve">       </t>
    </r>
    <r>
      <rPr>
        <sz val="12"/>
        <rFont val="Arial"/>
      </rPr>
      <t xml:space="preserve">Define cómo se construye un documento XML válido. Para ello únicamente es necesario establecer una serie de reglas léxicas y sintácticas. </t>
    </r>
  </si>
  <si>
    <r>
      <t>·</t>
    </r>
    <r>
      <rPr>
        <sz val="12"/>
        <rFont val="Times New Roman"/>
      </rPr>
      <t xml:space="preserve">       </t>
    </r>
    <r>
      <rPr>
        <sz val="12"/>
        <rFont val="Arial"/>
      </rPr>
      <t>Ninguna de las anteriores.</t>
    </r>
  </si>
  <si>
    <r>
      <t>·</t>
    </r>
    <r>
      <rPr>
        <sz val="12"/>
        <rFont val="Times New Roman"/>
      </rPr>
      <t xml:space="preserve">       </t>
    </r>
    <r>
      <rPr>
        <sz val="12"/>
        <rFont val="Arial"/>
      </rPr>
      <t>Se permite de uno a infinito, el número de ocurrencias del elemento sms.</t>
    </r>
  </si>
  <si>
    <r>
      <t>·</t>
    </r>
    <r>
      <rPr>
        <sz val="12"/>
        <rFont val="Times New Roman"/>
      </rPr>
      <t xml:space="preserve">       </t>
    </r>
    <r>
      <rPr>
        <sz val="12"/>
        <rFont val="Arial"/>
      </rPr>
      <t>Se permite de cero a infinito, el número de ocurrencias del elemento sms.</t>
    </r>
  </si>
  <si>
    <r>
      <t>·</t>
    </r>
    <r>
      <rPr>
        <sz val="12"/>
        <rFont val="Times New Roman"/>
      </rPr>
      <t xml:space="preserve">       </t>
    </r>
    <r>
      <rPr>
        <sz val="12"/>
        <rFont val="Arial"/>
      </rPr>
      <t>Se permite de cero a uno, el número de ocurrencias del elemento sms.</t>
    </r>
  </si>
  <si>
    <r>
      <t>·</t>
    </r>
    <r>
      <rPr>
        <sz val="12"/>
        <rFont val="Times New Roman"/>
      </rPr>
      <t xml:space="preserve">       </t>
    </r>
    <r>
      <rPr>
        <sz val="12"/>
        <rFont val="Arial"/>
      </rPr>
      <t xml:space="preserve">Que el orden de todos los hijos es indiferente siempre que solo aparezcan una vez (en el caso de no cambiar la ocurrencia). </t>
    </r>
  </si>
  <si>
    <r>
      <t>·</t>
    </r>
    <r>
      <rPr>
        <sz val="12"/>
        <rFont val="Times New Roman"/>
      </rPr>
      <t xml:space="preserve">       </t>
    </r>
    <r>
      <rPr>
        <sz val="12"/>
        <rFont val="Arial"/>
      </rPr>
      <t xml:space="preserve">Que el orden de todos los hijos es importante y debe aparecer en el documento XML el indicado en la secuencia. </t>
    </r>
  </si>
  <si>
    <r>
      <t>·</t>
    </r>
    <r>
      <rPr>
        <sz val="12"/>
        <rFont val="Times New Roman"/>
      </rPr>
      <t xml:space="preserve">       </t>
    </r>
    <r>
      <rPr>
        <sz val="12"/>
        <rFont val="Arial"/>
      </rPr>
      <t>Que el orden de todos los hijos es indiferente puesto que sirve únicamente para elegir uno de los hijos indicados.</t>
    </r>
  </si>
  <si>
    <r>
      <t>·</t>
    </r>
    <r>
      <rPr>
        <sz val="12"/>
        <rFont val="Times New Roman"/>
      </rPr>
      <t xml:space="preserve">       </t>
    </r>
    <r>
      <rPr>
        <sz val="12"/>
        <rFont val="Arial"/>
      </rPr>
      <t>Que el orden de todos los hijos es indiferente siempre que solo aparezcan una vez (en el caso de no cambiar la ocurrencia).</t>
    </r>
  </si>
  <si>
    <r>
      <t>·</t>
    </r>
    <r>
      <rPr>
        <sz val="12"/>
        <rFont val="Times New Roman"/>
      </rPr>
      <t xml:space="preserve">       </t>
    </r>
    <r>
      <rPr>
        <sz val="12"/>
        <rFont val="Arial"/>
      </rPr>
      <t xml:space="preserve">Que el orden de todos los hijos es importante y debe aparecer en el documento XML en el orden indicado en la secuencia. </t>
    </r>
  </si>
  <si>
    <r>
      <t>·</t>
    </r>
    <r>
      <rPr>
        <sz val="12"/>
        <rFont val="Times New Roman"/>
      </rPr>
      <t xml:space="preserve">       </t>
    </r>
    <r>
      <rPr>
        <sz val="12"/>
        <rFont val="Arial"/>
      </rPr>
      <t>Que el orden de todos los hijos es importante y debe aparecer en el documento XML en el indicado en la secuencia.</t>
    </r>
  </si>
  <si>
    <r>
      <t>·</t>
    </r>
    <r>
      <rPr>
        <sz val="12"/>
        <rFont val="Times New Roman"/>
      </rPr>
      <t xml:space="preserve">       </t>
    </r>
    <r>
      <rPr>
        <sz val="12"/>
        <rFont val="Arial"/>
      </rPr>
      <t>Ninguna de las anteriores</t>
    </r>
  </si>
  <si>
    <r>
      <t>·</t>
    </r>
    <r>
      <rPr>
        <sz val="12"/>
        <rFont val="Times New Roman"/>
      </rPr>
      <t xml:space="preserve">       </t>
    </r>
    <r>
      <rPr>
        <sz val="12"/>
        <rFont val="Arial"/>
      </rPr>
      <t>Que en el texto que se almacene se eliminarán todos los espacios en blanco, tabuladores, saltos de línea y retornos de carro.</t>
    </r>
  </si>
  <si>
    <r>
      <t>·</t>
    </r>
    <r>
      <rPr>
        <sz val="12"/>
        <rFont val="Times New Roman"/>
      </rPr>
      <t xml:space="preserve">       </t>
    </r>
    <r>
      <rPr>
        <sz val="12"/>
        <rFont val="Arial"/>
      </rPr>
      <t>Si tiene una sintaxis correcta todas las entidades, elementos y atributos.</t>
    </r>
  </si>
  <si>
    <r>
      <t>·</t>
    </r>
    <r>
      <rPr>
        <sz val="12"/>
        <rFont val="Times New Roman"/>
      </rPr>
      <t xml:space="preserve">       </t>
    </r>
    <r>
      <rPr>
        <sz val="12"/>
        <rFont val="Arial"/>
      </rPr>
      <t>Si se tiene una estructura jerárquica en la que solo puede haber un nodo raíz.</t>
    </r>
  </si>
  <si>
    <r>
      <t>·</t>
    </r>
    <r>
      <rPr>
        <sz val="12"/>
        <rFont val="Times New Roman"/>
      </rPr>
      <t xml:space="preserve">       </t>
    </r>
    <r>
      <rPr>
        <sz val="12"/>
        <rFont val="Arial"/>
      </rPr>
      <t>Si se han definido correctamente todas las entidades, elementos y atributos en una DTD o esquema.</t>
    </r>
  </si>
  <si>
    <r>
      <t>·</t>
    </r>
    <r>
      <rPr>
        <sz val="12"/>
        <rFont val="Times New Roman"/>
      </rPr>
      <t xml:space="preserve">       </t>
    </r>
    <r>
      <rPr>
        <sz val="12"/>
        <rFont val="Arial"/>
      </rPr>
      <t>Todas las anteriores.</t>
    </r>
  </si>
  <si>
    <r>
      <t>·</t>
    </r>
    <r>
      <rPr>
        <sz val="12"/>
        <rFont val="Times New Roman"/>
      </rPr>
      <t xml:space="preserve">       </t>
    </r>
    <r>
      <rPr>
        <sz val="12"/>
        <rFont val="Arial"/>
      </rPr>
      <t>Si está bien formado.</t>
    </r>
  </si>
  <si>
    <r>
      <t>·</t>
    </r>
    <r>
      <rPr>
        <sz val="12"/>
        <rFont val="Times New Roman"/>
      </rPr>
      <t xml:space="preserve">       </t>
    </r>
    <r>
      <rPr>
        <sz val="12"/>
        <rFont val="Arial"/>
      </rPr>
      <t>Si en el análisis de validez del documento con respecto a una DTD o esquema se cumplen todas las reglas sintácticas que en él se definen.</t>
    </r>
  </si>
  <si>
    <r>
      <t>·</t>
    </r>
    <r>
      <rPr>
        <sz val="12"/>
        <rFont val="Times New Roman"/>
      </rPr>
      <t xml:space="preserve">       </t>
    </r>
    <r>
      <rPr>
        <sz val="12"/>
        <rFont val="Arial"/>
      </rPr>
      <t>A y B, en su conjunto definen un documento válido.</t>
    </r>
  </si>
  <si>
    <r>
      <t>·</t>
    </r>
    <r>
      <rPr>
        <sz val="12"/>
        <rFont val="Times New Roman"/>
      </rPr>
      <t xml:space="preserve">       </t>
    </r>
    <r>
      <rPr>
        <sz val="12"/>
        <rFont val="Arial"/>
      </rPr>
      <t>A y si se tiene una estructura jerárquica con multinodo raíz.</t>
    </r>
  </si>
  <si>
    <r>
      <t>·</t>
    </r>
    <r>
      <rPr>
        <sz val="10"/>
        <rFont val="Times New Roman"/>
      </rPr>
      <t xml:space="preserve">       </t>
    </r>
    <r>
      <rPr>
        <sz val="10"/>
        <rFont val="Arial"/>
      </rPr>
      <t xml:space="preserve">Que en el texto que se almacene podrá sustituir todos los espacios en blanco, tabuladores, saltos  de línea y retornos de carro; por un único espacio en blanco. </t>
    </r>
  </si>
  <si>
    <r>
      <t>·</t>
    </r>
    <r>
      <rPr>
        <sz val="10"/>
        <rFont val="Times New Roman"/>
      </rPr>
      <t xml:space="preserve">       </t>
    </r>
    <r>
      <rPr>
        <sz val="10"/>
        <rFont val="Arial"/>
      </rPr>
      <t xml:space="preserve">Que en el texto que se almacene se mantendrá inalterado, aún cuando se tengan multitud de espacios en blanco, tabuladores, saltos de línea y retornos de carro. </t>
    </r>
  </si>
  <si>
    <t>LM</t>
  </si>
  <si>
    <t>1 .-¿Qué es XSL?</t>
  </si>
  <si>
    <t>2 .-XSL es a XML:</t>
  </si>
  <si>
    <t>3 .-Un fichero XSL debe:</t>
  </si>
  <si>
    <t>4 .-El elemento “xsl:for-each”</t>
  </si>
  <si>
    <t>5 .-El elemento “xsl:value-of”</t>
  </si>
  <si>
    <t>6 .-El elemento “xsl:sort”</t>
  </si>
  <si>
    <t>7 .- El elemento “xsl:if”</t>
  </si>
  <si>
    <t>8 .- El elemento “xsl:case”</t>
  </si>
  <si>
    <t>9 .- El elemento “xsl:choose”</t>
  </si>
  <si>
    <t>10 .- El elemento “xsl:template”</t>
  </si>
  <si>
    <r>
      <t>·</t>
    </r>
    <r>
      <rPr>
        <sz val="12"/>
        <rFont val="Times New Roman"/>
      </rPr>
      <t xml:space="preserve">       </t>
    </r>
    <r>
      <rPr>
        <sz val="12"/>
        <rFont val="Arial"/>
      </rPr>
      <t>Es un lenguaje de estilos extensible para documentos HMTL</t>
    </r>
  </si>
  <si>
    <r>
      <t>·</t>
    </r>
    <r>
      <rPr>
        <sz val="12"/>
        <rFont val="Times New Roman"/>
      </rPr>
      <t xml:space="preserve">       </t>
    </r>
    <r>
      <rPr>
        <sz val="12"/>
        <rFont val="Arial"/>
      </rPr>
      <t>Es un lenguaje de estilos extensible para documentos XML</t>
    </r>
  </si>
  <si>
    <r>
      <t>·</t>
    </r>
    <r>
      <rPr>
        <sz val="12"/>
        <rFont val="Times New Roman"/>
      </rPr>
      <t xml:space="preserve">       </t>
    </r>
    <r>
      <rPr>
        <sz val="12"/>
        <rFont val="Arial"/>
      </rPr>
      <t>Es un lenguaje de estilos extensible para documentos CSS</t>
    </r>
  </si>
  <si>
    <r>
      <t>·</t>
    </r>
    <r>
      <rPr>
        <sz val="12"/>
        <rFont val="Times New Roman"/>
      </rPr>
      <t xml:space="preserve">       </t>
    </r>
    <r>
      <rPr>
        <sz val="12"/>
        <rFont val="Arial"/>
      </rPr>
      <t>Lo que las hojas de estilo en cascada (CSS) a HTML</t>
    </r>
  </si>
  <si>
    <r>
      <t>·</t>
    </r>
    <r>
      <rPr>
        <sz val="12"/>
        <rFont val="Times New Roman"/>
      </rPr>
      <t xml:space="preserve">       </t>
    </r>
    <r>
      <rPr>
        <sz val="12"/>
        <rFont val="Arial"/>
      </rPr>
      <t>Lo que las hojas de estilo en cascada (CSS) a XML</t>
    </r>
  </si>
  <si>
    <r>
      <t>·</t>
    </r>
    <r>
      <rPr>
        <sz val="12"/>
        <rFont val="Times New Roman"/>
      </rPr>
      <t xml:space="preserve">       </t>
    </r>
    <r>
      <rPr>
        <sz val="12"/>
        <rFont val="Arial"/>
      </rPr>
      <t>Lo que las hojas de estilo extensible (XSL) a HTML</t>
    </r>
  </si>
  <si>
    <r>
      <t>·</t>
    </r>
    <r>
      <rPr>
        <sz val="12"/>
        <rFont val="Times New Roman"/>
      </rPr>
      <t xml:space="preserve">       </t>
    </r>
    <r>
      <rPr>
        <sz val="12"/>
        <rFont val="Arial"/>
      </rPr>
      <t>Lo que las hojas de estilo extensible (XSL) a XML</t>
    </r>
  </si>
  <si>
    <r>
      <t>·</t>
    </r>
    <r>
      <rPr>
        <sz val="12"/>
        <rFont val="Times New Roman"/>
      </rPr>
      <t xml:space="preserve">       </t>
    </r>
    <r>
      <rPr>
        <sz val="12"/>
        <rFont val="Arial"/>
      </rPr>
      <t>Guardarse en la misma ubicación que el fichero XML</t>
    </r>
  </si>
  <si>
    <r>
      <t>·</t>
    </r>
    <r>
      <rPr>
        <sz val="12"/>
        <rFont val="Times New Roman"/>
      </rPr>
      <t xml:space="preserve">       </t>
    </r>
    <r>
      <rPr>
        <sz val="12"/>
        <rFont val="Arial"/>
      </rPr>
      <t>Guardarse en la misma codificación que el fichero XML</t>
    </r>
  </si>
  <si>
    <r>
      <t>·</t>
    </r>
    <r>
      <rPr>
        <sz val="12"/>
        <rFont val="Times New Roman"/>
      </rPr>
      <t xml:space="preserve">       </t>
    </r>
    <r>
      <rPr>
        <sz val="12"/>
        <rFont val="Arial"/>
      </rPr>
      <t>Estar bien formado, pues es un fichero XML como otro cualquiera</t>
    </r>
  </si>
  <si>
    <r>
      <t>·</t>
    </r>
    <r>
      <rPr>
        <sz val="12"/>
        <rFont val="Times New Roman"/>
      </rPr>
      <t xml:space="preserve">       </t>
    </r>
    <r>
      <rPr>
        <sz val="12"/>
        <rFont val="Arial"/>
      </rPr>
      <t xml:space="preserve">Permite recorrerse todos los nodos indicados en su atributo “select” </t>
    </r>
  </si>
  <si>
    <r>
      <t>·</t>
    </r>
    <r>
      <rPr>
        <sz val="12"/>
        <rFont val="Times New Roman"/>
      </rPr>
      <t xml:space="preserve">       </t>
    </r>
    <r>
      <rPr>
        <sz val="12"/>
        <rFont val="Arial"/>
      </rPr>
      <t>Permite extraer la información de cada uno de los nodos que se recorran</t>
    </r>
  </si>
  <si>
    <r>
      <t>·</t>
    </r>
    <r>
      <rPr>
        <sz val="12"/>
        <rFont val="Times New Roman"/>
      </rPr>
      <t xml:space="preserve">       </t>
    </r>
    <r>
      <rPr>
        <sz val="12"/>
        <rFont val="Arial"/>
      </rPr>
      <t>Permite recorrerse todos los nodos dejándolos ordenados en todos los casos, según el criterio del programador.</t>
    </r>
  </si>
  <si>
    <r>
      <t>·</t>
    </r>
    <r>
      <rPr>
        <sz val="12"/>
        <rFont val="Times New Roman"/>
      </rPr>
      <t xml:space="preserve">       </t>
    </r>
    <r>
      <rPr>
        <sz val="12"/>
        <rFont val="Arial"/>
      </rPr>
      <t>Permite recorrerse todos los nodos indicados en su atributo “select”</t>
    </r>
  </si>
  <si>
    <r>
      <t>·</t>
    </r>
    <r>
      <rPr>
        <sz val="12"/>
        <rFont val="Times New Roman"/>
      </rPr>
      <t xml:space="preserve">       </t>
    </r>
    <r>
      <rPr>
        <sz val="12"/>
        <rFont val="Arial"/>
      </rPr>
      <t>Permite ordenar los nodos según el criterio del programador</t>
    </r>
  </si>
  <si>
    <r>
      <t>·</t>
    </r>
    <r>
      <rPr>
        <sz val="12"/>
        <rFont val="Times New Roman"/>
      </rPr>
      <t xml:space="preserve">       </t>
    </r>
    <r>
      <rPr>
        <sz val="12"/>
        <rFont val="Arial"/>
      </rPr>
      <t>Permite ordenar los nodos según el valor que indique su atributo “select”</t>
    </r>
  </si>
  <si>
    <r>
      <t>·</t>
    </r>
    <r>
      <rPr>
        <sz val="12"/>
        <rFont val="Times New Roman"/>
      </rPr>
      <t xml:space="preserve">       </t>
    </r>
    <r>
      <rPr>
        <sz val="12"/>
        <rFont val="Arial"/>
      </rPr>
      <t>Permite establecer una condición basada en una expresión indicada por el programador. Esa condición está en el documento XSL</t>
    </r>
  </si>
  <si>
    <r>
      <t>·</t>
    </r>
    <r>
      <rPr>
        <sz val="12"/>
        <rFont val="Times New Roman"/>
      </rPr>
      <t xml:space="preserve">       </t>
    </r>
    <r>
      <rPr>
        <sz val="12"/>
        <rFont val="Arial"/>
      </rPr>
      <t>Permite extraer información de manera condicional</t>
    </r>
  </si>
  <si>
    <r>
      <t>·</t>
    </r>
    <r>
      <rPr>
        <sz val="12"/>
        <rFont val="Times New Roman"/>
      </rPr>
      <t xml:space="preserve">       </t>
    </r>
    <r>
      <rPr>
        <sz val="12"/>
        <rFont val="Arial"/>
      </rPr>
      <t>Permite establecer una condición basada en una expresión indicada por el programador. Esa condición está en el documento XML</t>
    </r>
  </si>
  <si>
    <r>
      <t>·</t>
    </r>
    <r>
      <rPr>
        <sz val="12"/>
        <rFont val="Times New Roman"/>
      </rPr>
      <t xml:space="preserve">       </t>
    </r>
    <r>
      <rPr>
        <sz val="12"/>
        <rFont val="Arial"/>
      </rPr>
      <t>Permite condicionar los resultados, al igual que el elemento “xsl:if”</t>
    </r>
  </si>
  <si>
    <r>
      <t>·</t>
    </r>
    <r>
      <rPr>
        <sz val="12"/>
        <rFont val="Times New Roman"/>
      </rPr>
      <t xml:space="preserve">       </t>
    </r>
    <r>
      <rPr>
        <sz val="12"/>
        <rFont val="Arial"/>
      </rPr>
      <t>Permite extraer la información de manera condicional, al igual que el elemento “xsl:value-of”</t>
    </r>
  </si>
  <si>
    <r>
      <t>·</t>
    </r>
    <r>
      <rPr>
        <sz val="12"/>
        <rFont val="Times New Roman"/>
      </rPr>
      <t xml:space="preserve">       </t>
    </r>
    <r>
      <rPr>
        <sz val="12"/>
        <rFont val="Arial"/>
      </rPr>
      <t>Permite establecer una condición basada en una expresión indicada por le programador. Esa condición está en el documento XML</t>
    </r>
  </si>
  <si>
    <r>
      <t>·</t>
    </r>
    <r>
      <rPr>
        <sz val="12"/>
        <rFont val="Times New Roman"/>
      </rPr>
      <t xml:space="preserve">       </t>
    </r>
    <r>
      <rPr>
        <sz val="12"/>
        <rFont val="Arial"/>
      </rPr>
      <t>Solo puede haber un elemento de este tipo en un documento XSL</t>
    </r>
  </si>
  <si>
    <r>
      <t>·</t>
    </r>
    <r>
      <rPr>
        <sz val="12"/>
        <rFont val="Times New Roman"/>
      </rPr>
      <t xml:space="preserve">       </t>
    </r>
    <r>
      <rPr>
        <sz val="12"/>
        <rFont val="Arial"/>
      </rPr>
      <t>Solo puede haber un elemento de este tipo en un documento XML</t>
    </r>
  </si>
  <si>
    <r>
      <t>·</t>
    </r>
    <r>
      <rPr>
        <sz val="10"/>
        <rFont val="Times New Roman"/>
      </rPr>
      <t xml:space="preserve">       </t>
    </r>
    <r>
      <rPr>
        <sz val="10"/>
        <rFont val="Arial"/>
      </rPr>
      <t>Pueden usarse múltiples elementos de este tipo en un documento XSL, pero al menos uno tiene que referenciar al raíz del documento (“/”)</t>
    </r>
  </si>
  <si>
    <r>
      <t>·</t>
    </r>
    <r>
      <rPr>
        <sz val="10"/>
        <rFont val="Times New Roman"/>
      </rPr>
      <t xml:space="preserve">       </t>
    </r>
    <r>
      <rPr>
        <sz val="10"/>
        <rFont val="Arial"/>
      </rPr>
      <t>Pueden usarse múltiples elementos de este tipo en un documento XSL y puede haber varios que referencien a la misma parte de documento, por ejemplo “/”</t>
    </r>
  </si>
  <si>
    <t>1 .-La sindicación de contenidos está pensada para:</t>
  </si>
  <si>
    <t>2 .-Las siglas CMS se refieren a:</t>
  </si>
  <si>
    <t>3 .-De los estándares RSS, ¿Cuál hace unos de RDF?</t>
  </si>
  <si>
    <t xml:space="preserve">4 .-Un agregador de contenidos </t>
  </si>
  <si>
    <t>5 .-Un blogroll es:</t>
  </si>
  <si>
    <r>
      <t>·</t>
    </r>
    <r>
      <rPr>
        <sz val="12"/>
        <rFont val="Times New Roman"/>
      </rPr>
      <t xml:space="preserve">       </t>
    </r>
    <r>
      <rPr>
        <sz val="12"/>
        <rFont val="Arial"/>
      </rPr>
      <t>Blogs</t>
    </r>
  </si>
  <si>
    <r>
      <t>·</t>
    </r>
    <r>
      <rPr>
        <sz val="12"/>
        <rFont val="Times New Roman"/>
      </rPr>
      <t xml:space="preserve">       </t>
    </r>
    <r>
      <rPr>
        <sz val="12"/>
        <rFont val="Arial"/>
      </rPr>
      <t xml:space="preserve">Cualquier sitio web con contenido </t>
    </r>
  </si>
  <si>
    <r>
      <t>·</t>
    </r>
    <r>
      <rPr>
        <sz val="12"/>
        <rFont val="Times New Roman"/>
      </rPr>
      <t xml:space="preserve">       </t>
    </r>
    <r>
      <rPr>
        <sz val="12"/>
        <rFont val="Arial"/>
      </rPr>
      <t>Sitios de noticias</t>
    </r>
  </si>
  <si>
    <r>
      <t>·</t>
    </r>
    <r>
      <rPr>
        <sz val="12"/>
        <rFont val="Times New Roman"/>
      </rPr>
      <t xml:space="preserve">       </t>
    </r>
    <r>
      <rPr>
        <sz val="12"/>
        <rFont val="Arial"/>
      </rPr>
      <t>La sindicación no es aplicable para sitios web</t>
    </r>
  </si>
  <si>
    <r>
      <t>·</t>
    </r>
    <r>
      <rPr>
        <sz val="12"/>
        <rFont val="Times New Roman"/>
      </rPr>
      <t xml:space="preserve">       </t>
    </r>
    <r>
      <rPr>
        <sz val="12"/>
        <rFont val="Arial"/>
      </rPr>
      <t xml:space="preserve">Un sistema de gestión de contenidos </t>
    </r>
  </si>
  <si>
    <r>
      <t>·</t>
    </r>
    <r>
      <rPr>
        <sz val="12"/>
        <rFont val="Times New Roman"/>
      </rPr>
      <t xml:space="preserve">       </t>
    </r>
    <r>
      <rPr>
        <sz val="12"/>
        <rFont val="Arial"/>
      </rPr>
      <t xml:space="preserve">Un sistema de sindicación de contenidos </t>
    </r>
  </si>
  <si>
    <r>
      <t>·</t>
    </r>
    <r>
      <rPr>
        <sz val="12"/>
        <rFont val="Times New Roman"/>
      </rPr>
      <t xml:space="preserve">       </t>
    </r>
    <r>
      <rPr>
        <sz val="12"/>
        <rFont val="Arial"/>
      </rPr>
      <t xml:space="preserve">Un sistema de agregación de calanes </t>
    </r>
  </si>
  <si>
    <r>
      <t>·</t>
    </r>
    <r>
      <rPr>
        <sz val="12"/>
        <rFont val="Times New Roman"/>
      </rPr>
      <t xml:space="preserve">       </t>
    </r>
    <r>
      <rPr>
        <sz val="12"/>
        <rFont val="Arial"/>
      </rPr>
      <t>Un directorio de canales</t>
    </r>
  </si>
  <si>
    <r>
      <t>·</t>
    </r>
    <r>
      <rPr>
        <sz val="12"/>
        <rFont val="Times New Roman"/>
      </rPr>
      <t xml:space="preserve">       </t>
    </r>
    <r>
      <rPr>
        <sz val="12"/>
        <rFont val="Arial"/>
      </rPr>
      <t xml:space="preserve">RSS 1.0 y RSS 2.0 </t>
    </r>
  </si>
  <si>
    <r>
      <t>·</t>
    </r>
    <r>
      <rPr>
        <sz val="12"/>
        <rFont val="Times New Roman"/>
      </rPr>
      <t xml:space="preserve">       </t>
    </r>
    <r>
      <rPr>
        <sz val="12"/>
        <rFont val="Arial"/>
      </rPr>
      <t xml:space="preserve">RSS 0.91 y RSS 0.92 </t>
    </r>
  </si>
  <si>
    <r>
      <t>·</t>
    </r>
    <r>
      <rPr>
        <sz val="12"/>
        <rFont val="Times New Roman"/>
      </rPr>
      <t xml:space="preserve">       </t>
    </r>
    <r>
      <rPr>
        <sz val="12"/>
        <rFont val="Arial"/>
      </rPr>
      <t xml:space="preserve">RSS 2.0 </t>
    </r>
  </si>
  <si>
    <r>
      <t>·</t>
    </r>
    <r>
      <rPr>
        <sz val="12"/>
        <rFont val="Times New Roman"/>
      </rPr>
      <t xml:space="preserve">       </t>
    </r>
    <r>
      <rPr>
        <sz val="12"/>
        <rFont val="Arial"/>
      </rPr>
      <t>RSS 1.0</t>
    </r>
  </si>
  <si>
    <r>
      <t>·</t>
    </r>
    <r>
      <rPr>
        <sz val="12"/>
        <rFont val="Times New Roman"/>
      </rPr>
      <t xml:space="preserve">       </t>
    </r>
    <r>
      <rPr>
        <sz val="12"/>
        <rFont val="Arial"/>
      </rPr>
      <t>Proporciona un punto de entrada único aun conjunto de feeds</t>
    </r>
  </si>
  <si>
    <r>
      <t>·</t>
    </r>
    <r>
      <rPr>
        <sz val="12"/>
        <rFont val="Times New Roman"/>
      </rPr>
      <t xml:space="preserve">       </t>
    </r>
    <r>
      <rPr>
        <sz val="12"/>
        <rFont val="Arial"/>
      </rPr>
      <t>Es un gestor de contenidos</t>
    </r>
  </si>
  <si>
    <r>
      <t>·</t>
    </r>
    <r>
      <rPr>
        <sz val="12"/>
        <rFont val="Times New Roman"/>
      </rPr>
      <t xml:space="preserve">       </t>
    </r>
    <r>
      <rPr>
        <sz val="12"/>
        <rFont val="Arial"/>
      </rPr>
      <t>Sirve para poder sindicar los contenidos de un sitio</t>
    </r>
  </si>
  <si>
    <r>
      <t>·</t>
    </r>
    <r>
      <rPr>
        <sz val="11"/>
        <rFont val="Times New Roman"/>
      </rPr>
      <t xml:space="preserve">       </t>
    </r>
    <r>
      <rPr>
        <sz val="11"/>
        <rFont val="Arial"/>
      </rPr>
      <t xml:space="preserve">Una colección de encales a blogs que, generalmente, aparecen listados en uno de los lados de la página web que puestra el blogroll. </t>
    </r>
  </si>
  <si>
    <r>
      <t>·</t>
    </r>
    <r>
      <rPr>
        <sz val="12"/>
        <rFont val="Times New Roman"/>
      </rPr>
      <t xml:space="preserve">       </t>
    </r>
    <r>
      <rPr>
        <sz val="12"/>
        <rFont val="Arial"/>
      </rPr>
      <t xml:space="preserve">Es una secuencia de sentencias de programación </t>
    </r>
  </si>
  <si>
    <r>
      <t>·</t>
    </r>
    <r>
      <rPr>
        <sz val="12"/>
        <rFont val="Times New Roman"/>
      </rPr>
      <t xml:space="preserve">       </t>
    </r>
    <r>
      <rPr>
        <sz val="12"/>
        <rFont val="Arial"/>
      </rPr>
      <t xml:space="preserve">Un estándar de sindicación como RSS </t>
    </r>
  </si>
  <si>
    <t>TEMA 8</t>
  </si>
  <si>
    <t>1 .- ¿Qué es un ERP?</t>
  </si>
  <si>
    <t>2 .-¿Qué es un CRM?</t>
  </si>
  <si>
    <t>3 .-Un ERP se compone de:</t>
  </si>
  <si>
    <t>4 .-Al implantar un ERP</t>
  </si>
  <si>
    <t>5 .-Al implantar un ERP</t>
  </si>
  <si>
    <t>6 .-Independientemente de la implantación de un ERP</t>
  </si>
  <si>
    <t>7 .-La importación/exportación de la información en un ERP genérico se puede realizar</t>
  </si>
  <si>
    <t>8 .-Un administrativo de nóminas tiene acceso al inventario del almacén. ¿Sería correcto ese ERP?</t>
  </si>
  <si>
    <r>
      <t>·</t>
    </r>
    <r>
      <rPr>
        <sz val="7"/>
        <color theme="1"/>
        <rFont val="Times New Roman"/>
      </rPr>
      <t xml:space="preserve">       </t>
    </r>
    <r>
      <rPr>
        <sz val="9"/>
        <color theme="1"/>
        <rFont val="Arial"/>
      </rPr>
      <t>Ninguna de las anteriores</t>
    </r>
  </si>
  <si>
    <r>
      <t>·</t>
    </r>
    <r>
      <rPr>
        <sz val="7"/>
        <color theme="1"/>
        <rFont val="Times New Roman"/>
      </rPr>
      <t xml:space="preserve">       </t>
    </r>
    <r>
      <rPr>
        <sz val="9"/>
        <color theme="1"/>
        <rFont val="Arial"/>
      </rPr>
      <t xml:space="preserve">A y B son correctas </t>
    </r>
  </si>
  <si>
    <r>
      <t>·</t>
    </r>
    <r>
      <rPr>
        <sz val="12"/>
        <color theme="1"/>
        <rFont val="Times New Roman"/>
      </rPr>
      <t xml:space="preserve">       </t>
    </r>
    <r>
      <rPr>
        <sz val="12"/>
        <color theme="1"/>
        <rFont val="Arial"/>
      </rPr>
      <t>Es un sistema de gestión automatizado para la gestión empresarial que permite asegurar la continuidad de la empresa.</t>
    </r>
  </si>
  <si>
    <r>
      <t>·</t>
    </r>
    <r>
      <rPr>
        <sz val="12"/>
        <color theme="1"/>
        <rFont val="Times New Roman"/>
      </rPr>
      <t xml:space="preserve">       </t>
    </r>
    <r>
      <rPr>
        <sz val="12"/>
        <color theme="1"/>
        <rFont val="Arial"/>
      </rPr>
      <t xml:space="preserve">Es un programa informático que solo sirve para las PyMES (Pequeñas y medianas empresas) </t>
    </r>
  </si>
  <si>
    <r>
      <t>·</t>
    </r>
    <r>
      <rPr>
        <sz val="12"/>
        <color theme="1"/>
        <rFont val="Times New Roman"/>
      </rPr>
      <t xml:space="preserve">       </t>
    </r>
    <r>
      <rPr>
        <sz val="12"/>
        <color theme="1"/>
        <rFont val="Arial"/>
      </rPr>
      <t xml:space="preserve">Es un programa informático que solo sirve para grandes empresas </t>
    </r>
  </si>
  <si>
    <r>
      <t>·</t>
    </r>
    <r>
      <rPr>
        <sz val="12"/>
        <color theme="1"/>
        <rFont val="Times New Roman"/>
      </rPr>
      <t xml:space="preserve">       </t>
    </r>
    <r>
      <rPr>
        <sz val="12"/>
        <color theme="1"/>
        <rFont val="Arial"/>
      </rPr>
      <t>Ninguna de las anteriores</t>
    </r>
  </si>
  <si>
    <r>
      <t>·</t>
    </r>
    <r>
      <rPr>
        <sz val="12"/>
        <color theme="1"/>
        <rFont val="Times New Roman"/>
      </rPr>
      <t xml:space="preserve">       </t>
    </r>
    <r>
      <rPr>
        <sz val="12"/>
        <color theme="1"/>
        <rFont val="Arial"/>
      </rPr>
      <t xml:space="preserve">Es un simple ERP para PyMES </t>
    </r>
  </si>
  <si>
    <r>
      <t>·</t>
    </r>
    <r>
      <rPr>
        <sz val="12"/>
        <color theme="1"/>
        <rFont val="Times New Roman"/>
      </rPr>
      <t xml:space="preserve">       </t>
    </r>
    <r>
      <rPr>
        <sz val="12"/>
        <color theme="1"/>
        <rFont val="Arial"/>
      </rPr>
      <t xml:space="preserve">Es un simple ERP para grandes empresas </t>
    </r>
  </si>
  <si>
    <r>
      <t>·</t>
    </r>
    <r>
      <rPr>
        <sz val="12"/>
        <color theme="1"/>
        <rFont val="Times New Roman"/>
      </rPr>
      <t xml:space="preserve">       </t>
    </r>
    <r>
      <rPr>
        <sz val="12"/>
        <color theme="1"/>
        <rFont val="Arial"/>
      </rPr>
      <t xml:space="preserve">Es un ERP especializado para la relación entre cliente-empresa </t>
    </r>
  </si>
  <si>
    <r>
      <t>·</t>
    </r>
    <r>
      <rPr>
        <sz val="12"/>
        <color theme="1"/>
        <rFont val="Times New Roman"/>
      </rPr>
      <t xml:space="preserve">       </t>
    </r>
    <r>
      <rPr>
        <sz val="12"/>
        <color theme="1"/>
        <rFont val="Arial"/>
      </rPr>
      <t xml:space="preserve">Un conjunto de plugins o add-ons que cubren la funcionalidad básica (inventario, ventas, producción, RRHH, finanzas) </t>
    </r>
  </si>
  <si>
    <r>
      <t>·</t>
    </r>
    <r>
      <rPr>
        <sz val="12"/>
        <color theme="1"/>
        <rFont val="Times New Roman"/>
      </rPr>
      <t xml:space="preserve">       </t>
    </r>
    <r>
      <rPr>
        <sz val="12"/>
        <color theme="1"/>
        <rFont val="Arial"/>
      </rPr>
      <t>Un conjunto de roles que cubren toda la funcionalidad básica (inventario, ventas, producción, RRHH, finanzas)</t>
    </r>
  </si>
  <si>
    <r>
      <t>·</t>
    </r>
    <r>
      <rPr>
        <sz val="12"/>
        <color theme="1"/>
        <rFont val="Times New Roman"/>
      </rPr>
      <t xml:space="preserve">       </t>
    </r>
    <r>
      <rPr>
        <sz val="12"/>
        <color theme="1"/>
        <rFont val="Arial"/>
      </rPr>
      <t xml:space="preserve">Un conjunto de módulos que cubre la funcionalidad básica (inventario, ventas, producción, RRHH, finanzas) </t>
    </r>
  </si>
  <si>
    <r>
      <t>·</t>
    </r>
    <r>
      <rPr>
        <sz val="12"/>
        <color theme="1"/>
        <rFont val="Times New Roman"/>
      </rPr>
      <t xml:space="preserve">       </t>
    </r>
    <r>
      <rPr>
        <sz val="12"/>
        <color theme="1"/>
        <rFont val="Arial"/>
      </rPr>
      <t xml:space="preserve">Se descentraliza la información </t>
    </r>
  </si>
  <si>
    <r>
      <t>·</t>
    </r>
    <r>
      <rPr>
        <sz val="12"/>
        <color theme="1"/>
        <rFont val="Times New Roman"/>
      </rPr>
      <t xml:space="preserve">       </t>
    </r>
    <r>
      <rPr>
        <sz val="12"/>
        <color theme="1"/>
        <rFont val="Arial"/>
      </rPr>
      <t xml:space="preserve">Los usuarios usan siempre el mismo rol </t>
    </r>
  </si>
  <si>
    <r>
      <t>·</t>
    </r>
    <r>
      <rPr>
        <sz val="12"/>
        <color theme="1"/>
        <rFont val="Times New Roman"/>
      </rPr>
      <t xml:space="preserve">       </t>
    </r>
    <r>
      <rPr>
        <sz val="12"/>
        <color theme="1"/>
        <rFont val="Arial"/>
      </rPr>
      <t xml:space="preserve">Se evita la compartición de información </t>
    </r>
  </si>
  <si>
    <r>
      <t>·</t>
    </r>
    <r>
      <rPr>
        <sz val="12"/>
        <color theme="1"/>
        <rFont val="Times New Roman"/>
      </rPr>
      <t xml:space="preserve">       </t>
    </r>
    <r>
      <rPr>
        <sz val="12"/>
        <color theme="1"/>
        <rFont val="Arial"/>
      </rPr>
      <t xml:space="preserve">Los costes de implantación pueden ser elevados </t>
    </r>
  </si>
  <si>
    <r>
      <t>·</t>
    </r>
    <r>
      <rPr>
        <sz val="12"/>
        <color theme="1"/>
        <rFont val="Times New Roman"/>
      </rPr>
      <t xml:space="preserve">       </t>
    </r>
    <r>
      <rPr>
        <sz val="12"/>
        <color theme="1"/>
        <rFont val="Arial"/>
      </rPr>
      <t xml:space="preserve">El acceso a los recursos puede ser el cuello de botella </t>
    </r>
  </si>
  <si>
    <r>
      <t>·</t>
    </r>
    <r>
      <rPr>
        <sz val="12"/>
        <color theme="1"/>
        <rFont val="Times New Roman"/>
      </rPr>
      <t xml:space="preserve">       </t>
    </r>
    <r>
      <rPr>
        <sz val="12"/>
        <color theme="1"/>
        <rFont val="Arial"/>
      </rPr>
      <t xml:space="preserve">A y B son correctas </t>
    </r>
  </si>
  <si>
    <r>
      <t>·</t>
    </r>
    <r>
      <rPr>
        <sz val="12"/>
        <color theme="1"/>
        <rFont val="Times New Roman"/>
      </rPr>
      <t xml:space="preserve">       </t>
    </r>
    <r>
      <rPr>
        <sz val="12"/>
        <color theme="1"/>
        <rFont val="Arial"/>
      </rPr>
      <t>Las copias de seguridad ya no son necesarias en un entorno ERP al descentralizar la información de los procesos</t>
    </r>
  </si>
  <si>
    <r>
      <t>·</t>
    </r>
    <r>
      <rPr>
        <sz val="12"/>
        <color theme="1"/>
        <rFont val="Times New Roman"/>
      </rPr>
      <t xml:space="preserve">       </t>
    </r>
    <r>
      <rPr>
        <sz val="12"/>
        <color theme="1"/>
        <rFont val="Arial"/>
      </rPr>
      <t>A y B son correctas</t>
    </r>
  </si>
  <si>
    <r>
      <t>·</t>
    </r>
    <r>
      <rPr>
        <sz val="12"/>
        <color theme="1"/>
        <rFont val="Times New Roman"/>
      </rPr>
      <t xml:space="preserve">       </t>
    </r>
    <r>
      <rPr>
        <sz val="12"/>
        <color theme="1"/>
        <rFont val="Arial"/>
      </rPr>
      <t xml:space="preserve">Únicamente mediante formularios habilitados para ello </t>
    </r>
  </si>
  <si>
    <r>
      <t>·</t>
    </r>
    <r>
      <rPr>
        <sz val="12"/>
        <color theme="1"/>
        <rFont val="Times New Roman"/>
      </rPr>
      <t xml:space="preserve">       </t>
    </r>
    <r>
      <rPr>
        <sz val="12"/>
        <color theme="1"/>
        <rFont val="Arial"/>
      </rPr>
      <t xml:space="preserve">Únicamente mediante la exportación a documentos ofimáticos </t>
    </r>
  </si>
  <si>
    <r>
      <t>·</t>
    </r>
    <r>
      <rPr>
        <sz val="12"/>
        <color theme="1"/>
        <rFont val="Times New Roman"/>
      </rPr>
      <t xml:space="preserve">       </t>
    </r>
    <r>
      <rPr>
        <sz val="12"/>
        <color theme="1"/>
        <rFont val="Arial"/>
      </rPr>
      <t>No, porque no necesita los datos del almacén en su trabajo</t>
    </r>
  </si>
  <si>
    <r>
      <t>·</t>
    </r>
    <r>
      <rPr>
        <sz val="12"/>
        <color theme="1"/>
        <rFont val="Times New Roman"/>
      </rPr>
      <t xml:space="preserve">       </t>
    </r>
    <r>
      <rPr>
        <sz val="12"/>
        <color theme="1"/>
        <rFont val="Arial"/>
      </rPr>
      <t xml:space="preserve">Sí, porque podría necesitar esos datos para su trabajo </t>
    </r>
  </si>
  <si>
    <r>
      <t>·</t>
    </r>
    <r>
      <rPr>
        <sz val="12"/>
        <color theme="1"/>
        <rFont val="Times New Roman"/>
      </rPr>
      <t xml:space="preserve">       </t>
    </r>
    <r>
      <rPr>
        <sz val="12"/>
        <color theme="1"/>
        <rFont val="Arial"/>
      </rPr>
      <t xml:space="preserve">Depende. En teoría sería un mal uso de los roles si no necesitase esos datos del almacén. </t>
    </r>
  </si>
  <si>
    <r>
      <t>·</t>
    </r>
    <r>
      <rPr>
        <sz val="9"/>
        <color theme="1"/>
        <rFont val="Times New Roman"/>
      </rPr>
      <t xml:space="preserve">       </t>
    </r>
    <r>
      <rPr>
        <sz val="9"/>
        <color theme="1"/>
        <rFont val="Arial"/>
      </rPr>
      <t xml:space="preserve">Existen muchas maneras pero destacan los conectores o plugins, módulos de importación/exportación en XML, ficheros CSV y los documentos ofimáticos vinculados al ERP </t>
    </r>
  </si>
  <si>
    <r>
      <t>·</t>
    </r>
    <r>
      <rPr>
        <sz val="10"/>
        <color theme="1"/>
        <rFont val="Times New Roman"/>
      </rPr>
      <t xml:space="preserve">       </t>
    </r>
    <r>
      <rPr>
        <sz val="10"/>
        <color theme="1"/>
        <rFont val="Arial"/>
      </rPr>
      <t>Hay que analizar la seguridad de los sistemas vitales de la empresa, evaluando los riegos físico/lógicos y estableciendo un plan de minimización de los mismos</t>
    </r>
  </si>
  <si>
    <t>1 .-¿Qué es un problema de FERMI?</t>
  </si>
  <si>
    <t>2 .- Si unos datos que se han conseguido nunca van a cambiar</t>
  </si>
  <si>
    <t>3 .- ¿Qué es una tupla?</t>
  </si>
  <si>
    <t>4 .- Una base de datos jerárquica:</t>
  </si>
  <si>
    <t>TEMA 6 de la pregunta 1 a la 10</t>
  </si>
  <si>
    <t>5 .- Una base de datos en red:</t>
  </si>
  <si>
    <t>6 .- Una base de datos relacional</t>
  </si>
  <si>
    <t>7 .- ¿Qué es ACID?</t>
  </si>
  <si>
    <t>8 .- Un sistema de gestión de base de datos (SGBD) puede verse como:</t>
  </si>
  <si>
    <t>9 .-¿Qué roles se pueden asignar a un usuario en un sistema de gestión de bases de datos (SGBD)</t>
  </si>
  <si>
    <t>10 .- En la implementación de un modelo de datos relacional:</t>
  </si>
  <si>
    <r>
      <t>·</t>
    </r>
    <r>
      <rPr>
        <sz val="7"/>
        <color theme="1"/>
        <rFont val="Times New Roman"/>
      </rPr>
      <t xml:space="preserve">       </t>
    </r>
    <r>
      <rPr>
        <sz val="9"/>
        <color theme="1"/>
        <rFont val="Arial"/>
      </rPr>
      <t>Es una manera de evaluar una solución a un problema cuando se tienen datos suficientes</t>
    </r>
  </si>
  <si>
    <r>
      <t>·</t>
    </r>
    <r>
      <rPr>
        <sz val="7"/>
        <color theme="1"/>
        <rFont val="Times New Roman"/>
      </rPr>
      <t xml:space="preserve">       </t>
    </r>
    <r>
      <rPr>
        <sz val="9"/>
        <color theme="1"/>
        <rFont val="Arial"/>
      </rPr>
      <t>Es una manera de evaluar una solución a un problema cuando se tienen datos insuficientes</t>
    </r>
  </si>
  <si>
    <r>
      <t>·</t>
    </r>
    <r>
      <rPr>
        <sz val="7"/>
        <color theme="1"/>
        <rFont val="Times New Roman"/>
      </rPr>
      <t xml:space="preserve">       </t>
    </r>
    <r>
      <rPr>
        <sz val="9"/>
        <color theme="1"/>
        <rFont val="Arial"/>
      </rPr>
      <t>Es una manera de estimar una solución a un problema cuando se tiene datos suficientes para resolverlo.</t>
    </r>
  </si>
  <si>
    <r>
      <t>·</t>
    </r>
    <r>
      <rPr>
        <sz val="7"/>
        <color theme="1"/>
        <rFont val="Times New Roman"/>
      </rPr>
      <t xml:space="preserve">       </t>
    </r>
    <r>
      <rPr>
        <sz val="9"/>
        <color theme="1"/>
        <rFont val="Arial"/>
      </rPr>
      <t>Se recomienda utilizar una base de datos que los almacene de manera dinámica. De esta manera las consultas serán más rápidas y eficientes</t>
    </r>
  </si>
  <si>
    <r>
      <t>·</t>
    </r>
    <r>
      <rPr>
        <sz val="7"/>
        <color theme="1"/>
        <rFont val="Times New Roman"/>
      </rPr>
      <t xml:space="preserve">       </t>
    </r>
    <r>
      <rPr>
        <sz val="9"/>
        <color theme="1"/>
        <rFont val="Arial"/>
      </rPr>
      <t>Se recomienda utilizar una base de datos que los almacene de manera estática. De esta manera las consultas serán un poco más rápidas si los datos cambian en el futuro.</t>
    </r>
  </si>
  <si>
    <r>
      <t>·</t>
    </r>
    <r>
      <rPr>
        <sz val="7"/>
        <color theme="1"/>
        <rFont val="Times New Roman"/>
      </rPr>
      <t xml:space="preserve">       </t>
    </r>
    <r>
      <rPr>
        <sz val="9"/>
        <color theme="1"/>
        <rFont val="Arial"/>
      </rPr>
      <t>Ninguna de las anteriores.</t>
    </r>
  </si>
  <si>
    <r>
      <t>·</t>
    </r>
    <r>
      <rPr>
        <sz val="7"/>
        <color theme="1"/>
        <rFont val="Times New Roman"/>
      </rPr>
      <t xml:space="preserve">       </t>
    </r>
    <r>
      <rPr>
        <sz val="9"/>
        <color theme="1"/>
        <rFont val="Arial"/>
      </rPr>
      <t>Es una columna de una tabla en la que almacenan los datos de manera compacta</t>
    </r>
  </si>
  <si>
    <r>
      <t>·</t>
    </r>
    <r>
      <rPr>
        <sz val="7"/>
        <color theme="1"/>
        <rFont val="Times New Roman"/>
      </rPr>
      <t xml:space="preserve">       </t>
    </r>
    <r>
      <rPr>
        <sz val="9"/>
        <color theme="1"/>
        <rFont val="Arial"/>
      </rPr>
      <t>Es una columna o fila (es indiferente), de una tabla en la que se almacenan los datos de manera eficiente</t>
    </r>
  </si>
  <si>
    <r>
      <t>·</t>
    </r>
    <r>
      <rPr>
        <sz val="7"/>
        <color theme="1"/>
        <rFont val="Times New Roman"/>
      </rPr>
      <t xml:space="preserve">       </t>
    </r>
    <r>
      <rPr>
        <sz val="9"/>
        <color theme="1"/>
        <rFont val="Arial"/>
      </rPr>
      <t>Utiliza nodos con múltiples padres en los que se ingresan en tablas relacionales para no perder la redundancia de datos</t>
    </r>
  </si>
  <si>
    <r>
      <t>·</t>
    </r>
    <r>
      <rPr>
        <sz val="7"/>
        <color theme="1"/>
        <rFont val="Times New Roman"/>
      </rPr>
      <t xml:space="preserve">       </t>
    </r>
    <r>
      <rPr>
        <sz val="9"/>
        <color theme="1"/>
        <rFont val="Arial"/>
      </rPr>
      <t>Utiliza nodos con un único padre en la que se mantienen las redundancias de datos de manera sencilla gracias a su estructura de árbol</t>
    </r>
  </si>
  <si>
    <r>
      <t>·</t>
    </r>
    <r>
      <rPr>
        <sz val="7"/>
        <color theme="1"/>
        <rFont val="Times New Roman"/>
      </rPr>
      <t xml:space="preserve">       </t>
    </r>
    <r>
      <rPr>
        <sz val="9"/>
        <color theme="1"/>
        <rFont val="Arial"/>
      </rPr>
      <t>Utilizan árboles para distribuir la información entre sus nodos pero son poco eficientes al realizar búsquedas</t>
    </r>
  </si>
  <si>
    <r>
      <t>·</t>
    </r>
    <r>
      <rPr>
        <sz val="7"/>
        <color theme="1"/>
        <rFont val="Times New Roman"/>
      </rPr>
      <t xml:space="preserve">       </t>
    </r>
    <r>
      <rPr>
        <sz val="9"/>
        <color theme="1"/>
        <rFont val="Arial"/>
      </rPr>
      <t>Utiliza nodos con múltiples padres en los que se ingresan en tablas relacionales para perder la redundancia de los datos</t>
    </r>
  </si>
  <si>
    <r>
      <t>·</t>
    </r>
    <r>
      <rPr>
        <sz val="7"/>
        <color theme="1"/>
        <rFont val="Times New Roman"/>
      </rPr>
      <t xml:space="preserve">       </t>
    </r>
    <r>
      <rPr>
        <sz val="9"/>
        <color theme="1"/>
        <rFont val="Arial"/>
      </rPr>
      <t>Es tremendamente distinta a una jerarquía pues la de red utiliza árboles con un único padre. No distribuye bien la información entre sus nodos pero son muy eficientes para realizar búsquedas</t>
    </r>
  </si>
  <si>
    <r>
      <t>·</t>
    </r>
    <r>
      <rPr>
        <sz val="7"/>
        <color theme="1"/>
        <rFont val="Times New Roman"/>
      </rPr>
      <t xml:space="preserve">       </t>
    </r>
    <r>
      <rPr>
        <sz val="9"/>
        <color theme="1"/>
        <rFont val="Arial"/>
      </rPr>
      <t>Utiliza nodos con múltiples padres en una estructura de árbol</t>
    </r>
  </si>
  <si>
    <r>
      <t>·</t>
    </r>
    <r>
      <rPr>
        <sz val="7"/>
        <color theme="1"/>
        <rFont val="Times New Roman"/>
      </rPr>
      <t xml:space="preserve">       </t>
    </r>
    <r>
      <rPr>
        <sz val="9"/>
        <color theme="1"/>
        <rFont val="Arial"/>
      </rPr>
      <t>Utiliza nodos con un único padre en una estructura de árbol</t>
    </r>
  </si>
  <si>
    <r>
      <t>·</t>
    </r>
    <r>
      <rPr>
        <sz val="7"/>
        <color theme="1"/>
        <rFont val="Times New Roman"/>
      </rPr>
      <t xml:space="preserve">       </t>
    </r>
    <r>
      <rPr>
        <sz val="9"/>
        <color theme="1"/>
        <rFont val="Arial"/>
      </rPr>
      <t>Utiliza tablas para almacenar la información. La ubicación de la tupla es muy importante en este tipo de base de datos, no como en las bases de datos jerárquicas que era indiferente</t>
    </r>
  </si>
  <si>
    <r>
      <t>·</t>
    </r>
    <r>
      <rPr>
        <sz val="7"/>
        <color theme="1"/>
        <rFont val="Times New Roman"/>
      </rPr>
      <t xml:space="preserve">       </t>
    </r>
    <r>
      <rPr>
        <sz val="9"/>
        <color theme="1"/>
        <rFont val="Arial"/>
      </rPr>
      <t>Es un conjunto de características que se deben cumplir para que las bases de datos jerárquicas almacenen la redundancia</t>
    </r>
  </si>
  <si>
    <r>
      <t>·</t>
    </r>
    <r>
      <rPr>
        <sz val="7"/>
        <color theme="1"/>
        <rFont val="Times New Roman"/>
      </rPr>
      <t xml:space="preserve">       </t>
    </r>
    <r>
      <rPr>
        <sz val="9"/>
        <color theme="1"/>
        <rFont val="Arial"/>
      </rPr>
      <t>Un conjunto de características que se deben cumplir para que las bases de datos relacionales almacenen la redundancia.</t>
    </r>
  </si>
  <si>
    <r>
      <t>·</t>
    </r>
    <r>
      <rPr>
        <sz val="7"/>
        <color theme="1"/>
        <rFont val="Times New Roman"/>
      </rPr>
      <t xml:space="preserve">       </t>
    </r>
    <r>
      <rPr>
        <sz val="9"/>
        <color theme="1"/>
        <rFont val="Arial"/>
      </rPr>
      <t>Un hardware donde se almacena los datos en bruto sin necesitar ningún software. Los usuarios accederán al hardware y podrán consultar los datos.</t>
    </r>
  </si>
  <si>
    <r>
      <t>·</t>
    </r>
    <r>
      <rPr>
        <sz val="7"/>
        <color theme="1"/>
        <rFont val="Times New Roman"/>
      </rPr>
      <t xml:space="preserve">       </t>
    </r>
    <r>
      <rPr>
        <sz val="9"/>
        <color theme="1"/>
        <rFont val="Arial"/>
      </rPr>
      <t>Un software de SGBD y un hardware específico para él. En cualquier caso, el binomio hardware – software se compra junto e inseparable para que funcione y los usuarios accedan a él para realizar consultas</t>
    </r>
  </si>
  <si>
    <r>
      <t>·</t>
    </r>
    <r>
      <rPr>
        <sz val="7"/>
        <color theme="1"/>
        <rFont val="Times New Roman"/>
      </rPr>
      <t xml:space="preserve">       </t>
    </r>
    <r>
      <rPr>
        <sz val="9"/>
        <color theme="1"/>
        <rFont val="Arial"/>
      </rPr>
      <t>Rol de administrador de entradas, rol de administrador de salidas y rol de usuario final</t>
    </r>
  </si>
  <si>
    <r>
      <t>·</t>
    </r>
    <r>
      <rPr>
        <sz val="7"/>
        <color theme="1"/>
        <rFont val="Times New Roman"/>
      </rPr>
      <t xml:space="preserve">       </t>
    </r>
    <r>
      <rPr>
        <sz val="9"/>
        <color theme="1"/>
        <rFont val="Arial"/>
      </rPr>
      <t>Rol de administrador de sistemas, rol de administrador de base de datos, rol de usuario final y rol de gerente general.</t>
    </r>
  </si>
  <si>
    <r>
      <t>·</t>
    </r>
    <r>
      <rPr>
        <sz val="7"/>
        <color theme="1"/>
        <rFont val="Times New Roman"/>
      </rPr>
      <t xml:space="preserve">       </t>
    </r>
    <r>
      <rPr>
        <sz val="9"/>
        <color theme="1"/>
        <rFont val="Arial"/>
      </rPr>
      <t>Cuando dos tablas están relacionadas por algún campo en común, dichas relaciones se almacenan en un tercera tabla que almacena la relación</t>
    </r>
  </si>
  <si>
    <r>
      <t>·</t>
    </r>
    <r>
      <rPr>
        <sz val="7"/>
        <color theme="1"/>
        <rFont val="Times New Roman"/>
      </rPr>
      <t xml:space="preserve">       </t>
    </r>
    <r>
      <rPr>
        <sz val="9"/>
        <color theme="1"/>
        <rFont val="Arial"/>
      </rPr>
      <t>La tupla es una fila que contiene un conjunto de datos de interés</t>
    </r>
  </si>
  <si>
    <r>
      <t>·</t>
    </r>
    <r>
      <rPr>
        <sz val="7"/>
        <color theme="1"/>
        <rFont val="Times New Roman"/>
      </rPr>
      <t xml:space="preserve">       </t>
    </r>
    <r>
      <rPr>
        <sz val="9"/>
        <color theme="1"/>
        <rFont val="Arial"/>
      </rPr>
      <t>Es una manera de estimar una solución a un problema cuando se tiene muy pocos datos disponibles para resolverlo</t>
    </r>
  </si>
  <si>
    <r>
      <t>·</t>
    </r>
    <r>
      <rPr>
        <sz val="7"/>
        <color theme="1"/>
        <rFont val="Times New Roman"/>
      </rPr>
      <t xml:space="preserve">       </t>
    </r>
    <r>
      <rPr>
        <sz val="9"/>
        <color theme="1"/>
        <rFont val="Arial"/>
      </rPr>
      <t>Se recomienda utilizar una base de datos que los almacene de manera estática. De esta manera las consultas serán más rápidas y eficientes</t>
    </r>
  </si>
  <si>
    <r>
      <t>·</t>
    </r>
    <r>
      <rPr>
        <sz val="7"/>
        <color theme="1"/>
        <rFont val="Times New Roman"/>
      </rPr>
      <t xml:space="preserve">       </t>
    </r>
    <r>
      <rPr>
        <sz val="9"/>
        <color theme="1"/>
        <rFont val="Arial"/>
      </rPr>
      <t>Es una fila de una tabla en la que se almacenan los datos de manera compacta</t>
    </r>
  </si>
  <si>
    <r>
      <t>·</t>
    </r>
    <r>
      <rPr>
        <sz val="7"/>
        <color theme="1"/>
        <rFont val="Times New Roman"/>
      </rPr>
      <t xml:space="preserve">       </t>
    </r>
    <r>
      <rPr>
        <sz val="9"/>
        <color theme="1"/>
        <rFont val="Arial"/>
      </rPr>
      <t>Utilizan árboles para distribuir la información entre sus nodos pero son poco eficientes para guardar la redundancia de los datos.</t>
    </r>
  </si>
  <si>
    <r>
      <t>·</t>
    </r>
    <r>
      <rPr>
        <sz val="7"/>
        <color theme="1"/>
        <rFont val="Times New Roman"/>
      </rPr>
      <t xml:space="preserve">       </t>
    </r>
    <r>
      <rPr>
        <sz val="9"/>
        <color theme="1"/>
        <rFont val="Arial"/>
      </rPr>
      <t>Utiliza tablas para almacenar la información. La ubicación de la tupla no es importante, no como en las bases de datos jerárquicas que era fundamental.</t>
    </r>
  </si>
  <si>
    <r>
      <t>·</t>
    </r>
    <r>
      <rPr>
        <sz val="7"/>
        <color theme="1"/>
        <rFont val="Times New Roman"/>
      </rPr>
      <t xml:space="preserve">       </t>
    </r>
    <r>
      <rPr>
        <sz val="9"/>
        <color theme="1"/>
        <rFont val="Arial"/>
      </rPr>
      <t>Un conjunto de características que permiten asegurar que la transacción se ha realizado correctamente (o bien o nada).</t>
    </r>
  </si>
  <si>
    <r>
      <t>·</t>
    </r>
    <r>
      <rPr>
        <sz val="7"/>
        <color theme="1"/>
        <rFont val="Times New Roman"/>
      </rPr>
      <t xml:space="preserve">       </t>
    </r>
    <r>
      <rPr>
        <sz val="9"/>
        <color theme="1"/>
        <rFont val="Arial"/>
      </rPr>
      <t>Un hardware en el que se le instala el SGBD (software) para almacenar los datos en bases de datos y los usuarios accederán a él para realizar consultas</t>
    </r>
  </si>
  <si>
    <r>
      <t>·</t>
    </r>
    <r>
      <rPr>
        <sz val="7"/>
        <color theme="1"/>
        <rFont val="Times New Roman"/>
      </rPr>
      <t xml:space="preserve">       </t>
    </r>
    <r>
      <rPr>
        <sz val="9"/>
        <color theme="1"/>
        <rFont val="Arial"/>
      </rPr>
      <t xml:space="preserve">Rol de administrador de sistemas, rol de administrador de base de datos, rol de usuario final </t>
    </r>
  </si>
  <si>
    <r>
      <t>·</t>
    </r>
    <r>
      <rPr>
        <sz val="7"/>
        <color theme="1"/>
        <rFont val="Times New Roman"/>
      </rPr>
      <t xml:space="preserve">       </t>
    </r>
    <r>
      <rPr>
        <sz val="9"/>
        <color theme="1"/>
        <rFont val="Arial"/>
      </rPr>
      <t>Las dos anteriores son correctas</t>
    </r>
  </si>
  <si>
    <t>TEMA 6, pregunta de la 11 a las 18</t>
  </si>
  <si>
    <t>11 .- ¿Qué es XQuery?</t>
  </si>
  <si>
    <t>12 .- ¿Qué es XPath?</t>
  </si>
  <si>
    <t>13 .- Sabiendo que el documento “BD_Autores.xml” tiene todos los autores de una biblioteca. ¿Qué devuelve la siguiente consulta XQuery? Doc(“BD_Autores.xml”)//Autores/Autor</t>
  </si>
  <si>
    <t>14 .- Sabiendo que el documento “BD_Autores.xml” tiene todos los autores de una biblioteca. ¿Qué devuelve la siguiente consulta XQuery? Doc(“BD_Autores.xml”):</t>
  </si>
  <si>
    <t>15 .-Sabiendo que el documento “BD_Autores.xml” tiene todos los autores de una biblioteca. ¿Qué devuelve la siguiente consulta XQuery? Doc(“BD_Autores.xml”)//Autores/Autor[Cod_Autor=5]</t>
  </si>
  <si>
    <t>16 .- ¿Qué es FLWOR?</t>
  </si>
  <si>
    <t>17 .- ¿FLWOR permite devolver resultados en HTML?</t>
  </si>
  <si>
    <t>18 .- Se quiere hacer una inserción de un nuevo autor en una base de datos XML mediante XQuery. Si se quiere insertar en primer lugar del árbol de nodos, ¿Qué debería hacerse?</t>
  </si>
  <si>
    <r>
      <t>·</t>
    </r>
    <r>
      <rPr>
        <sz val="7"/>
        <color theme="1"/>
        <rFont val="Times New Roman"/>
      </rPr>
      <t xml:space="preserve">       </t>
    </r>
    <r>
      <rPr>
        <sz val="9"/>
        <color theme="1"/>
        <rFont val="Arial"/>
      </rPr>
      <t>Es un lenguaje para poder modificar los elementos XSL</t>
    </r>
  </si>
  <si>
    <r>
      <t>·</t>
    </r>
    <r>
      <rPr>
        <sz val="7"/>
        <color theme="1"/>
        <rFont val="Times New Roman"/>
      </rPr>
      <t xml:space="preserve">       </t>
    </r>
    <r>
      <rPr>
        <sz val="9"/>
        <color theme="1"/>
        <rFont val="Arial"/>
      </rPr>
      <t>Es un lenguaje para poder consultar en una base de datos XML</t>
    </r>
  </si>
  <si>
    <r>
      <t>·</t>
    </r>
    <r>
      <rPr>
        <sz val="7"/>
        <color theme="1"/>
        <rFont val="Times New Roman"/>
      </rPr>
      <t xml:space="preserve">       </t>
    </r>
    <r>
      <rPr>
        <sz val="9"/>
        <color theme="1"/>
        <rFont val="Arial"/>
      </rPr>
      <t>XQuery es a XML lo que SQL a las bases de datos relacionales</t>
    </r>
  </si>
  <si>
    <r>
      <t>·</t>
    </r>
    <r>
      <rPr>
        <sz val="7"/>
        <color theme="1"/>
        <rFont val="Times New Roman"/>
      </rPr>
      <t xml:space="preserve">       </t>
    </r>
    <r>
      <rPr>
        <sz val="9"/>
        <color theme="1"/>
        <rFont val="Arial"/>
      </rPr>
      <t>Es una herramienta que permite procesar las consultas SQL</t>
    </r>
  </si>
  <si>
    <r>
      <t>·</t>
    </r>
    <r>
      <rPr>
        <sz val="7"/>
        <color theme="1"/>
        <rFont val="Times New Roman"/>
      </rPr>
      <t xml:space="preserve">       </t>
    </r>
    <r>
      <rPr>
        <sz val="9"/>
        <color theme="1"/>
        <rFont val="Arial"/>
      </rPr>
      <t>Es una herramienta que permite recorrer árboles de nodos en documentos XML. XQuery es de más alto nivel que XPath por lo que no se usa.</t>
    </r>
  </si>
  <si>
    <r>
      <t>·</t>
    </r>
    <r>
      <rPr>
        <sz val="7"/>
        <color theme="1"/>
        <rFont val="Times New Roman"/>
      </rPr>
      <t xml:space="preserve">       </t>
    </r>
    <r>
      <rPr>
        <sz val="9"/>
        <color theme="1"/>
        <rFont val="Arial"/>
      </rPr>
      <t>A y C son correctas</t>
    </r>
  </si>
  <si>
    <r>
      <t>·</t>
    </r>
    <r>
      <rPr>
        <sz val="7"/>
        <color theme="1"/>
        <rFont val="Times New Roman"/>
      </rPr>
      <t xml:space="preserve">       </t>
    </r>
    <r>
      <rPr>
        <sz val="9"/>
        <color theme="1"/>
        <rFont val="Arial"/>
      </rPr>
      <t xml:space="preserve">Devolvería todo el documento XML </t>
    </r>
  </si>
  <si>
    <r>
      <t>·</t>
    </r>
    <r>
      <rPr>
        <sz val="7"/>
        <color theme="1"/>
        <rFont val="Times New Roman"/>
      </rPr>
      <t xml:space="preserve">       </t>
    </r>
    <r>
      <rPr>
        <sz val="9"/>
        <color theme="1"/>
        <rFont val="Arial"/>
      </rPr>
      <t xml:space="preserve">Devolvería solo el contenido de los nodos del árbol que sean del tipo “autor” </t>
    </r>
  </si>
  <si>
    <r>
      <t>·</t>
    </r>
    <r>
      <rPr>
        <sz val="7"/>
        <color theme="1"/>
        <rFont val="Times New Roman"/>
      </rPr>
      <t xml:space="preserve">       </t>
    </r>
    <r>
      <rPr>
        <sz val="9"/>
        <color theme="1"/>
        <rFont val="Arial"/>
      </rPr>
      <t>Devolvería todos los nodos del árbol que sea del tipo Autor</t>
    </r>
  </si>
  <si>
    <r>
      <t>·</t>
    </r>
    <r>
      <rPr>
        <sz val="7"/>
        <color theme="1"/>
        <rFont val="Times New Roman"/>
      </rPr>
      <t xml:space="preserve">       </t>
    </r>
    <r>
      <rPr>
        <sz val="9"/>
        <color theme="1"/>
        <rFont val="Arial"/>
      </rPr>
      <t>Devolvería solo el contenido de los nodos del árbol que sean del tipo “autor”</t>
    </r>
  </si>
  <si>
    <r>
      <t>·</t>
    </r>
    <r>
      <rPr>
        <sz val="7"/>
        <color theme="1"/>
        <rFont val="Times New Roman"/>
      </rPr>
      <t xml:space="preserve">       </t>
    </r>
    <r>
      <rPr>
        <sz val="9"/>
        <color theme="1"/>
        <rFont val="Arial"/>
      </rPr>
      <t xml:space="preserve">Devuelve el quinto nodo del árbol de tipo Autor </t>
    </r>
  </si>
  <si>
    <r>
      <t>·</t>
    </r>
    <r>
      <rPr>
        <sz val="7"/>
        <color theme="1"/>
        <rFont val="Times New Roman"/>
      </rPr>
      <t xml:space="preserve">       </t>
    </r>
    <r>
      <rPr>
        <sz val="9"/>
        <color theme="1"/>
        <rFont val="Arial"/>
      </rPr>
      <t xml:space="preserve">Devuelve el quinto nodo del árbol de tipo Libro </t>
    </r>
  </si>
  <si>
    <r>
      <t>·</t>
    </r>
    <r>
      <rPr>
        <sz val="7"/>
        <color theme="1"/>
        <rFont val="Times New Roman"/>
      </rPr>
      <t xml:space="preserve">       </t>
    </r>
    <r>
      <rPr>
        <sz val="9"/>
        <color theme="1"/>
        <rFont val="Arial"/>
      </rPr>
      <t>Ninguna de la anteriores</t>
    </r>
  </si>
  <si>
    <r>
      <t>·</t>
    </r>
    <r>
      <rPr>
        <sz val="7"/>
        <color theme="1"/>
        <rFont val="Times New Roman"/>
      </rPr>
      <t xml:space="preserve">       </t>
    </r>
    <r>
      <rPr>
        <sz val="9"/>
        <color theme="1"/>
        <rFont val="Arial"/>
      </rPr>
      <t xml:space="preserve">Final, línea, tipo Word, función Or, Retorno </t>
    </r>
  </si>
  <si>
    <r>
      <t>·</t>
    </r>
    <r>
      <rPr>
        <sz val="7"/>
        <color theme="1"/>
        <rFont val="Times New Roman"/>
      </rPr>
      <t xml:space="preserve">       </t>
    </r>
    <r>
      <rPr>
        <sz val="9"/>
        <color theme="1"/>
        <rFont val="Arial"/>
      </rPr>
      <t xml:space="preserve">Fecha, devuelve el quinto nodo del árbol de tipo “autor” </t>
    </r>
  </si>
  <si>
    <r>
      <t>·</t>
    </r>
    <r>
      <rPr>
        <sz val="7"/>
        <color theme="1"/>
        <rFont val="Times New Roman"/>
      </rPr>
      <t xml:space="preserve">       </t>
    </r>
    <r>
      <rPr>
        <sz val="9"/>
        <color theme="1"/>
        <rFont val="Arial"/>
      </rPr>
      <t xml:space="preserve">For, Let, Where, Orde by, Return </t>
    </r>
  </si>
  <si>
    <r>
      <t>·</t>
    </r>
    <r>
      <rPr>
        <sz val="7"/>
        <color theme="1"/>
        <rFont val="Times New Roman"/>
      </rPr>
      <t xml:space="preserve">       </t>
    </r>
    <r>
      <rPr>
        <sz val="9"/>
        <color theme="1"/>
        <rFont val="Arial"/>
      </rPr>
      <t>Si, sin ningún problema. Es más XQuery siempre devuelve en HTML por defecto</t>
    </r>
  </si>
  <si>
    <r>
      <t>·</t>
    </r>
    <r>
      <rPr>
        <sz val="7"/>
        <color theme="1"/>
        <rFont val="Times New Roman"/>
      </rPr>
      <t xml:space="preserve">       </t>
    </r>
    <r>
      <rPr>
        <sz val="9"/>
        <color theme="1"/>
        <rFont val="Arial"/>
      </rPr>
      <t>No, en ningún caso se podría realizar</t>
    </r>
  </si>
  <si>
    <r>
      <t>·</t>
    </r>
    <r>
      <rPr>
        <sz val="7"/>
        <color theme="1"/>
        <rFont val="Times New Roman"/>
      </rPr>
      <t xml:space="preserve">       </t>
    </r>
    <r>
      <rPr>
        <sz val="9"/>
        <color theme="1"/>
        <rFont val="Arial"/>
      </rPr>
      <t xml:space="preserve">Insert node &lt;autor&gt;&lt;nombre&gt;Barbic&lt;/autor&gt; before doc(“BD_Autores.xml”)//Autores/Autor[1] </t>
    </r>
  </si>
  <si>
    <r>
      <t>·</t>
    </r>
    <r>
      <rPr>
        <sz val="7"/>
        <color theme="1"/>
        <rFont val="Times New Roman"/>
      </rPr>
      <t xml:space="preserve">       </t>
    </r>
    <r>
      <rPr>
        <sz val="9"/>
        <color theme="1"/>
        <rFont val="Arial"/>
      </rPr>
      <t xml:space="preserve">Insert node &lt;autor&gt;&lt;nombre&gt;Barbic&lt;/autor&gt; as first into  doc(“BD_Autores.xml”)//Autores </t>
    </r>
  </si>
  <si>
    <r>
      <t>·</t>
    </r>
    <r>
      <rPr>
        <sz val="7"/>
        <color theme="1"/>
        <rFont val="Times New Roman"/>
      </rPr>
      <t xml:space="preserve">       </t>
    </r>
    <r>
      <rPr>
        <sz val="9"/>
        <color theme="1"/>
        <rFont val="Arial"/>
      </rPr>
      <t xml:space="preserve">Insert node &lt;autor&gt;&lt;nombre&gt;Barbic&lt;/autor&gt; as last into doc(“BD_Autores.xml”)//Autores </t>
    </r>
  </si>
  <si>
    <r>
      <t>·</t>
    </r>
    <r>
      <rPr>
        <sz val="7"/>
        <color theme="1"/>
        <rFont val="Times New Roman"/>
      </rPr>
      <t xml:space="preserve">       </t>
    </r>
    <r>
      <rPr>
        <sz val="9"/>
        <color theme="1"/>
        <rFont val="Arial"/>
      </rPr>
      <t xml:space="preserve">A y C son correctas </t>
    </r>
  </si>
  <si>
    <r>
      <t>·</t>
    </r>
    <r>
      <rPr>
        <sz val="7"/>
        <color theme="1"/>
        <rFont val="Times New Roman"/>
      </rPr>
      <t xml:space="preserve">       </t>
    </r>
    <r>
      <rPr>
        <sz val="9"/>
        <color theme="1"/>
        <rFont val="Arial"/>
      </rPr>
      <t>B y C son correctas</t>
    </r>
  </si>
  <si>
    <r>
      <t>·</t>
    </r>
    <r>
      <rPr>
        <sz val="7"/>
        <color theme="1"/>
        <rFont val="Times New Roman"/>
      </rPr>
      <t xml:space="preserve">       </t>
    </r>
    <r>
      <rPr>
        <sz val="9"/>
        <color theme="1"/>
        <rFont val="Arial"/>
      </rPr>
      <t>Es una herramienta que permite recorrer árboles de nodos en documentos XML. XQuery lo usa para acceder a los nodos del árbol y realizar así las consultas</t>
    </r>
  </si>
  <si>
    <r>
      <t>·</t>
    </r>
    <r>
      <rPr>
        <sz val="7"/>
        <color theme="1"/>
        <rFont val="Times New Roman"/>
      </rPr>
      <t xml:space="preserve">       </t>
    </r>
    <r>
      <rPr>
        <sz val="9"/>
        <color theme="1"/>
        <rFont val="Arial"/>
      </rPr>
      <t xml:space="preserve">Devolvería todos los nodos del árbol que sea del tipo Autor </t>
    </r>
  </si>
  <si>
    <r>
      <t>·</t>
    </r>
    <r>
      <rPr>
        <sz val="7"/>
        <color theme="1"/>
        <rFont val="Times New Roman"/>
      </rPr>
      <t xml:space="preserve">       </t>
    </r>
    <r>
      <rPr>
        <sz val="9"/>
        <color theme="1"/>
        <rFont val="Arial"/>
      </rPr>
      <t>Devolvería todo el documento XML</t>
    </r>
  </si>
  <si>
    <r>
      <t>·</t>
    </r>
    <r>
      <rPr>
        <sz val="7"/>
        <color theme="1"/>
        <rFont val="Times New Roman"/>
      </rPr>
      <t xml:space="preserve">       </t>
    </r>
    <r>
      <rPr>
        <sz val="9"/>
        <color theme="1"/>
        <rFont val="Arial"/>
      </rPr>
      <t>Devuelve el nodo del árbol de tipo Autor cuyo identificador es igual a 5</t>
    </r>
  </si>
  <si>
    <r>
      <t>·</t>
    </r>
    <r>
      <rPr>
        <sz val="7"/>
        <color theme="1"/>
        <rFont val="Times New Roman"/>
      </rPr>
      <t xml:space="preserve">       </t>
    </r>
    <r>
      <rPr>
        <sz val="9"/>
        <color theme="1"/>
        <rFont val="Arial"/>
      </rPr>
      <t>Sí, pero hay que formalizar una consulta especial en la que se genere las partes del documento HTML</t>
    </r>
  </si>
  <si>
    <t>1 .-</t>
  </si>
  <si>
    <t>Indica cuál de las siguientes afirmaciones es falsa</t>
  </si>
  <si>
    <t>En la DTD se identifica la estructura del documento</t>
  </si>
  <si>
    <t>Las DTD pueden ser internas o externas a un documento, o ambas cosas a la vez</t>
  </si>
  <si>
    <t>En la DTD no se definen los elementos</t>
  </si>
  <si>
    <t>2 .-</t>
  </si>
  <si>
    <t>Indicar cuál de las siguientes afirmaciones es cierta</t>
  </si>
  <si>
    <t>Algunos elementos no tienen contenido. Se des denomina elementos vacíos y no deben llevar etiqueta de fin.</t>
  </si>
  <si>
    <t>Todos los elementos tienen que llevar obligatoriamente etiqueta de inicio y final</t>
  </si>
  <si>
    <t>3 .-</t>
  </si>
  <si>
    <t>Diríamos que casa es :</t>
  </si>
  <si>
    <r>
      <t>Una etiqueta</t>
    </r>
    <r>
      <rPr>
        <b/>
        <sz val="12"/>
        <color rgb="FF333333"/>
        <rFont val="Verdana"/>
      </rPr>
      <t> </t>
    </r>
  </si>
  <si>
    <t>Un elemento </t>
  </si>
  <si>
    <t>Un atributo </t>
  </si>
  <si>
    <t>4 .-</t>
  </si>
  <si>
    <t>Indicar cuál de las siguientes afirmaciones falsa: </t>
  </si>
  <si>
    <t>XML Schema es la evolución de la DTD descrita por el W3C. </t>
  </si>
  <si>
    <t>A XML Schema también se le denomina XSD </t>
  </si>
  <si>
    <t>A XML Schema también se le denomina RELAX NG</t>
  </si>
  <si>
    <t>5 .-</t>
  </si>
  <si>
    <t>¿Qué etiqueta sirve en HTML para definir un párrafo? </t>
  </si>
  <si>
    <t>&lt;img&gt;. </t>
  </si>
  <si>
    <t>&lt;br&gt;. </t>
  </si>
  <si>
    <t>&lt;p&gt;. </t>
  </si>
  <si>
    <t>&lt;b&gt;.</t>
  </si>
  <si>
    <t>6 .-</t>
  </si>
  <si>
    <t>En HTML, ¿qué atributo de una imagen se usa para indicar la URL de la imagen? </t>
  </si>
  <si>
    <t>Img. </t>
  </si>
  <si>
    <t>url.</t>
  </si>
  <si>
    <t>Source. </t>
  </si>
  <si>
    <t>Src.</t>
  </si>
  <si>
    <t>7 .-</t>
  </si>
  <si>
    <t>En XHTML, ¿cuál es el nombre del elemento raíz? </t>
  </si>
  <si>
    <t>&lt;head&gt;. </t>
  </si>
  <si>
    <t>&lt;html&gt;. </t>
  </si>
  <si>
    <t>&lt;xhtml&gt;. </t>
  </si>
  <si>
    <t>No hay un único elemento raíz.</t>
  </si>
  <si>
    <t>8 .-</t>
  </si>
  <si>
    <t>Los métodos HTTP posibles para enviar datos desde un formulario son: </t>
  </si>
  <si>
    <t>POST y PUT </t>
  </si>
  <si>
    <t>POST y DELETE </t>
  </si>
  <si>
    <t>POST y GET </t>
  </si>
  <si>
    <t>GET y PUT</t>
  </si>
  <si>
    <t>9 .-</t>
  </si>
  <si>
    <t>Los lenguajes para el almacenamiento y transmisión de la información puedes ser de dos tipos:</t>
  </si>
  <si>
    <t>De marcas y de registros</t>
  </si>
  <si>
    <t>De etiquetas y de listas</t>
  </si>
  <si>
    <t>De ficheros y de listas</t>
  </si>
  <si>
    <t>De marcas y de listas</t>
  </si>
  <si>
    <t>10 .-</t>
  </si>
  <si>
    <t>Las etiquetas Casa y casa son:</t>
  </si>
  <si>
    <t>Equivalentes, ya que XML no diferencia mayúsculas ni minúsculas</t>
  </si>
  <si>
    <t>Casa no es válida porque no se permiten las mayúsculas.</t>
  </si>
  <si>
    <t>Distintas, ya que XML diferencia mayúsculas ni minúsculas.</t>
  </si>
  <si>
    <t>No validas ya que es un requisito que incluyan algún número. </t>
  </si>
  <si>
    <t>Dado el siguiente texto; &lt;casa calle=”Juan del Rosal”&gt; &lt;/casa&gt;</t>
  </si>
  <si>
    <t>PEC-1</t>
  </si>
  <si>
    <t>¿Qué permite definir una DTD?</t>
  </si>
  <si>
    <t>Define cómo se construye un documento XML válido. Para ello únicamente es necesario establecer una serie de reglas</t>
  </si>
  <si>
    <t>Define cómo se construye un documento XML válido. Para ello únicamente es necesario establecer una serie de reglas sintácticas</t>
  </si>
  <si>
    <t>Define cómo se construye un documento XML válido. Para ello únicamente es necesario establecer una serie de reglas léxicas y sintácticas</t>
  </si>
  <si>
    <t>El elemento &lt;!ELEMENT BDsms(sms*)&gt;</t>
  </si>
  <si>
    <t>Se permite de uno a infinito, el número de ocurrencias del elemento sms.</t>
  </si>
  <si>
    <t>Se permite de cero a infinito, el número de ocurrencias del elemento sms.</t>
  </si>
  <si>
    <t>Se permite de cero a uno, el número de ocurrencias del elemento sms.</t>
  </si>
  <si>
    <t>Ninguna de las anteriores.</t>
  </si>
  <si>
    <t>En un esquema, si queremos establecer una secuencia de elementos hijos y se añade un indicador llamado &lt;xs:choice&gt; significa:</t>
  </si>
  <si>
    <t>Que el orden de todos los hijos es indiferente siempre que solo aparezcan una vez (en el caso de no cambiar la ocurrencia)</t>
  </si>
  <si>
    <t>Que el orden de todos los hijos es indiferente puesto que sirve únicamente para elegir uno de los hijos indicados</t>
  </si>
  <si>
    <t>Que el orden de todos los hijos es importante y debe aparecer en el documento XML en el orden indicado en la secuencia.</t>
  </si>
  <si>
    <t>Ninguna de las anteriores</t>
  </si>
  <si>
    <t>¿Qué es XSL?</t>
  </si>
  <si>
    <t>Es un lenguaje de estilos extensible para documentos HMTL</t>
  </si>
  <si>
    <t>Es un lenguaje de estilos extensible para documentos XML​</t>
  </si>
  <si>
    <t>Es un lenguaje de estilos extensible para documentos CSS</t>
  </si>
  <si>
    <t>El elemento “xsl:for-each”</t>
  </si>
  <si>
    <t>Permite extraer la información de cada uno de los nodos que se recorran</t>
  </si>
  <si>
    <t>Permite recorrerse todos los nodos dejándolos ordenados en todos los casos, según el criterio del programador.</t>
  </si>
  <si>
    <t>El elemento “xsl:case”</t>
  </si>
  <si>
    <t>Permite establecer una condición basada en una expresión indicada por el programador. Esa condición está en el documento XSL</t>
  </si>
  <si>
    <t>Permite extraer información de manera condicional</t>
  </si>
  <si>
    <t>Permite establecer una condición basada en una expresión indicada por el programador. Esa condición está en el documento XML</t>
  </si>
  <si>
    <t>Una base de datos jerárquica:</t>
  </si>
  <si>
    <t>Utiliza nodos con múltiples padres en los que se ingresan en tablas relacionales para no perder la redundancia de datos.</t>
  </si>
  <si>
    <t>Utiliza nodos con un único padre en la que se mantienen las redundancias de datos de manera sencilla gracias a su estructura de árbol.</t>
  </si>
  <si>
    <t>Utilizan árboles para distribuir la información entre sus nodos pero son poco eficientes al realizar búsquedas.</t>
  </si>
  <si>
    <t>Utilizan árboles para distribuir la información entre sus nodos pero son poco eficientes para guardar la redundancia de los datos.</t>
  </si>
  <si>
    <t>¿Qué es ACID?</t>
  </si>
  <si>
    <t>Es un conjunto de características que se deben cumplir para que las bases de datos jerárquicas almacenen la redundancia.</t>
  </si>
  <si>
    <t>Un conjunto de características que se deben cumplir para que las bases de datos relacionales almacenen la redundancia.</t>
  </si>
  <si>
    <t>Un conjunto de características que permiten asegurar que la transacción se ha realizado correctamente (o bien o nada).</t>
  </si>
  <si>
    <t>¿Qué roles se pueden asignar a un usuario en un sistema de gestión de bases de datos (SGBD)</t>
  </si>
  <si>
    <t>Rol de administrador de entradas, rol de administrador de salidas y rol de usuario final.</t>
  </si>
  <si>
    <t>Rol de administrador de sistemas, rol de administrador de base de datos, rol de usuario final y rol de gerente general.</t>
  </si>
  <si>
    <t>Rol de administrador de sistemas, rol de administrador de base de datos, rol de usuario final. ​</t>
  </si>
  <si>
    <t>Devolvería todo el documento XML</t>
  </si>
  <si>
    <t>Devolvería solo el contenido de los nodos del árbol que sean del tipo “autor”</t>
  </si>
  <si>
    <t>Permite recorrerse todos los nodos indicados en su atributo “select” ​</t>
  </si>
  <si>
    <r>
      <t>Sabiendo que el documento “BD_Autores.xml” tiene todos los autores de una biblioteca. ¿Qué devuelve la siguiente consulta XQuery? </t>
    </r>
    <r>
      <rPr>
        <i/>
        <sz val="12"/>
        <color rgb="FF333333"/>
        <rFont val="Verdana"/>
      </rPr>
      <t>Doc(“BD_Autores.xml”):</t>
    </r>
  </si>
  <si>
    <r>
      <t>Devolvería todos los nodos del árbol que sea del tipo </t>
    </r>
    <r>
      <rPr>
        <i/>
        <sz val="12"/>
        <color rgb="FF333333"/>
        <rFont val="Verdana"/>
      </rPr>
      <t>Autor</t>
    </r>
  </si>
  <si>
    <t>PEC-2</t>
  </si>
  <si>
    <t>La sindicación de contenidos está pensada para:</t>
  </si>
  <si>
    <t>Blogs</t>
  </si>
  <si>
    <t>Cualquier sitio web con contenido</t>
  </si>
  <si>
    <t>Sitios de noticias</t>
  </si>
  <si>
    <t>La sindicación no es aplicable para sitios web</t>
  </si>
  <si>
    <t>Las siglas CMS se refieren a:</t>
  </si>
  <si>
    <t>Un sistema de gestión de contenidos</t>
  </si>
  <si>
    <t>Un sistema de sindicación de contenidos</t>
  </si>
  <si>
    <t>Un sistema de agregación de calanes</t>
  </si>
  <si>
    <t>Un directorio de canales</t>
  </si>
  <si>
    <t>De los estándares RSS, ¿Cuál hace unos de RDF?</t>
  </si>
  <si>
    <t>RSS 1.0 y RSS 2.0</t>
  </si>
  <si>
    <t>RSS 0.91 y RSS 0.92</t>
  </si>
  <si>
    <t>RSS 2.0</t>
  </si>
  <si>
    <t>RSS 1.0</t>
  </si>
  <si>
    <t>Un agregador de contenidos </t>
  </si>
  <si>
    <t>Es un gestor de contenidos</t>
  </si>
  <si>
    <t>Sirve para poder sindicar los contenidos de un sitio</t>
  </si>
  <si>
    <t>Ninguna de las anteriores es correcta.</t>
  </si>
  <si>
    <t>Es una secuencia de sentencias de programación.</t>
  </si>
  <si>
    <t>Un estándar de sindicación como RSS.</t>
  </si>
  <si>
    <t>Un conjunto de plugins o add-ons que cubren la funcionalidad básica (inventario, ventas, producción, RRHH, finanzas)</t>
  </si>
  <si>
    <t>Un conjunto de roles que cubren toda la funcionalidad básica (inventario, ventas, producción, RRHH, finanzas)</t>
  </si>
  <si>
    <t>Un conjunto de módulos que cubre la funcionalidad básica (inventario, ventas, producción, RRHH, finanzas)</t>
  </si>
  <si>
    <t>Al implantar un ERP</t>
  </si>
  <si>
    <t>Se descentraliza la información</t>
  </si>
  <si>
    <t>Los usuarios usan siempre el mismo rol</t>
  </si>
  <si>
    <t>Se evita la compartición de información</t>
  </si>
  <si>
    <t>Los costes de implantación pueden ser elevados.</t>
  </si>
  <si>
    <t>El acceso a los recursos puede ser el cuello de botella.</t>
  </si>
  <si>
    <t>A y B son correctos.</t>
  </si>
  <si>
    <t>La importación/exportación de la información en un ERP genérico se puede realizar</t>
  </si>
  <si>
    <t>Únicamente mediante formularios habilitados para ello</t>
  </si>
  <si>
    <t>Únicamente mediante la exportación a documentos ofimáticos</t>
  </si>
  <si>
    <t>Existen muchas maneras pero destacan los conectores o plugins, módulos de importación/exportación en XML, ficheros CSV y los documentos ofimáticos vinculados al ERP</t>
  </si>
  <si>
    <t>Un administrativo de nóminas tiene acceso al inventario del almacén. ¿Sería correcto ese ERP?</t>
  </si>
  <si>
    <t>No, porque no necesita los datos del almacén en su trabajo</t>
  </si>
  <si>
    <t>Sí, porque podría necesitar esos datos para su trabajo</t>
  </si>
  <si>
    <t>Depende. En teoría sería un mal uso de los roles si no necesitase esos datos del almacén.</t>
  </si>
  <si>
    <t>Un ERP se compone de:</t>
  </si>
  <si>
    <t/>
  </si>
  <si>
    <t>Proporciona un punto de entrada único a un conjunto de feeds</t>
  </si>
  <si>
    <t>Un blogroll es:</t>
  </si>
  <si>
    <t>Una colección de enlaces a blogs que, generalmente, aparecen listados en uno de los lados de la página web que puestra el blogroll.</t>
  </si>
  <si>
    <t>PEC-3</t>
  </si>
</sst>
</file>

<file path=xl/styles.xml><?xml version="1.0" encoding="utf-8"?>
<styleSheet xmlns="http://schemas.openxmlformats.org/spreadsheetml/2006/main" xmlns:mc="http://schemas.openxmlformats.org/markup-compatibility/2006" xmlns:x14ac="http://schemas.microsoft.com/office/spreadsheetml/2009/9/ac" mc:Ignorable="x14ac">
  <fonts count="41"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Calibri"/>
      <family val="2"/>
      <scheme val="minor"/>
    </font>
    <font>
      <sz val="22"/>
      <color theme="1"/>
      <name val="Calibri"/>
      <family val="2"/>
      <scheme val="minor"/>
    </font>
    <font>
      <sz val="10"/>
      <color theme="1"/>
      <name val="Tahoma"/>
    </font>
    <font>
      <sz val="16"/>
      <color theme="1"/>
      <name val="Tahoma"/>
    </font>
    <font>
      <sz val="8"/>
      <name val="Calibri"/>
      <family val="2"/>
      <scheme val="minor"/>
    </font>
    <font>
      <b/>
      <sz val="11"/>
      <color theme="1"/>
      <name val="Calibri"/>
      <scheme val="minor"/>
    </font>
    <font>
      <sz val="12"/>
      <color rgb="FF000000"/>
      <name val="Helvetica"/>
    </font>
    <font>
      <sz val="9"/>
      <color theme="0"/>
      <name val="Calibri"/>
      <family val="2"/>
      <scheme val="minor"/>
    </font>
    <font>
      <sz val="12"/>
      <color theme="0"/>
      <name val="Calibri"/>
      <family val="2"/>
      <scheme val="minor"/>
    </font>
    <font>
      <sz val="12"/>
      <name val="Calibri"/>
      <family val="2"/>
      <scheme val="minor"/>
    </font>
    <font>
      <sz val="12"/>
      <name val="Times New Roman"/>
    </font>
    <font>
      <sz val="12"/>
      <name val="Arial"/>
    </font>
    <font>
      <sz val="9"/>
      <name val="Arial"/>
    </font>
    <font>
      <sz val="12"/>
      <name val="Symbol"/>
      <charset val="2"/>
    </font>
    <font>
      <sz val="11"/>
      <color theme="1"/>
      <name val="Calibri"/>
      <scheme val="minor"/>
    </font>
    <font>
      <sz val="11"/>
      <name val="Symbol"/>
      <charset val="2"/>
    </font>
    <font>
      <sz val="11"/>
      <name val="Times New Roman"/>
    </font>
    <font>
      <sz val="11"/>
      <name val="Arial"/>
    </font>
    <font>
      <sz val="10"/>
      <name val="Symbol"/>
      <charset val="2"/>
    </font>
    <font>
      <sz val="10"/>
      <name val="Times New Roman"/>
    </font>
    <font>
      <sz val="10"/>
      <name val="Arial"/>
    </font>
    <font>
      <sz val="10"/>
      <name val="Calibri"/>
      <family val="2"/>
      <scheme val="minor"/>
    </font>
    <font>
      <sz val="9"/>
      <color theme="1"/>
      <name val="Arial"/>
    </font>
    <font>
      <sz val="9"/>
      <color theme="1"/>
      <name val="Symbol"/>
      <charset val="2"/>
    </font>
    <font>
      <sz val="7"/>
      <color theme="1"/>
      <name val="Times New Roman"/>
    </font>
    <font>
      <sz val="12"/>
      <color theme="1"/>
      <name val="Arial"/>
    </font>
    <font>
      <sz val="12"/>
      <color theme="1"/>
      <name val="Symbol"/>
      <charset val="2"/>
    </font>
    <font>
      <sz val="12"/>
      <color theme="1"/>
      <name val="Times New Roman"/>
    </font>
    <font>
      <sz val="10"/>
      <color theme="1"/>
      <name val="Symbol"/>
      <charset val="2"/>
    </font>
    <font>
      <sz val="10"/>
      <color theme="1"/>
      <name val="Times New Roman"/>
    </font>
    <font>
      <sz val="10"/>
      <color theme="1"/>
      <name val="Arial"/>
    </font>
    <font>
      <sz val="9"/>
      <color theme="1"/>
      <name val="Times New Roman"/>
    </font>
    <font>
      <sz val="14"/>
      <color theme="1"/>
      <name val="Calibri"/>
      <family val="2"/>
      <scheme val="minor"/>
    </font>
    <font>
      <sz val="10"/>
      <color theme="1"/>
      <name val="Calibri"/>
      <family val="2"/>
      <scheme val="minor"/>
    </font>
    <font>
      <b/>
      <sz val="12"/>
      <color rgb="FF333333"/>
      <name val="Verdana"/>
    </font>
    <font>
      <i/>
      <sz val="12"/>
      <color rgb="FF333333"/>
      <name val="Verdana"/>
    </font>
    <font>
      <sz val="12"/>
      <color rgb="FFFF0000"/>
      <name val="Calibri"/>
      <family val="2"/>
      <scheme val="minor"/>
    </font>
  </fonts>
  <fills count="9">
    <fill>
      <patternFill patternType="none"/>
    </fill>
    <fill>
      <patternFill patternType="gray125"/>
    </fill>
    <fill>
      <patternFill patternType="solid">
        <fgColor rgb="FF92D050"/>
        <bgColor indexed="64"/>
      </patternFill>
    </fill>
    <fill>
      <patternFill patternType="solid">
        <fgColor rgb="FFFF0000"/>
        <bgColor indexed="64"/>
      </patternFill>
    </fill>
    <fill>
      <patternFill patternType="solid">
        <fgColor theme="2"/>
        <bgColor indexed="64"/>
      </patternFill>
    </fill>
    <fill>
      <patternFill patternType="solid">
        <fgColor rgb="FFE7E6E6"/>
        <bgColor rgb="FF000000"/>
      </patternFill>
    </fill>
    <fill>
      <patternFill patternType="solid">
        <fgColor theme="2"/>
        <bgColor rgb="FF000000"/>
      </patternFill>
    </fill>
    <fill>
      <patternFill patternType="solid">
        <fgColor theme="5" tint="0.39997558519241921"/>
        <bgColor indexed="64"/>
      </patternFill>
    </fill>
    <fill>
      <patternFill patternType="solid">
        <fgColor theme="0"/>
        <bgColor indexed="64"/>
      </patternFill>
    </fill>
  </fills>
  <borders count="18">
    <border>
      <left/>
      <right/>
      <top/>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style="hair">
        <color auto="1"/>
      </bottom>
      <diagonal/>
    </border>
    <border>
      <left/>
      <right style="thin">
        <color auto="1"/>
      </right>
      <top style="hair">
        <color auto="1"/>
      </top>
      <bottom style="hair">
        <color auto="1"/>
      </bottom>
      <diagonal/>
    </border>
    <border>
      <left/>
      <right/>
      <top/>
      <bottom style="thin">
        <color auto="1"/>
      </bottom>
      <diagonal/>
    </border>
    <border>
      <left/>
      <right/>
      <top style="hair">
        <color auto="1"/>
      </top>
      <bottom/>
      <diagonal/>
    </border>
    <border>
      <left/>
      <right/>
      <top style="thin">
        <color auto="1"/>
      </top>
      <bottom style="thin">
        <color auto="1"/>
      </bottom>
      <diagonal/>
    </border>
    <border>
      <left/>
      <right style="thin">
        <color auto="1"/>
      </right>
      <top style="hair">
        <color auto="1"/>
      </top>
      <bottom/>
      <diagonal/>
    </border>
    <border>
      <left/>
      <right/>
      <top/>
      <bottom style="hair">
        <color auto="1"/>
      </bottom>
      <diagonal/>
    </border>
    <border>
      <left/>
      <right style="thin">
        <color auto="1"/>
      </right>
      <top/>
      <bottom/>
      <diagonal/>
    </border>
  </borders>
  <cellStyleXfs count="295">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190">
    <xf numFmtId="0" fontId="0" fillId="0" borderId="0" xfId="0"/>
    <xf numFmtId="0" fontId="0" fillId="0" borderId="0" xfId="0" applyBorder="1" applyAlignment="1" applyProtection="1">
      <alignment horizontal="center" vertical="center"/>
      <protection hidden="1"/>
    </xf>
    <xf numFmtId="0" fontId="0" fillId="0" borderId="0" xfId="0" applyBorder="1" applyProtection="1">
      <protection hidden="1"/>
    </xf>
    <xf numFmtId="0" fontId="0" fillId="0" borderId="0" xfId="0" applyBorder="1" applyAlignment="1" applyProtection="1">
      <alignment vertical="center"/>
      <protection hidden="1"/>
    </xf>
    <xf numFmtId="0" fontId="0" fillId="0" borderId="0" xfId="0" applyFill="1" applyProtection="1">
      <protection hidden="1"/>
    </xf>
    <xf numFmtId="0" fontId="0" fillId="0" borderId="0" xfId="0"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Font="1" applyBorder="1" applyProtection="1">
      <protection hidden="1"/>
    </xf>
    <xf numFmtId="0" fontId="0" fillId="0" borderId="7" xfId="0" applyBorder="1" applyAlignment="1" applyProtection="1">
      <alignment horizontal="center" vertical="center"/>
      <protection hidden="1"/>
    </xf>
    <xf numFmtId="0" fontId="0" fillId="0" borderId="7" xfId="0" applyBorder="1" applyAlignment="1" applyProtection="1">
      <alignment vertical="center"/>
      <protection hidden="1"/>
    </xf>
    <xf numFmtId="0" fontId="5" fillId="7" borderId="0" xfId="0" applyFont="1" applyFill="1" applyBorder="1" applyAlignment="1" applyProtection="1">
      <protection hidden="1"/>
    </xf>
    <xf numFmtId="0" fontId="0" fillId="4" borderId="0" xfId="0" applyFont="1" applyFill="1" applyBorder="1" applyProtection="1">
      <protection hidden="1"/>
    </xf>
    <xf numFmtId="0" fontId="0" fillId="4" borderId="0" xfId="0" applyFill="1" applyBorder="1" applyAlignment="1" applyProtection="1">
      <alignment horizontal="center" vertical="center"/>
      <protection hidden="1"/>
    </xf>
    <xf numFmtId="0" fontId="0" fillId="4" borderId="0" xfId="0" applyFill="1" applyBorder="1" applyProtection="1">
      <protection hidden="1"/>
    </xf>
    <xf numFmtId="0" fontId="0" fillId="4" borderId="5" xfId="0" applyFill="1" applyBorder="1" applyAlignment="1" applyProtection="1">
      <alignment vertical="center"/>
      <protection hidden="1"/>
    </xf>
    <xf numFmtId="0" fontId="0" fillId="4" borderId="0" xfId="0" applyFill="1" applyProtection="1">
      <protection hidden="1"/>
    </xf>
    <xf numFmtId="0" fontId="0" fillId="0" borderId="0" xfId="0" applyFont="1" applyFill="1" applyBorder="1" applyProtection="1">
      <protection hidden="1"/>
    </xf>
    <xf numFmtId="0" fontId="0" fillId="0" borderId="0" xfId="0" applyFill="1" applyBorder="1" applyProtection="1">
      <protection hidden="1"/>
    </xf>
    <xf numFmtId="0" fontId="0" fillId="0" borderId="5" xfId="0" applyFill="1" applyBorder="1" applyAlignment="1" applyProtection="1">
      <alignment vertical="center"/>
      <protection hidden="1"/>
    </xf>
    <xf numFmtId="0" fontId="6" fillId="0" borderId="0" xfId="0" applyFont="1" applyBorder="1" applyAlignment="1" applyProtection="1">
      <alignment horizontal="justify" vertical="center"/>
      <protection hidden="1"/>
    </xf>
    <xf numFmtId="0" fontId="0" fillId="2" borderId="5" xfId="0" applyFill="1" applyBorder="1" applyAlignment="1" applyProtection="1">
      <alignment vertical="center"/>
      <protection hidden="1"/>
    </xf>
    <xf numFmtId="0" fontId="0" fillId="3" borderId="5" xfId="0" applyFill="1" applyBorder="1" applyAlignment="1" applyProtection="1">
      <alignment vertical="center"/>
      <protection hidden="1"/>
    </xf>
    <xf numFmtId="0" fontId="6" fillId="0" borderId="0" xfId="0" applyFont="1" applyBorder="1" applyProtection="1">
      <protection hidden="1"/>
    </xf>
    <xf numFmtId="0" fontId="4" fillId="5" borderId="0" xfId="0" applyFont="1" applyFill="1" applyBorder="1" applyProtection="1">
      <protection hidden="1"/>
    </xf>
    <xf numFmtId="0" fontId="4" fillId="0" borderId="0" xfId="0" applyFont="1" applyBorder="1" applyProtection="1">
      <protection hidden="1"/>
    </xf>
    <xf numFmtId="0" fontId="4" fillId="0" borderId="5" xfId="0" applyFont="1" applyFill="1" applyBorder="1" applyAlignment="1" applyProtection="1">
      <alignment vertical="center"/>
      <protection hidden="1"/>
    </xf>
    <xf numFmtId="0" fontId="4" fillId="6" borderId="0" xfId="0" applyFont="1" applyFill="1" applyBorder="1" applyProtection="1">
      <protection hidden="1"/>
    </xf>
    <xf numFmtId="0" fontId="4" fillId="6" borderId="5" xfId="0" applyFont="1" applyFill="1" applyBorder="1" applyAlignment="1" applyProtection="1">
      <alignment vertical="center"/>
      <protection hidden="1"/>
    </xf>
    <xf numFmtId="0" fontId="1" fillId="0" borderId="5" xfId="0" applyFont="1" applyFill="1" applyBorder="1" applyAlignment="1" applyProtection="1">
      <alignment horizontal="center" vertical="center"/>
      <protection hidden="1"/>
    </xf>
    <xf numFmtId="0" fontId="7" fillId="2" borderId="5" xfId="0" applyFont="1" applyFill="1" applyBorder="1" applyAlignment="1" applyProtection="1">
      <alignment horizontal="center" vertical="center"/>
      <protection hidden="1"/>
    </xf>
    <xf numFmtId="0" fontId="0" fillId="0" borderId="7" xfId="0" applyFont="1" applyFill="1" applyBorder="1" applyProtection="1">
      <protection hidden="1"/>
    </xf>
    <xf numFmtId="0" fontId="0" fillId="0" borderId="7" xfId="0" applyFill="1" applyBorder="1" applyAlignment="1" applyProtection="1">
      <alignment horizontal="center" vertical="center"/>
      <protection hidden="1"/>
    </xf>
    <xf numFmtId="0" fontId="9" fillId="0" borderId="8" xfId="0" applyFont="1" applyFill="1" applyBorder="1" applyAlignment="1" applyProtection="1">
      <alignment horizontal="center"/>
      <protection hidden="1"/>
    </xf>
    <xf numFmtId="0" fontId="0" fillId="4" borderId="0" xfId="0" applyFill="1" applyAlignment="1" applyProtection="1">
      <alignment horizontal="left" wrapText="1"/>
      <protection hidden="1"/>
    </xf>
    <xf numFmtId="0" fontId="0" fillId="0" borderId="0" xfId="0" applyAlignment="1" applyProtection="1">
      <alignment wrapText="1"/>
      <protection hidden="1"/>
    </xf>
    <xf numFmtId="0" fontId="0" fillId="0" borderId="0" xfId="0" applyFont="1" applyAlignment="1" applyProtection="1">
      <alignment horizontal="left" vertical="center"/>
      <protection hidden="1"/>
    </xf>
    <xf numFmtId="0" fontId="0" fillId="0" borderId="0" xfId="0" applyAlignment="1" applyProtection="1">
      <alignment horizontal="center" vertical="center"/>
      <protection hidden="1"/>
    </xf>
    <xf numFmtId="0" fontId="0" fillId="0" borderId="0" xfId="0" applyAlignment="1" applyProtection="1">
      <alignment vertical="center"/>
      <protection hidden="1"/>
    </xf>
    <xf numFmtId="0" fontId="0" fillId="0" borderId="9" xfId="0" applyFill="1" applyBorder="1" applyAlignment="1" applyProtection="1">
      <alignment horizontal="center" vertical="center"/>
      <protection locked="0"/>
    </xf>
    <xf numFmtId="0" fontId="0" fillId="4" borderId="0" xfId="0"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hidden="1"/>
    </xf>
    <xf numFmtId="0" fontId="0" fillId="8" borderId="0" xfId="0" applyFont="1" applyFill="1" applyBorder="1" applyAlignment="1" applyProtection="1">
      <alignment horizontal="center" vertical="center"/>
      <protection hidden="1"/>
    </xf>
    <xf numFmtId="0" fontId="0" fillId="0" borderId="4" xfId="0" applyFont="1" applyBorder="1" applyAlignment="1" applyProtection="1">
      <alignment horizontal="left" vertical="center"/>
      <protection hidden="1"/>
    </xf>
    <xf numFmtId="0" fontId="0" fillId="0" borderId="0" xfId="0" applyFont="1" applyBorder="1" applyAlignment="1" applyProtection="1">
      <alignment horizontal="left"/>
      <protection hidden="1"/>
    </xf>
    <xf numFmtId="0" fontId="0" fillId="0" borderId="4" xfId="0" applyFont="1" applyFill="1" applyBorder="1" applyAlignment="1" applyProtection="1">
      <alignment horizontal="left" vertical="center"/>
      <protection hidden="1"/>
    </xf>
    <xf numFmtId="0" fontId="0" fillId="0" borderId="6" xfId="0" applyFont="1" applyFill="1" applyBorder="1" applyAlignment="1" applyProtection="1">
      <alignment horizontal="left" vertical="center"/>
      <protection hidden="1"/>
    </xf>
    <xf numFmtId="0" fontId="0" fillId="4" borderId="0" xfId="0" applyFill="1" applyAlignment="1" applyProtection="1">
      <alignment horizontal="left"/>
      <protection hidden="1"/>
    </xf>
    <xf numFmtId="0" fontId="0" fillId="4" borderId="0" xfId="0" applyFill="1" applyBorder="1" applyAlignment="1" applyProtection="1">
      <alignment horizontal="left"/>
      <protection hidden="1"/>
    </xf>
    <xf numFmtId="0" fontId="0" fillId="0" borderId="0" xfId="0" applyFill="1" applyBorder="1" applyAlignment="1" applyProtection="1">
      <alignment horizontal="center" vertical="center"/>
      <protection locked="0"/>
    </xf>
    <xf numFmtId="0" fontId="0" fillId="0" borderId="0" xfId="0" applyFill="1" applyAlignment="1" applyProtection="1">
      <alignment wrapText="1"/>
      <protection hidden="1"/>
    </xf>
    <xf numFmtId="0" fontId="0" fillId="4" borderId="5" xfId="0" applyFont="1" applyFill="1" applyBorder="1" applyAlignment="1" applyProtection="1">
      <alignment wrapText="1"/>
      <protection hidden="1"/>
    </xf>
    <xf numFmtId="0" fontId="0" fillId="0" borderId="0" xfId="0" applyBorder="1" applyAlignment="1" applyProtection="1">
      <alignment horizontal="center"/>
      <protection hidden="1"/>
    </xf>
    <xf numFmtId="0" fontId="0" fillId="4" borderId="0" xfId="0" applyFill="1" applyBorder="1" applyAlignment="1" applyProtection="1">
      <alignment horizontal="center"/>
      <protection hidden="1"/>
    </xf>
    <xf numFmtId="0" fontId="0" fillId="0" borderId="0" xfId="0" applyFill="1" applyBorder="1" applyAlignment="1" applyProtection="1">
      <alignment horizontal="center"/>
      <protection hidden="1"/>
    </xf>
    <xf numFmtId="0" fontId="11" fillId="8" borderId="0" xfId="0" applyFont="1" applyFill="1" applyBorder="1" applyAlignment="1" applyProtection="1">
      <alignment horizontal="center"/>
      <protection locked="0"/>
    </xf>
    <xf numFmtId="0" fontId="0" fillId="0" borderId="7" xfId="0" applyBorder="1" applyAlignment="1" applyProtection="1">
      <alignment horizontal="center"/>
      <protection hidden="1"/>
    </xf>
    <xf numFmtId="0" fontId="0" fillId="4" borderId="0" xfId="0" applyFont="1" applyFill="1" applyBorder="1" applyAlignment="1" applyProtection="1">
      <alignment horizontal="center" wrapText="1"/>
      <protection hidden="1"/>
    </xf>
    <xf numFmtId="0" fontId="0" fillId="0" borderId="0" xfId="0" applyFill="1" applyBorder="1" applyAlignment="1" applyProtection="1">
      <alignment horizontal="center"/>
      <protection locked="0"/>
    </xf>
    <xf numFmtId="0" fontId="0" fillId="4" borderId="0" xfId="0" applyFont="1" applyFill="1" applyBorder="1" applyAlignment="1" applyProtection="1">
      <alignment wrapText="1"/>
      <protection locked="0"/>
    </xf>
    <xf numFmtId="0" fontId="12" fillId="0" borderId="0" xfId="0" applyFont="1" applyFill="1" applyBorder="1" applyAlignment="1" applyProtection="1">
      <alignment horizontal="center" vertical="center"/>
      <protection locked="0"/>
    </xf>
    <xf numFmtId="0" fontId="0" fillId="0" borderId="0" xfId="0" applyFill="1" applyBorder="1" applyAlignment="1" applyProtection="1">
      <alignment horizontal="center" vertical="center"/>
      <protection hidden="1"/>
    </xf>
    <xf numFmtId="0" fontId="0" fillId="7" borderId="2" xfId="0" applyFont="1" applyFill="1" applyBorder="1" applyAlignment="1" applyProtection="1">
      <alignment horizontal="left"/>
      <protection hidden="1"/>
    </xf>
    <xf numFmtId="0" fontId="0" fillId="7" borderId="1" xfId="0" applyFont="1" applyFill="1" applyBorder="1" applyAlignment="1" applyProtection="1">
      <alignment horizontal="center"/>
      <protection hidden="1"/>
    </xf>
    <xf numFmtId="0" fontId="13" fillId="0" borderId="10" xfId="0" applyFont="1" applyFill="1" applyBorder="1" applyProtection="1">
      <protection hidden="1"/>
    </xf>
    <xf numFmtId="0" fontId="13" fillId="0" borderId="4" xfId="0" applyFont="1" applyBorder="1" applyAlignment="1" applyProtection="1">
      <alignment horizontal="left" vertical="center"/>
      <protection hidden="1"/>
    </xf>
    <xf numFmtId="0" fontId="13" fillId="0" borderId="0" xfId="0" applyFont="1" applyBorder="1" applyProtection="1">
      <protection hidden="1"/>
    </xf>
    <xf numFmtId="0" fontId="0" fillId="0" borderId="6" xfId="0" applyFont="1" applyBorder="1" applyAlignment="1" applyProtection="1">
      <alignment horizontal="left" vertical="center"/>
      <protection hidden="1"/>
    </xf>
    <xf numFmtId="0" fontId="0" fillId="0" borderId="7" xfId="0" applyFont="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7" borderId="2" xfId="0" applyFont="1" applyFill="1" applyBorder="1" applyAlignment="1" applyProtection="1">
      <alignment horizontal="center" vertical="center"/>
      <protection hidden="1"/>
    </xf>
    <xf numFmtId="0" fontId="0" fillId="0" borderId="12" xfId="0" applyFill="1" applyBorder="1" applyAlignment="1" applyProtection="1">
      <alignment horizontal="center" vertical="center"/>
      <protection locked="0"/>
    </xf>
    <xf numFmtId="0" fontId="0" fillId="4" borderId="0" xfId="0" applyFill="1" applyBorder="1" applyAlignment="1" applyProtection="1">
      <alignment horizontal="left" vertical="center"/>
      <protection locked="0"/>
    </xf>
    <xf numFmtId="0" fontId="4" fillId="6" borderId="5" xfId="0" applyFont="1" applyFill="1" applyBorder="1" applyAlignment="1" applyProtection="1">
      <alignment horizontal="left" vertical="center"/>
      <protection hidden="1"/>
    </xf>
    <xf numFmtId="0" fontId="0" fillId="0" borderId="0" xfId="0" applyFill="1" applyBorder="1" applyAlignment="1" applyProtection="1">
      <protection hidden="1"/>
    </xf>
    <xf numFmtId="0" fontId="0" fillId="0" borderId="0" xfId="0" applyFill="1" applyAlignment="1" applyProtection="1">
      <protection hidden="1"/>
    </xf>
    <xf numFmtId="0" fontId="9" fillId="0" borderId="5" xfId="0" applyFont="1" applyFill="1" applyBorder="1" applyAlignment="1" applyProtection="1">
      <alignment horizontal="center"/>
      <protection hidden="1"/>
    </xf>
    <xf numFmtId="0" fontId="12" fillId="0" borderId="0" xfId="0" applyFont="1" applyFill="1" applyBorder="1" applyAlignment="1" applyProtection="1">
      <alignment horizontal="center"/>
      <protection locked="0"/>
    </xf>
    <xf numFmtId="0" fontId="16" fillId="4" borderId="4" xfId="0" applyFont="1" applyFill="1" applyBorder="1" applyAlignment="1">
      <alignment vertical="center"/>
    </xf>
    <xf numFmtId="0" fontId="4" fillId="4" borderId="5" xfId="0" applyFont="1" applyFill="1" applyBorder="1" applyAlignment="1" applyProtection="1">
      <alignment vertical="center"/>
      <protection hidden="1"/>
    </xf>
    <xf numFmtId="0" fontId="15" fillId="4" borderId="4" xfId="0" applyFont="1" applyFill="1" applyBorder="1" applyAlignment="1">
      <alignment vertical="center"/>
    </xf>
    <xf numFmtId="0" fontId="17" fillId="0" borderId="4" xfId="0" applyFont="1" applyBorder="1" applyAlignment="1">
      <alignment horizontal="left" vertical="center" indent="6"/>
    </xf>
    <xf numFmtId="0" fontId="0" fillId="4" borderId="14" xfId="0" applyFill="1" applyBorder="1" applyAlignment="1" applyProtection="1">
      <alignment horizontal="center" vertical="center"/>
      <protection locked="0"/>
    </xf>
    <xf numFmtId="0" fontId="13" fillId="0" borderId="4" xfId="0" applyFont="1" applyFill="1" applyBorder="1" applyProtection="1">
      <protection hidden="1"/>
    </xf>
    <xf numFmtId="0" fontId="13" fillId="0" borderId="0" xfId="0" applyFont="1" applyFill="1" applyBorder="1" applyProtection="1">
      <protection hidden="1"/>
    </xf>
    <xf numFmtId="0" fontId="0" fillId="0" borderId="0" xfId="0" applyFill="1" applyBorder="1" applyAlignment="1" applyProtection="1">
      <alignment horizontal="center" vertic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 fillId="5" borderId="4" xfId="0" applyFont="1" applyFill="1" applyBorder="1" applyAlignment="1" applyProtection="1">
      <alignment horizontal="left" vertical="center"/>
      <protection hidden="1"/>
    </xf>
    <xf numFmtId="0" fontId="4" fillId="0" borderId="4" xfId="0" applyFont="1" applyBorder="1" applyAlignment="1" applyProtection="1">
      <alignment horizontal="left" vertical="center"/>
      <protection hidden="1"/>
    </xf>
    <xf numFmtId="0" fontId="4" fillId="0" borderId="10" xfId="0" applyFont="1" applyBorder="1" applyProtection="1">
      <protection hidden="1"/>
    </xf>
    <xf numFmtId="0" fontId="4" fillId="5" borderId="0" xfId="0" applyFont="1" applyFill="1" applyBorder="1" applyAlignment="1" applyProtection="1">
      <alignment horizontal="left" vertical="center"/>
      <protection hidden="1"/>
    </xf>
    <xf numFmtId="0" fontId="0" fillId="0" borderId="0" xfId="0" applyFill="1" applyBorder="1"/>
    <xf numFmtId="0" fontId="13" fillId="4" borderId="0" xfId="0" applyFont="1" applyFill="1" applyBorder="1" applyProtection="1">
      <protection hidden="1"/>
    </xf>
    <xf numFmtId="0" fontId="13" fillId="0" borderId="11" xfId="0" applyFont="1" applyBorder="1" applyProtection="1">
      <protection hidden="1"/>
    </xf>
    <xf numFmtId="0" fontId="13" fillId="4" borderId="0" xfId="0" applyFont="1" applyFill="1" applyBorder="1" applyAlignment="1" applyProtection="1">
      <alignment vertical="center" wrapText="1"/>
      <protection hidden="1"/>
    </xf>
    <xf numFmtId="0" fontId="0" fillId="7" borderId="3" xfId="0" applyFont="1" applyFill="1" applyBorder="1" applyAlignment="1" applyProtection="1">
      <alignment horizontal="center"/>
      <protection hidden="1"/>
    </xf>
    <xf numFmtId="0" fontId="0" fillId="0" borderId="1" xfId="0" applyFont="1" applyFill="1" applyBorder="1" applyAlignment="1" applyProtection="1">
      <alignment horizontal="center"/>
      <protection hidden="1"/>
    </xf>
    <xf numFmtId="0" fontId="5" fillId="0" borderId="1" xfId="0" applyFont="1" applyFill="1" applyBorder="1" applyAlignment="1" applyProtection="1">
      <alignment horizontal="center"/>
      <protection hidden="1"/>
    </xf>
    <xf numFmtId="0" fontId="6" fillId="0" borderId="0" xfId="0" applyFont="1" applyFill="1" applyBorder="1" applyAlignment="1" applyProtection="1">
      <alignment horizontal="justify" vertical="center"/>
      <protection hidden="1"/>
    </xf>
    <xf numFmtId="0" fontId="0" fillId="0" borderId="1" xfId="0" applyFont="1" applyFill="1" applyBorder="1" applyAlignment="1" applyProtection="1">
      <alignment horizontal="left"/>
      <protection hidden="1"/>
    </xf>
    <xf numFmtId="0" fontId="4" fillId="0" borderId="0" xfId="0" applyFont="1" applyFill="1" applyBorder="1" applyAlignment="1" applyProtection="1">
      <alignment vertical="center"/>
      <protection hidden="1"/>
    </xf>
    <xf numFmtId="0" fontId="0" fillId="0" borderId="0" xfId="0" applyFont="1" applyFill="1" applyBorder="1" applyAlignment="1" applyProtection="1">
      <alignment horizontal="left" vertical="center"/>
      <protection hidden="1"/>
    </xf>
    <xf numFmtId="0" fontId="0" fillId="0" borderId="7" xfId="0" applyFill="1" applyBorder="1" applyAlignment="1" applyProtection="1">
      <protection hidden="1"/>
    </xf>
    <xf numFmtId="0" fontId="0" fillId="0" borderId="7" xfId="0" applyFill="1" applyBorder="1" applyAlignment="1" applyProtection="1">
      <alignment horizontal="center" vertical="center"/>
      <protection locked="0"/>
    </xf>
    <xf numFmtId="0" fontId="0" fillId="0" borderId="7" xfId="0" applyFill="1" applyBorder="1" applyAlignment="1" applyProtection="1">
      <alignment horizontal="center"/>
      <protection hidden="1"/>
    </xf>
    <xf numFmtId="0" fontId="0" fillId="0" borderId="7" xfId="0" applyFill="1" applyBorder="1" applyAlignment="1" applyProtection="1">
      <alignment vertical="center"/>
      <protection hidden="1"/>
    </xf>
    <xf numFmtId="0" fontId="15" fillId="0" borderId="0" xfId="0" applyFont="1" applyBorder="1" applyAlignment="1" applyProtection="1">
      <alignment vertical="center"/>
      <protection hidden="1"/>
    </xf>
    <xf numFmtId="0" fontId="11" fillId="4" borderId="0" xfId="0" applyFont="1" applyFill="1" applyBorder="1" applyAlignment="1" applyProtection="1">
      <alignment horizontal="center"/>
      <protection locked="0"/>
    </xf>
    <xf numFmtId="0" fontId="4" fillId="0" borderId="0" xfId="0" applyFont="1" applyFill="1" applyBorder="1" applyProtection="1">
      <protection hidden="1"/>
    </xf>
    <xf numFmtId="0" fontId="6" fillId="0" borderId="0" xfId="0" applyFont="1" applyFill="1" applyBorder="1" applyProtection="1">
      <protection hidden="1"/>
    </xf>
    <xf numFmtId="0" fontId="13" fillId="0" borderId="0" xfId="0" applyFont="1" applyFill="1" applyBorder="1" applyAlignment="1" applyProtection="1">
      <alignment vertical="center" wrapText="1"/>
      <protection hidden="1"/>
    </xf>
    <xf numFmtId="0" fontId="13" fillId="4" borderId="11" xfId="0" applyFont="1" applyFill="1" applyBorder="1" applyProtection="1">
      <protection hidden="1"/>
    </xf>
    <xf numFmtId="0" fontId="13" fillId="4" borderId="10" xfId="0" applyFont="1" applyFill="1" applyBorder="1" applyProtection="1">
      <protection hidden="1"/>
    </xf>
    <xf numFmtId="0" fontId="13" fillId="0" borderId="11" xfId="0" applyFont="1" applyFill="1" applyBorder="1" applyProtection="1">
      <protection hidden="1"/>
    </xf>
    <xf numFmtId="0" fontId="13" fillId="0" borderId="0" xfId="0" applyFont="1" applyFill="1" applyBorder="1" applyAlignment="1" applyProtection="1">
      <alignment wrapText="1"/>
      <protection hidden="1"/>
    </xf>
    <xf numFmtId="0" fontId="25" fillId="0" borderId="10" xfId="0" applyFont="1" applyFill="1" applyBorder="1" applyProtection="1">
      <protection hidden="1"/>
    </xf>
    <xf numFmtId="0" fontId="25" fillId="0" borderId="11" xfId="0" applyFont="1" applyBorder="1" applyProtection="1">
      <protection hidden="1"/>
    </xf>
    <xf numFmtId="0" fontId="0" fillId="4" borderId="12" xfId="0" applyFill="1" applyBorder="1" applyAlignment="1" applyProtection="1">
      <alignment horizontal="center" vertical="center"/>
      <protection locked="0"/>
    </xf>
    <xf numFmtId="0" fontId="15" fillId="0" borderId="0" xfId="0" applyFont="1" applyFill="1" applyBorder="1" applyAlignment="1">
      <alignment vertical="center"/>
    </xf>
    <xf numFmtId="0" fontId="15" fillId="0" borderId="0" xfId="0" applyFont="1" applyFill="1" applyBorder="1" applyAlignment="1">
      <alignment vertical="top" wrapText="1"/>
    </xf>
    <xf numFmtId="0" fontId="17" fillId="0" borderId="4" xfId="0" applyFont="1" applyFill="1" applyBorder="1" applyAlignment="1">
      <alignment horizontal="left" vertical="center" indent="6"/>
    </xf>
    <xf numFmtId="0" fontId="15" fillId="0" borderId="4" xfId="0" applyFont="1" applyBorder="1" applyAlignment="1">
      <alignment horizontal="left" vertical="center" indent="6"/>
    </xf>
    <xf numFmtId="0" fontId="15" fillId="4" borderId="4" xfId="0" applyFont="1" applyFill="1" applyBorder="1" applyAlignment="1">
      <alignment horizontal="left" vertical="center" indent="3"/>
    </xf>
    <xf numFmtId="0" fontId="17" fillId="0" borderId="4" xfId="0" applyFont="1" applyBorder="1" applyAlignment="1">
      <alignment horizontal="left" vertical="center" indent="12"/>
    </xf>
    <xf numFmtId="0" fontId="22" fillId="0" borderId="4" xfId="0" applyFont="1" applyBorder="1" applyAlignment="1">
      <alignment horizontal="left" vertical="center" indent="6"/>
    </xf>
    <xf numFmtId="0" fontId="0" fillId="4" borderId="12" xfId="0" applyFont="1" applyFill="1" applyBorder="1" applyAlignment="1" applyProtection="1">
      <alignment horizontal="center" vertical="center"/>
      <protection locked="0"/>
    </xf>
    <xf numFmtId="0" fontId="0" fillId="0" borderId="9" xfId="0" applyFont="1" applyFill="1" applyBorder="1" applyAlignment="1" applyProtection="1">
      <alignment horizontal="center" vertical="center"/>
      <protection locked="0"/>
    </xf>
    <xf numFmtId="0" fontId="0" fillId="4" borderId="0" xfId="0" applyFont="1" applyFill="1" applyBorder="1" applyAlignment="1" applyProtection="1">
      <alignment horizontal="center"/>
      <protection hidden="1"/>
    </xf>
    <xf numFmtId="0" fontId="0" fillId="2" borderId="5" xfId="0" applyFont="1" applyFill="1" applyBorder="1" applyAlignment="1" applyProtection="1">
      <alignment vertical="center"/>
      <protection hidden="1"/>
    </xf>
    <xf numFmtId="0" fontId="0" fillId="0" borderId="0" xfId="0" applyFont="1" applyFill="1" applyBorder="1" applyAlignment="1" applyProtection="1">
      <alignment horizontal="center"/>
      <protection hidden="1"/>
    </xf>
    <xf numFmtId="0" fontId="0" fillId="3" borderId="5" xfId="0" applyFont="1" applyFill="1" applyBorder="1" applyAlignment="1" applyProtection="1">
      <alignment vertical="center"/>
      <protection hidden="1"/>
    </xf>
    <xf numFmtId="0" fontId="0" fillId="0" borderId="5" xfId="0" applyFont="1" applyFill="1" applyBorder="1" applyAlignment="1" applyProtection="1">
      <alignment vertical="center"/>
      <protection hidden="1"/>
    </xf>
    <xf numFmtId="0" fontId="0" fillId="4" borderId="0" xfId="0" applyFont="1" applyFill="1" applyBorder="1" applyAlignment="1" applyProtection="1">
      <alignment horizontal="center" vertical="center"/>
      <protection locked="0"/>
    </xf>
    <xf numFmtId="0" fontId="0" fillId="4" borderId="5" xfId="0" applyFont="1" applyFill="1" applyBorder="1" applyAlignment="1" applyProtection="1">
      <alignment vertical="center"/>
      <protection hidden="1"/>
    </xf>
    <xf numFmtId="0" fontId="0" fillId="0" borderId="4" xfId="0" applyFont="1" applyBorder="1" applyProtection="1">
      <protection hidden="1"/>
    </xf>
    <xf numFmtId="0" fontId="0" fillId="0" borderId="0" xfId="0" applyFont="1" applyFill="1" applyBorder="1" applyAlignment="1" applyProtection="1">
      <alignment horizontal="center" vertical="center"/>
      <protection locked="0"/>
    </xf>
    <xf numFmtId="0" fontId="0" fillId="0" borderId="5" xfId="0"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0" fillId="0" borderId="7" xfId="0" applyFont="1" applyFill="1" applyBorder="1" applyAlignment="1" applyProtection="1">
      <alignment horizontal="center" vertical="center"/>
      <protection hidden="1"/>
    </xf>
    <xf numFmtId="0" fontId="0" fillId="0" borderId="7" xfId="0" applyFont="1" applyBorder="1" applyAlignment="1" applyProtection="1">
      <alignment horizontal="center"/>
      <protection hidden="1"/>
    </xf>
    <xf numFmtId="0" fontId="18" fillId="0" borderId="8" xfId="0" applyFont="1" applyFill="1" applyBorder="1" applyAlignment="1" applyProtection="1">
      <alignment horizontal="center"/>
      <protection hidden="1"/>
    </xf>
    <xf numFmtId="0" fontId="13" fillId="0" borderId="10" xfId="0" applyFont="1" applyFill="1" applyBorder="1" applyAlignment="1" applyProtection="1">
      <alignment vertical="center" wrapText="1"/>
      <protection hidden="1"/>
    </xf>
    <xf numFmtId="0" fontId="13" fillId="4" borderId="13" xfId="0" applyFont="1" applyFill="1" applyBorder="1" applyProtection="1">
      <protection hidden="1"/>
    </xf>
    <xf numFmtId="0" fontId="13" fillId="0" borderId="10" xfId="0" applyFont="1" applyBorder="1" applyProtection="1">
      <protection hidden="1"/>
    </xf>
    <xf numFmtId="0" fontId="13" fillId="0" borderId="11" xfId="0" applyFont="1" applyFill="1" applyBorder="1" applyAlignment="1" applyProtection="1">
      <alignment vertical="center" wrapText="1"/>
      <protection hidden="1"/>
    </xf>
    <xf numFmtId="0" fontId="13" fillId="0" borderId="15" xfId="0" applyFont="1" applyBorder="1" applyProtection="1">
      <protection hidden="1"/>
    </xf>
    <xf numFmtId="0" fontId="5" fillId="7" borderId="1" xfId="0" applyFont="1" applyFill="1" applyBorder="1" applyAlignment="1" applyProtection="1">
      <alignment horizontal="center"/>
      <protection hidden="1"/>
    </xf>
    <xf numFmtId="0" fontId="26" fillId="4" borderId="4" xfId="0" applyFont="1" applyFill="1" applyBorder="1" applyAlignment="1">
      <alignment vertical="center"/>
    </xf>
    <xf numFmtId="0" fontId="0" fillId="4" borderId="0" xfId="0" applyFont="1" applyFill="1" applyBorder="1" applyAlignment="1" applyProtection="1">
      <alignment wrapText="1"/>
      <protection hidden="1"/>
    </xf>
    <xf numFmtId="0" fontId="27" fillId="0" borderId="4" xfId="0" applyFont="1" applyBorder="1" applyAlignment="1">
      <alignment horizontal="left" vertical="center" indent="6"/>
    </xf>
    <xf numFmtId="0" fontId="0" fillId="0" borderId="10" xfId="0" applyFont="1" applyFill="1" applyBorder="1" applyAlignment="1" applyProtection="1">
      <alignment wrapText="1"/>
      <protection hidden="1"/>
    </xf>
    <xf numFmtId="0" fontId="0" fillId="0" borderId="11" xfId="0" applyFont="1" applyFill="1" applyBorder="1" applyAlignment="1" applyProtection="1">
      <alignment wrapText="1"/>
      <protection hidden="1"/>
    </xf>
    <xf numFmtId="0" fontId="0" fillId="0" borderId="0" xfId="0" applyFont="1" applyFill="1" applyBorder="1" applyAlignment="1" applyProtection="1">
      <alignment wrapText="1"/>
      <protection hidden="1"/>
    </xf>
    <xf numFmtId="0" fontId="0" fillId="4" borderId="11" xfId="0" applyFont="1" applyFill="1" applyBorder="1" applyAlignment="1" applyProtection="1">
      <alignment wrapText="1"/>
      <protection hidden="1"/>
    </xf>
    <xf numFmtId="0" fontId="29" fillId="4" borderId="4" xfId="0" applyFont="1" applyFill="1" applyBorder="1" applyAlignment="1">
      <alignment vertical="center"/>
    </xf>
    <xf numFmtId="0" fontId="30" fillId="0" borderId="4" xfId="0" applyFont="1" applyBorder="1" applyAlignment="1">
      <alignment horizontal="left" vertical="center" indent="6"/>
    </xf>
    <xf numFmtId="0" fontId="32" fillId="0" borderId="4" xfId="0" applyFont="1" applyBorder="1" applyAlignment="1">
      <alignment horizontal="left" vertical="center" indent="6"/>
    </xf>
    <xf numFmtId="0" fontId="19" fillId="0" borderId="4" xfId="0" applyFont="1" applyFill="1" applyBorder="1" applyAlignment="1">
      <alignment horizontal="left" vertical="center" indent="9"/>
    </xf>
    <xf numFmtId="0" fontId="17" fillId="0" borderId="4" xfId="0" applyFont="1" applyFill="1" applyBorder="1" applyAlignment="1">
      <alignment horizontal="left" vertical="center" indent="9"/>
    </xf>
    <xf numFmtId="0" fontId="36" fillId="4" borderId="0" xfId="0" applyFont="1" applyFill="1" applyBorder="1" applyAlignment="1" applyProtection="1">
      <alignment vertical="center" wrapText="1"/>
      <protection hidden="1"/>
    </xf>
    <xf numFmtId="0" fontId="36" fillId="0" borderId="10" xfId="0" applyFont="1" applyFill="1" applyBorder="1" applyProtection="1">
      <protection hidden="1"/>
    </xf>
    <xf numFmtId="0" fontId="36" fillId="0" borderId="11" xfId="0" applyFont="1" applyBorder="1" applyProtection="1">
      <protection hidden="1"/>
    </xf>
    <xf numFmtId="0" fontId="27" fillId="0" borderId="4" xfId="0" applyFont="1" applyFill="1" applyBorder="1" applyAlignment="1">
      <alignment horizontal="left" vertical="center" indent="6"/>
    </xf>
    <xf numFmtId="0" fontId="36" fillId="0" borderId="11" xfId="0" applyFont="1" applyFill="1" applyBorder="1" applyProtection="1">
      <protection hidden="1"/>
    </xf>
    <xf numFmtId="0" fontId="36" fillId="4" borderId="0" xfId="0" applyFont="1" applyFill="1" applyBorder="1" applyProtection="1">
      <protection hidden="1"/>
    </xf>
    <xf numFmtId="0" fontId="36" fillId="0" borderId="11" xfId="0" applyFont="1" applyFill="1" applyBorder="1" applyAlignment="1" applyProtection="1">
      <alignment vertical="center" wrapText="1"/>
      <protection hidden="1"/>
    </xf>
    <xf numFmtId="0" fontId="36" fillId="4" borderId="11" xfId="0" applyFont="1" applyFill="1" applyBorder="1" applyProtection="1">
      <protection hidden="1"/>
    </xf>
    <xf numFmtId="0" fontId="37" fillId="0" borderId="11" xfId="0" applyFont="1" applyFill="1" applyBorder="1" applyAlignment="1" applyProtection="1">
      <alignment vertical="center" wrapText="1"/>
      <protection hidden="1"/>
    </xf>
    <xf numFmtId="0" fontId="36" fillId="0" borderId="4" xfId="0" applyFont="1" applyFill="1" applyBorder="1" applyAlignment="1" applyProtection="1">
      <alignment horizontal="left" vertical="center"/>
      <protection hidden="1"/>
    </xf>
    <xf numFmtId="0" fontId="36" fillId="0" borderId="0" xfId="0" applyFont="1" applyFill="1" applyBorder="1" applyProtection="1">
      <protection hidden="1"/>
    </xf>
    <xf numFmtId="0" fontId="0" fillId="0" borderId="11" xfId="0" applyFont="1" applyFill="1" applyBorder="1" applyAlignment="1" applyProtection="1">
      <alignment vertical="center" wrapText="1"/>
      <protection hidden="1"/>
    </xf>
    <xf numFmtId="0" fontId="0" fillId="0" borderId="4" xfId="0" applyFont="1" applyFill="1" applyBorder="1" applyAlignment="1" applyProtection="1">
      <alignment wrapText="1"/>
      <protection hidden="1"/>
    </xf>
    <xf numFmtId="0" fontId="4" fillId="4" borderId="0" xfId="0" applyFont="1" applyFill="1" applyBorder="1" applyProtection="1">
      <protection hidden="1"/>
    </xf>
    <xf numFmtId="0" fontId="13" fillId="0" borderId="16" xfId="0" applyFont="1" applyFill="1" applyBorder="1" applyProtection="1">
      <protection hidden="1"/>
    </xf>
    <xf numFmtId="0" fontId="36" fillId="4" borderId="16" xfId="0" applyFont="1" applyFill="1" applyBorder="1" applyProtection="1">
      <protection hidden="1"/>
    </xf>
    <xf numFmtId="0" fontId="0" fillId="0" borderId="0" xfId="0" applyFill="1" applyAlignment="1" applyProtection="1">
      <alignment horizontal="left"/>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0" fillId="0" borderId="0" xfId="0" applyFill="1" applyBorder="1" applyAlignment="1" applyProtection="1">
      <alignment horizontal="center" vertical="center"/>
      <protection hidden="1"/>
    </xf>
    <xf numFmtId="0" fontId="27" fillId="0" borderId="4" xfId="0" applyFont="1" applyFill="1" applyBorder="1" applyAlignment="1">
      <alignment horizontal="left" vertical="center"/>
    </xf>
    <xf numFmtId="0" fontId="27" fillId="0" borderId="17" xfId="0" applyFont="1" applyFill="1" applyBorder="1" applyAlignment="1">
      <alignment horizontal="left" vertical="center"/>
    </xf>
    <xf numFmtId="0" fontId="5" fillId="7" borderId="1" xfId="0" applyFont="1" applyFill="1" applyBorder="1" applyAlignment="1" applyProtection="1">
      <alignment horizontal="center"/>
      <protection hidden="1"/>
    </xf>
    <xf numFmtId="0" fontId="5" fillId="7" borderId="3" xfId="0" applyFont="1" applyFill="1" applyBorder="1" applyAlignment="1" applyProtection="1">
      <alignment horizontal="center"/>
      <protection hidden="1"/>
    </xf>
    <xf numFmtId="0" fontId="40" fillId="3" borderId="5" xfId="0" applyFont="1" applyFill="1" applyBorder="1" applyAlignment="1" applyProtection="1">
      <alignment vertical="center"/>
      <protection hidden="1"/>
    </xf>
    <xf numFmtId="0" fontId="0" fillId="0" borderId="11" xfId="0" applyFont="1" applyFill="1" applyBorder="1" applyProtection="1">
      <protection hidden="1"/>
    </xf>
  </cellXfs>
  <cellStyles count="295">
    <cellStyle name="Hipervínculo" xfId="9" builtinId="8" hidden="1"/>
    <cellStyle name="Hipervínculo" xfId="11" builtinId="8" hidden="1"/>
    <cellStyle name="Hipervínculo" xfId="15" builtinId="8" hidden="1"/>
    <cellStyle name="Hipervínculo" xfId="13" builtinId="8" hidden="1"/>
    <cellStyle name="Hipervínculo" xfId="5" builtinId="8" hidden="1"/>
    <cellStyle name="Hipervínculo" xfId="7" builtinId="8" hidden="1"/>
    <cellStyle name="Hipervínculo" xfId="3" builtinId="8" hidden="1"/>
    <cellStyle name="Hipervínculo" xfId="1" builtinId="8" hidden="1"/>
    <cellStyle name="Hipervínculo" xfId="17" builtinId="8" hidden="1"/>
    <cellStyle name="Hipervínculo" xfId="19" builtinId="8" hidden="1"/>
    <cellStyle name="Hipervínculo" xfId="21" builtinId="8" hidden="1"/>
    <cellStyle name="Hipervínculo" xfId="23" builtinId="8" hidden="1"/>
    <cellStyle name="Hipervínculo" xfId="25" builtinId="8" hidden="1"/>
    <cellStyle name="Hipervínculo" xfId="27" builtinId="8" hidden="1"/>
    <cellStyle name="Hipervínculo" xfId="29" builtinId="8" hidden="1"/>
    <cellStyle name="Hipervínculo" xfId="31" builtinId="8" hidden="1"/>
    <cellStyle name="Hipervínculo" xfId="33" builtinId="8" hidden="1"/>
    <cellStyle name="Hipervínculo" xfId="35" builtinId="8" hidden="1"/>
    <cellStyle name="Hipervínculo" xfId="37" builtinId="8" hidden="1"/>
    <cellStyle name="Hipervínculo" xfId="39" builtinId="8" hidden="1"/>
    <cellStyle name="Hipervínculo" xfId="41" builtinId="8" hidden="1"/>
    <cellStyle name="Hipervínculo" xfId="43" builtinId="8" hidden="1"/>
    <cellStyle name="Hipervínculo" xfId="45" builtinId="8" hidden="1"/>
    <cellStyle name="Hipervínculo" xfId="47" builtinId="8" hidden="1"/>
    <cellStyle name="Hipervínculo" xfId="49" builtinId="8" hidden="1"/>
    <cellStyle name="Hipervínculo" xfId="51" builtinId="8" hidden="1"/>
    <cellStyle name="Hipervínculo" xfId="53" builtinId="8" hidden="1"/>
    <cellStyle name="Hipervínculo" xfId="55" builtinId="8" hidden="1"/>
    <cellStyle name="Hipervínculo" xfId="57" builtinId="8" hidden="1"/>
    <cellStyle name="Hipervínculo" xfId="59" builtinId="8" hidden="1"/>
    <cellStyle name="Hipervínculo" xfId="61" builtinId="8" hidden="1"/>
    <cellStyle name="Hipervínculo" xfId="63" builtinId="8" hidden="1"/>
    <cellStyle name="Hipervínculo" xfId="65" builtinId="8" hidden="1"/>
    <cellStyle name="Hipervínculo" xfId="67" builtinId="8" hidden="1"/>
    <cellStyle name="Hipervínculo" xfId="69" builtinId="8" hidden="1"/>
    <cellStyle name="Hipervínculo" xfId="71" builtinId="8" hidden="1"/>
    <cellStyle name="Hipervínculo" xfId="73" builtinId="8" hidden="1"/>
    <cellStyle name="Hipervínculo" xfId="75" builtinId="8" hidden="1"/>
    <cellStyle name="Hipervínculo" xfId="77" builtinId="8" hidden="1"/>
    <cellStyle name="Hipervínculo" xfId="79" builtinId="8" hidden="1"/>
    <cellStyle name="Hipervínculo" xfId="81" builtinId="8" hidden="1"/>
    <cellStyle name="Hipervínculo" xfId="83" builtinId="8" hidden="1"/>
    <cellStyle name="Hipervínculo" xfId="85" builtinId="8" hidden="1"/>
    <cellStyle name="Hipervínculo" xfId="87" builtinId="8" hidden="1"/>
    <cellStyle name="Hipervínculo" xfId="89" builtinId="8" hidden="1"/>
    <cellStyle name="Hipervínculo" xfId="91" builtinId="8" hidden="1"/>
    <cellStyle name="Hipervínculo" xfId="93" builtinId="8" hidden="1"/>
    <cellStyle name="Hipervínculo" xfId="95" builtinId="8" hidden="1"/>
    <cellStyle name="Hipervínculo" xfId="97" builtinId="8" hidden="1"/>
    <cellStyle name="Hipervínculo" xfId="99" builtinId="8" hidden="1"/>
    <cellStyle name="Hipervínculo" xfId="101" builtinId="8" hidden="1"/>
    <cellStyle name="Hipervínculo" xfId="103" builtinId="8" hidden="1"/>
    <cellStyle name="Hipervínculo" xfId="105" builtinId="8" hidden="1"/>
    <cellStyle name="Hipervínculo" xfId="107" builtinId="8" hidden="1"/>
    <cellStyle name="Hipervínculo" xfId="109" builtinId="8" hidden="1"/>
    <cellStyle name="Hipervínculo" xfId="111" builtinId="8" hidden="1"/>
    <cellStyle name="Hipervínculo" xfId="113" builtinId="8" hidden="1"/>
    <cellStyle name="Hipervínculo" xfId="115" builtinId="8" hidden="1"/>
    <cellStyle name="Hipervínculo" xfId="117" builtinId="8" hidden="1"/>
    <cellStyle name="Hipervínculo" xfId="119" builtinId="8" hidden="1"/>
    <cellStyle name="Hipervínculo" xfId="121" builtinId="8" hidden="1"/>
    <cellStyle name="Hipervínculo" xfId="123" builtinId="8" hidden="1"/>
    <cellStyle name="Hipervínculo" xfId="125" builtinId="8" hidden="1"/>
    <cellStyle name="Hipervínculo" xfId="127" builtinId="8" hidden="1"/>
    <cellStyle name="Hipervínculo" xfId="129" builtinId="8" hidden="1"/>
    <cellStyle name="Hipervínculo" xfId="131" builtinId="8" hidden="1"/>
    <cellStyle name="Hipervínculo" xfId="133" builtinId="8" hidden="1"/>
    <cellStyle name="Hipervínculo" xfId="135" builtinId="8" hidden="1"/>
    <cellStyle name="Hipervínculo" xfId="137" builtinId="8" hidden="1"/>
    <cellStyle name="Hipervínculo" xfId="139" builtinId="8" hidden="1"/>
    <cellStyle name="Hipervínculo" xfId="141" builtinId="8" hidden="1"/>
    <cellStyle name="Hipervínculo" xfId="143" builtinId="8" hidden="1"/>
    <cellStyle name="Hipervínculo" xfId="145" builtinId="8" hidden="1"/>
    <cellStyle name="Hipervínculo" xfId="147" builtinId="8" hidden="1"/>
    <cellStyle name="Hipervínculo" xfId="149" builtinId="8" hidden="1"/>
    <cellStyle name="Hipervínculo" xfId="151" builtinId="8" hidden="1"/>
    <cellStyle name="Hipervínculo" xfId="153" builtinId="8" hidden="1"/>
    <cellStyle name="Hipervínculo" xfId="155" builtinId="8" hidden="1"/>
    <cellStyle name="Hipervínculo" xfId="157" builtinId="8" hidden="1"/>
    <cellStyle name="Hipervínculo" xfId="159" builtinId="8" hidden="1"/>
    <cellStyle name="Hipervínculo" xfId="161" builtinId="8" hidden="1"/>
    <cellStyle name="Hipervínculo" xfId="163" builtinId="8" hidden="1"/>
    <cellStyle name="Hipervínculo" xfId="165" builtinId="8" hidden="1"/>
    <cellStyle name="Hipervínculo" xfId="167" builtinId="8" hidden="1"/>
    <cellStyle name="Hipervínculo" xfId="169" builtinId="8" hidden="1"/>
    <cellStyle name="Hipervínculo" xfId="171" builtinId="8" hidden="1"/>
    <cellStyle name="Hipervínculo" xfId="173" builtinId="8" hidden="1"/>
    <cellStyle name="Hipervínculo" xfId="175" builtinId="8" hidden="1"/>
    <cellStyle name="Hipervínculo" xfId="177" builtinId="8" hidden="1"/>
    <cellStyle name="Hipervínculo" xfId="179" builtinId="8" hidden="1"/>
    <cellStyle name="Hipervínculo" xfId="181" builtinId="8" hidden="1"/>
    <cellStyle name="Hipervínculo" xfId="183" builtinId="8" hidden="1"/>
    <cellStyle name="Hipervínculo" xfId="185" builtinId="8" hidden="1"/>
    <cellStyle name="Hipervínculo" xfId="187" builtinId="8" hidden="1"/>
    <cellStyle name="Hipervínculo" xfId="189" builtinId="8" hidden="1"/>
    <cellStyle name="Hipervínculo" xfId="191" builtinId="8" hidden="1"/>
    <cellStyle name="Hipervínculo" xfId="193" builtinId="8" hidden="1"/>
    <cellStyle name="Hipervínculo" xfId="195" builtinId="8" hidden="1"/>
    <cellStyle name="Hipervínculo" xfId="197" builtinId="8" hidden="1"/>
    <cellStyle name="Hipervínculo" xfId="199" builtinId="8" hidden="1"/>
    <cellStyle name="Hipervínculo" xfId="201" builtinId="8" hidden="1"/>
    <cellStyle name="Hipervínculo" xfId="203" builtinId="8" hidden="1"/>
    <cellStyle name="Hipervínculo" xfId="205" builtinId="8" hidden="1"/>
    <cellStyle name="Hipervínculo" xfId="207" builtinId="8" hidden="1"/>
    <cellStyle name="Hipervínculo" xfId="209" builtinId="8" hidden="1"/>
    <cellStyle name="Hipervínculo" xfId="211" builtinId="8" hidden="1"/>
    <cellStyle name="Hipervínculo" xfId="213" builtinId="8" hidden="1"/>
    <cellStyle name="Hipervínculo" xfId="215" builtinId="8" hidden="1"/>
    <cellStyle name="Hipervínculo" xfId="217" builtinId="8" hidden="1"/>
    <cellStyle name="Hipervínculo" xfId="219" builtinId="8" hidden="1"/>
    <cellStyle name="Hipervínculo" xfId="221" builtinId="8" hidden="1"/>
    <cellStyle name="Hipervínculo" xfId="223" builtinId="8" hidden="1"/>
    <cellStyle name="Hipervínculo" xfId="225" builtinId="8" hidden="1"/>
    <cellStyle name="Hipervínculo" xfId="227" builtinId="8" hidden="1"/>
    <cellStyle name="Hipervínculo" xfId="229" builtinId="8" hidden="1"/>
    <cellStyle name="Hipervínculo" xfId="231" builtinId="8" hidden="1"/>
    <cellStyle name="Hipervínculo" xfId="233" builtinId="8" hidden="1"/>
    <cellStyle name="Hipervínculo" xfId="235" builtinId="8" hidden="1"/>
    <cellStyle name="Hipervínculo" xfId="237" builtinId="8" hidden="1"/>
    <cellStyle name="Hipervínculo" xfId="239" builtinId="8" hidden="1"/>
    <cellStyle name="Hipervínculo" xfId="241" builtinId="8" hidden="1"/>
    <cellStyle name="Hipervínculo" xfId="243" builtinId="8" hidden="1"/>
    <cellStyle name="Hipervínculo" xfId="245" builtinId="8" hidden="1"/>
    <cellStyle name="Hipervínculo" xfId="247" builtinId="8" hidden="1"/>
    <cellStyle name="Hipervínculo" xfId="249" builtinId="8" hidden="1"/>
    <cellStyle name="Hipervínculo" xfId="251" builtinId="8" hidden="1"/>
    <cellStyle name="Hipervínculo" xfId="253" builtinId="8" hidden="1"/>
    <cellStyle name="Hipervínculo" xfId="255" builtinId="8" hidden="1"/>
    <cellStyle name="Hipervínculo" xfId="257" builtinId="8" hidden="1"/>
    <cellStyle name="Hipervínculo" xfId="259" builtinId="8" hidden="1"/>
    <cellStyle name="Hipervínculo" xfId="261" builtinId="8" hidden="1"/>
    <cellStyle name="Hipervínculo" xfId="263" builtinId="8" hidden="1"/>
    <cellStyle name="Hipervínculo" xfId="265" builtinId="8" hidden="1"/>
    <cellStyle name="Hipervínculo" xfId="267" builtinId="8" hidden="1"/>
    <cellStyle name="Hipervínculo" xfId="269" builtinId="8" hidden="1"/>
    <cellStyle name="Hipervínculo" xfId="271" builtinId="8" hidden="1"/>
    <cellStyle name="Hipervínculo" xfId="273" builtinId="8" hidden="1"/>
    <cellStyle name="Hipervínculo" xfId="275" builtinId="8" hidden="1"/>
    <cellStyle name="Hipervínculo" xfId="277" builtinId="8" hidden="1"/>
    <cellStyle name="Hipervínculo" xfId="279" builtinId="8" hidden="1"/>
    <cellStyle name="Hipervínculo" xfId="281" builtinId="8" hidden="1"/>
    <cellStyle name="Hipervínculo" xfId="283" builtinId="8" hidden="1"/>
    <cellStyle name="Hipervínculo" xfId="285" builtinId="8" hidden="1"/>
    <cellStyle name="Hipervínculo" xfId="287" builtinId="8" hidden="1"/>
    <cellStyle name="Hipervínculo" xfId="289" builtinId="8" hidden="1"/>
    <cellStyle name="Hipervínculo" xfId="291" builtinId="8" hidden="1"/>
    <cellStyle name="Hipervínculo" xfId="293" builtinId="8" hidden="1"/>
    <cellStyle name="Hipervínculo visitado" xfId="12" builtinId="9" hidden="1"/>
    <cellStyle name="Hipervínculo visitado" xfId="16" builtinId="9" hidden="1"/>
    <cellStyle name="Hipervínculo visitado" xfId="14" builtinId="9" hidden="1"/>
    <cellStyle name="Hipervínculo visitado" xfId="6" builtinId="9" hidden="1"/>
    <cellStyle name="Hipervínculo visitado" xfId="8" builtinId="9" hidden="1"/>
    <cellStyle name="Hipervínculo visitado" xfId="10" builtinId="9" hidden="1"/>
    <cellStyle name="Hipervínculo visitado" xfId="4" builtinId="9" hidden="1"/>
    <cellStyle name="Hipervínculo visitado" xfId="2" builtinId="9" hidden="1"/>
    <cellStyle name="Hipervínculo visitado" xfId="18" builtinId="9" hidden="1"/>
    <cellStyle name="Hipervínculo visitado" xfId="20" builtinId="9" hidden="1"/>
    <cellStyle name="Hipervínculo visitado" xfId="22" builtinId="9" hidden="1"/>
    <cellStyle name="Hipervínculo visitado" xfId="24" builtinId="9" hidden="1"/>
    <cellStyle name="Hipervínculo visitado" xfId="26" builtinId="9" hidden="1"/>
    <cellStyle name="Hipervínculo visitado" xfId="28" builtinId="9" hidden="1"/>
    <cellStyle name="Hipervínculo visitado" xfId="30" builtinId="9" hidden="1"/>
    <cellStyle name="Hipervínculo visitado" xfId="32" builtinId="9" hidden="1"/>
    <cellStyle name="Hipervínculo visitado" xfId="34" builtinId="9" hidden="1"/>
    <cellStyle name="Hipervínculo visitado" xfId="36" builtinId="9" hidden="1"/>
    <cellStyle name="Hipervínculo visitado" xfId="38" builtinId="9" hidden="1"/>
    <cellStyle name="Hipervínculo visitado" xfId="40" builtinId="9" hidden="1"/>
    <cellStyle name="Hipervínculo visitado" xfId="42" builtinId="9" hidden="1"/>
    <cellStyle name="Hipervínculo visitado" xfId="44" builtinId="9" hidden="1"/>
    <cellStyle name="Hipervínculo visitado" xfId="46" builtinId="9" hidden="1"/>
    <cellStyle name="Hipervínculo visitado" xfId="48" builtinId="9" hidden="1"/>
    <cellStyle name="Hipervínculo visitado" xfId="50" builtinId="9" hidden="1"/>
    <cellStyle name="Hipervínculo visitado" xfId="52" builtinId="9" hidden="1"/>
    <cellStyle name="Hipervínculo visitado" xfId="54" builtinId="9" hidden="1"/>
    <cellStyle name="Hipervínculo visitado" xfId="56" builtinId="9" hidden="1"/>
    <cellStyle name="Hipervínculo visitado" xfId="58" builtinId="9" hidden="1"/>
    <cellStyle name="Hipervínculo visitado" xfId="60" builtinId="9" hidden="1"/>
    <cellStyle name="Hipervínculo visitado" xfId="62" builtinId="9" hidden="1"/>
    <cellStyle name="Hipervínculo visitado" xfId="64" builtinId="9" hidden="1"/>
    <cellStyle name="Hipervínculo visitado" xfId="66" builtinId="9" hidden="1"/>
    <cellStyle name="Hipervínculo visitado" xfId="68" builtinId="9" hidden="1"/>
    <cellStyle name="Hipervínculo visitado" xfId="70" builtinId="9" hidden="1"/>
    <cellStyle name="Hipervínculo visitado" xfId="72" builtinId="9" hidden="1"/>
    <cellStyle name="Hipervínculo visitado" xfId="74" builtinId="9" hidden="1"/>
    <cellStyle name="Hipervínculo visitado" xfId="76" builtinId="9" hidden="1"/>
    <cellStyle name="Hipervínculo visitado" xfId="78" builtinId="9" hidden="1"/>
    <cellStyle name="Hipervínculo visitado" xfId="80" builtinId="9" hidden="1"/>
    <cellStyle name="Hipervínculo visitado" xfId="82" builtinId="9" hidden="1"/>
    <cellStyle name="Hipervínculo visitado" xfId="84" builtinId="9" hidden="1"/>
    <cellStyle name="Hipervínculo visitado" xfId="86" builtinId="9" hidden="1"/>
    <cellStyle name="Hipervínculo visitado" xfId="88" builtinId="9" hidden="1"/>
    <cellStyle name="Hipervínculo visitado" xfId="90" builtinId="9" hidden="1"/>
    <cellStyle name="Hipervínculo visitado" xfId="92" builtinId="9" hidden="1"/>
    <cellStyle name="Hipervínculo visitado" xfId="94" builtinId="9" hidden="1"/>
    <cellStyle name="Hipervínculo visitado" xfId="96" builtinId="9" hidden="1"/>
    <cellStyle name="Hipervínculo visitado" xfId="98" builtinId="9" hidden="1"/>
    <cellStyle name="Hipervínculo visitado" xfId="100" builtinId="9" hidden="1"/>
    <cellStyle name="Hipervínculo visitado" xfId="102" builtinId="9" hidden="1"/>
    <cellStyle name="Hipervínculo visitado" xfId="104" builtinId="9" hidden="1"/>
    <cellStyle name="Hipervínculo visitado" xfId="106" builtinId="9" hidden="1"/>
    <cellStyle name="Hipervínculo visitado" xfId="108" builtinId="9" hidden="1"/>
    <cellStyle name="Hipervínculo visitado" xfId="110" builtinId="9" hidden="1"/>
    <cellStyle name="Hipervínculo visitado" xfId="112" builtinId="9" hidden="1"/>
    <cellStyle name="Hipervínculo visitado" xfId="114" builtinId="9" hidden="1"/>
    <cellStyle name="Hipervínculo visitado" xfId="116" builtinId="9" hidden="1"/>
    <cellStyle name="Hipervínculo visitado" xfId="118" builtinId="9" hidden="1"/>
    <cellStyle name="Hipervínculo visitado" xfId="120" builtinId="9" hidden="1"/>
    <cellStyle name="Hipervínculo visitado" xfId="122" builtinId="9" hidden="1"/>
    <cellStyle name="Hipervínculo visitado" xfId="124" builtinId="9" hidden="1"/>
    <cellStyle name="Hipervínculo visitado" xfId="126" builtinId="9" hidden="1"/>
    <cellStyle name="Hipervínculo visitado" xfId="128" builtinId="9" hidden="1"/>
    <cellStyle name="Hipervínculo visitado" xfId="130" builtinId="9" hidden="1"/>
    <cellStyle name="Hipervínculo visitado" xfId="132" builtinId="9" hidden="1"/>
    <cellStyle name="Hipervínculo visitado" xfId="134" builtinId="9" hidden="1"/>
    <cellStyle name="Hipervínculo visitado" xfId="136" builtinId="9" hidden="1"/>
    <cellStyle name="Hipervínculo visitado" xfId="138" builtinId="9" hidden="1"/>
    <cellStyle name="Hipervínculo visitado" xfId="140" builtinId="9" hidden="1"/>
    <cellStyle name="Hipervínculo visitado" xfId="142" builtinId="9" hidden="1"/>
    <cellStyle name="Hipervínculo visitado" xfId="144" builtinId="9" hidden="1"/>
    <cellStyle name="Hipervínculo visitado" xfId="146" builtinId="9" hidden="1"/>
    <cellStyle name="Hipervínculo visitado" xfId="148" builtinId="9" hidden="1"/>
    <cellStyle name="Hipervínculo visitado" xfId="150" builtinId="9" hidden="1"/>
    <cellStyle name="Hipervínculo visitado" xfId="152" builtinId="9" hidden="1"/>
    <cellStyle name="Hipervínculo visitado" xfId="154" builtinId="9" hidden="1"/>
    <cellStyle name="Hipervínculo visitado" xfId="156" builtinId="9" hidden="1"/>
    <cellStyle name="Hipervínculo visitado" xfId="158" builtinId="9" hidden="1"/>
    <cellStyle name="Hipervínculo visitado" xfId="160" builtinId="9" hidden="1"/>
    <cellStyle name="Hipervínculo visitado" xfId="162" builtinId="9" hidden="1"/>
    <cellStyle name="Hipervínculo visitado" xfId="164" builtinId="9" hidden="1"/>
    <cellStyle name="Hipervínculo visitado" xfId="166" builtinId="9" hidden="1"/>
    <cellStyle name="Hipervínculo visitado" xfId="168" builtinId="9" hidden="1"/>
    <cellStyle name="Hipervínculo visitado" xfId="170" builtinId="9" hidden="1"/>
    <cellStyle name="Hipervínculo visitado" xfId="172" builtinId="9" hidden="1"/>
    <cellStyle name="Hipervínculo visitado" xfId="174" builtinId="9" hidden="1"/>
    <cellStyle name="Hipervínculo visitado" xfId="176" builtinId="9" hidden="1"/>
    <cellStyle name="Hipervínculo visitado" xfId="178" builtinId="9" hidden="1"/>
    <cellStyle name="Hipervínculo visitado" xfId="180" builtinId="9" hidden="1"/>
    <cellStyle name="Hipervínculo visitado" xfId="182" builtinId="9" hidden="1"/>
    <cellStyle name="Hipervínculo visitado" xfId="184" builtinId="9" hidden="1"/>
    <cellStyle name="Hipervínculo visitado" xfId="186" builtinId="9" hidden="1"/>
    <cellStyle name="Hipervínculo visitado" xfId="188" builtinId="9" hidden="1"/>
    <cellStyle name="Hipervínculo visitado" xfId="190" builtinId="9" hidden="1"/>
    <cellStyle name="Hipervínculo visitado" xfId="192" builtinId="9" hidden="1"/>
    <cellStyle name="Hipervínculo visitado" xfId="194" builtinId="9" hidden="1"/>
    <cellStyle name="Hipervínculo visitado" xfId="196" builtinId="9" hidden="1"/>
    <cellStyle name="Hipervínculo visitado" xfId="198" builtinId="9" hidden="1"/>
    <cellStyle name="Hipervínculo visitado" xfId="200" builtinId="9" hidden="1"/>
    <cellStyle name="Hipervínculo visitado" xfId="202" builtinId="9" hidden="1"/>
    <cellStyle name="Hipervínculo visitado" xfId="204" builtinId="9" hidden="1"/>
    <cellStyle name="Hipervínculo visitado" xfId="206" builtinId="9" hidden="1"/>
    <cellStyle name="Hipervínculo visitado" xfId="208" builtinId="9" hidden="1"/>
    <cellStyle name="Hipervínculo visitado" xfId="210" builtinId="9" hidden="1"/>
    <cellStyle name="Hipervínculo visitado" xfId="212" builtinId="9" hidden="1"/>
    <cellStyle name="Hipervínculo visitado" xfId="214" builtinId="9" hidden="1"/>
    <cellStyle name="Hipervínculo visitado" xfId="216" builtinId="9" hidden="1"/>
    <cellStyle name="Hipervínculo visitado" xfId="218" builtinId="9" hidden="1"/>
    <cellStyle name="Hipervínculo visitado" xfId="220" builtinId="9" hidden="1"/>
    <cellStyle name="Hipervínculo visitado" xfId="222" builtinId="9" hidden="1"/>
    <cellStyle name="Hipervínculo visitado" xfId="224" builtinId="9" hidden="1"/>
    <cellStyle name="Hipervínculo visitado" xfId="226" builtinId="9" hidden="1"/>
    <cellStyle name="Hipervínculo visitado" xfId="228" builtinId="9" hidden="1"/>
    <cellStyle name="Hipervínculo visitado" xfId="230" builtinId="9" hidden="1"/>
    <cellStyle name="Hipervínculo visitado" xfId="232" builtinId="9" hidden="1"/>
    <cellStyle name="Hipervínculo visitado" xfId="234" builtinId="9" hidden="1"/>
    <cellStyle name="Hipervínculo visitado" xfId="236" builtinId="9" hidden="1"/>
    <cellStyle name="Hipervínculo visitado" xfId="238" builtinId="9" hidden="1"/>
    <cellStyle name="Hipervínculo visitado" xfId="240" builtinId="9" hidden="1"/>
    <cellStyle name="Hipervínculo visitado" xfId="242" builtinId="9" hidden="1"/>
    <cellStyle name="Hipervínculo visitado" xfId="244" builtinId="9" hidden="1"/>
    <cellStyle name="Hipervínculo visitado" xfId="246" builtinId="9" hidden="1"/>
    <cellStyle name="Hipervínculo visitado" xfId="248" builtinId="9" hidden="1"/>
    <cellStyle name="Hipervínculo visitado" xfId="250" builtinId="9" hidden="1"/>
    <cellStyle name="Hipervínculo visitado" xfId="252" builtinId="9" hidden="1"/>
    <cellStyle name="Hipervínculo visitado" xfId="254" builtinId="9" hidden="1"/>
    <cellStyle name="Hipervínculo visitado" xfId="256" builtinId="9" hidden="1"/>
    <cellStyle name="Hipervínculo visitado" xfId="258" builtinId="9" hidden="1"/>
    <cellStyle name="Hipervínculo visitado" xfId="260" builtinId="9" hidden="1"/>
    <cellStyle name="Hipervínculo visitado" xfId="262" builtinId="9" hidden="1"/>
    <cellStyle name="Hipervínculo visitado" xfId="264" builtinId="9" hidden="1"/>
    <cellStyle name="Hipervínculo visitado" xfId="266" builtinId="9" hidden="1"/>
    <cellStyle name="Hipervínculo visitado" xfId="268" builtinId="9" hidden="1"/>
    <cellStyle name="Hipervínculo visitado" xfId="270" builtinId="9" hidden="1"/>
    <cellStyle name="Hipervínculo visitado" xfId="272" builtinId="9" hidden="1"/>
    <cellStyle name="Hipervínculo visitado" xfId="274" builtinId="9" hidden="1"/>
    <cellStyle name="Hipervínculo visitado" xfId="276" builtinId="9" hidden="1"/>
    <cellStyle name="Hipervínculo visitado" xfId="278" builtinId="9" hidden="1"/>
    <cellStyle name="Hipervínculo visitado" xfId="280" builtinId="9" hidden="1"/>
    <cellStyle name="Hipervínculo visitado" xfId="282" builtinId="9" hidden="1"/>
    <cellStyle name="Hipervínculo visitado" xfId="284" builtinId="9" hidden="1"/>
    <cellStyle name="Hipervínculo visitado" xfId="286" builtinId="9" hidden="1"/>
    <cellStyle name="Hipervínculo visitado" xfId="288" builtinId="9" hidden="1"/>
    <cellStyle name="Hipervínculo visitado" xfId="290" builtinId="9" hidden="1"/>
    <cellStyle name="Hipervínculo visitado" xfId="292" builtinId="9" hidden="1"/>
    <cellStyle name="Hipervínculo visitado" xfId="294" builtinId="9"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9309100</xdr:colOff>
          <xdr:row>67</xdr:row>
          <xdr:rowOff>152400</xdr:rowOff>
        </xdr:from>
        <xdr:to>
          <xdr:col>2</xdr:col>
          <xdr:colOff>9918700</xdr:colOff>
          <xdr:row>68</xdr:row>
          <xdr:rowOff>228600</xdr:rowOff>
        </xdr:to>
        <xdr:sp macro="" textlink="">
          <xdr:nvSpPr>
            <xdr:cNvPr id="1029" name="Button 5" descr="Borrar"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9271000</xdr:colOff>
          <xdr:row>133</xdr:row>
          <xdr:rowOff>25400</xdr:rowOff>
        </xdr:from>
        <xdr:to>
          <xdr:col>2</xdr:col>
          <xdr:colOff>9855200</xdr:colOff>
          <xdr:row>134</xdr:row>
          <xdr:rowOff>101600</xdr:rowOff>
        </xdr:to>
        <xdr:sp macro="" textlink="">
          <xdr:nvSpPr>
            <xdr:cNvPr id="1031" name="Button 7" descr="Borrar"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9194800</xdr:colOff>
          <xdr:row>198</xdr:row>
          <xdr:rowOff>12700</xdr:rowOff>
        </xdr:from>
        <xdr:to>
          <xdr:col>2</xdr:col>
          <xdr:colOff>9766300</xdr:colOff>
          <xdr:row>199</xdr:row>
          <xdr:rowOff>38100</xdr:rowOff>
        </xdr:to>
        <xdr:sp macro="" textlink="">
          <xdr:nvSpPr>
            <xdr:cNvPr id="1032" name="Button 8" descr="Borrar"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9232900</xdr:colOff>
          <xdr:row>262</xdr:row>
          <xdr:rowOff>190500</xdr:rowOff>
        </xdr:from>
        <xdr:to>
          <xdr:col>2</xdr:col>
          <xdr:colOff>9804400</xdr:colOff>
          <xdr:row>264</xdr:row>
          <xdr:rowOff>76200</xdr:rowOff>
        </xdr:to>
        <xdr:sp macro="" textlink="">
          <xdr:nvSpPr>
            <xdr:cNvPr id="1034" name="Button 10" descr="Borrar"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9410700</xdr:colOff>
          <xdr:row>329</xdr:row>
          <xdr:rowOff>50800</xdr:rowOff>
        </xdr:from>
        <xdr:to>
          <xdr:col>2</xdr:col>
          <xdr:colOff>9994900</xdr:colOff>
          <xdr:row>330</xdr:row>
          <xdr:rowOff>228600</xdr:rowOff>
        </xdr:to>
        <xdr:sp macro="" textlink="">
          <xdr:nvSpPr>
            <xdr:cNvPr id="1035" name="Button 11" descr="Borrar"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9232900</xdr:colOff>
          <xdr:row>397</xdr:row>
          <xdr:rowOff>0</xdr:rowOff>
        </xdr:from>
        <xdr:to>
          <xdr:col>2</xdr:col>
          <xdr:colOff>9817100</xdr:colOff>
          <xdr:row>398</xdr:row>
          <xdr:rowOff>0</xdr:rowOff>
        </xdr:to>
        <xdr:sp macro="" textlink="">
          <xdr:nvSpPr>
            <xdr:cNvPr id="1036" name="Button 12" descr="Borrar"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9169400</xdr:colOff>
          <xdr:row>433</xdr:row>
          <xdr:rowOff>190500</xdr:rowOff>
        </xdr:from>
        <xdr:to>
          <xdr:col>2</xdr:col>
          <xdr:colOff>9791700</xdr:colOff>
          <xdr:row>434</xdr:row>
          <xdr:rowOff>241300</xdr:rowOff>
        </xdr:to>
        <xdr:sp macro="" textlink="">
          <xdr:nvSpPr>
            <xdr:cNvPr id="1037" name="Button 13" descr="Borrar"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433</xdr:row>
          <xdr:rowOff>203200</xdr:rowOff>
        </xdr:from>
        <xdr:to>
          <xdr:col>2</xdr:col>
          <xdr:colOff>9093200</xdr:colOff>
          <xdr:row>434</xdr:row>
          <xdr:rowOff>241300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397</xdr:row>
          <xdr:rowOff>12700</xdr:rowOff>
        </xdr:from>
        <xdr:to>
          <xdr:col>2</xdr:col>
          <xdr:colOff>9093200</xdr:colOff>
          <xdr:row>398</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7988300</xdr:colOff>
          <xdr:row>329</xdr:row>
          <xdr:rowOff>63500</xdr:rowOff>
        </xdr:from>
        <xdr:to>
          <xdr:col>2</xdr:col>
          <xdr:colOff>9296400</xdr:colOff>
          <xdr:row>330</xdr:row>
          <xdr:rowOff>215900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262</xdr:row>
          <xdr:rowOff>190500</xdr:rowOff>
        </xdr:from>
        <xdr:to>
          <xdr:col>2</xdr:col>
          <xdr:colOff>9093200</xdr:colOff>
          <xdr:row>264</xdr:row>
          <xdr:rowOff>38100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198</xdr:row>
          <xdr:rowOff>25400</xdr:rowOff>
        </xdr:from>
        <xdr:to>
          <xdr:col>2</xdr:col>
          <xdr:colOff>9093200</xdr:colOff>
          <xdr:row>198</xdr:row>
          <xdr:rowOff>254000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133</xdr:row>
          <xdr:rowOff>38100</xdr:rowOff>
        </xdr:from>
        <xdr:to>
          <xdr:col>2</xdr:col>
          <xdr:colOff>9093200</xdr:colOff>
          <xdr:row>134</xdr:row>
          <xdr:rowOff>63500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7785100</xdr:colOff>
          <xdr:row>67</xdr:row>
          <xdr:rowOff>177800</xdr:rowOff>
        </xdr:from>
        <xdr:to>
          <xdr:col>2</xdr:col>
          <xdr:colOff>9093200</xdr:colOff>
          <xdr:row>68</xdr:row>
          <xdr:rowOff>190500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9956800</xdr:colOff>
          <xdr:row>487</xdr:row>
          <xdr:rowOff>76200</xdr:rowOff>
        </xdr:from>
        <xdr:to>
          <xdr:col>2</xdr:col>
          <xdr:colOff>10566400</xdr:colOff>
          <xdr:row>488</xdr:row>
          <xdr:rowOff>63500</xdr:rowOff>
        </xdr:to>
        <xdr:sp macro="" textlink="">
          <xdr:nvSpPr>
            <xdr:cNvPr id="1155" name="Button 131" descr="Borrar"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487</xdr:row>
          <xdr:rowOff>76200</xdr:rowOff>
        </xdr:from>
        <xdr:to>
          <xdr:col>2</xdr:col>
          <xdr:colOff>9880600</xdr:colOff>
          <xdr:row>488</xdr:row>
          <xdr:rowOff>63500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xdr:twoCellAnchor>
    <xdr:from>
      <xdr:col>2</xdr:col>
      <xdr:colOff>5061069</xdr:colOff>
      <xdr:row>106</xdr:row>
      <xdr:rowOff>201412</xdr:rowOff>
    </xdr:from>
    <xdr:to>
      <xdr:col>2</xdr:col>
      <xdr:colOff>7410288</xdr:colOff>
      <xdr:row>110</xdr:row>
      <xdr:rowOff>88900</xdr:rowOff>
    </xdr:to>
    <xdr:pic>
      <xdr:nvPicPr>
        <xdr:cNvPr id="20" name="Imagen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 r="72755" b="84065"/>
        <a:stretch>
          <a:fillRect/>
        </a:stretch>
      </xdr:blipFill>
      <xdr:spPr bwMode="auto">
        <a:xfrm>
          <a:off x="5619869" y="22147012"/>
          <a:ext cx="2349219" cy="700288"/>
        </a:xfrm>
        <a:prstGeom prst="rect">
          <a:avLst/>
        </a:prstGeom>
        <a:noFill/>
        <a:effectLst>
          <a:outerShdw blurRad="50800" dist="38100" dir="2700000" algn="tl" rotWithShape="0">
            <a:prstClr val="black">
              <a:alpha val="40000"/>
            </a:prstClr>
          </a:outerShdw>
          <a:softEdge rad="0"/>
        </a:effectLst>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108</xdr:row>
      <xdr:rowOff>0</xdr:rowOff>
    </xdr:from>
    <xdr:to>
      <xdr:col>1</xdr:col>
      <xdr:colOff>304800</xdr:colOff>
      <xdr:row>109</xdr:row>
      <xdr:rowOff>101600</xdr:rowOff>
    </xdr:to>
    <xdr:sp macro="" textlink="">
      <xdr:nvSpPr>
        <xdr:cNvPr id="21" name="Rectángulo 20" descr="https://formacionpermanente.cursosvirtuales.uned.es/file/21820042/img_02_06-21820042.jpg"/>
        <xdr:cNvSpPr>
          <a:spLocks noChangeAspect="1" noChangeArrowheads="1"/>
        </xdr:cNvSpPr>
      </xdr:nvSpPr>
      <xdr:spPr bwMode="auto">
        <a:xfrm>
          <a:off x="0" y="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_tradnl"/>
        </a:p>
      </xdr:txBody>
    </xdr:sp>
    <xdr:clientData/>
  </xdr:twoCellAnchor>
  <mc:AlternateContent xmlns:mc="http://schemas.openxmlformats.org/markup-compatibility/2006">
    <mc:Choice xmlns:a14="http://schemas.microsoft.com/office/drawing/2010/main" Requires="a14">
      <xdr:twoCellAnchor>
        <xdr:from>
          <xdr:col>2</xdr:col>
          <xdr:colOff>9956800</xdr:colOff>
          <xdr:row>541</xdr:row>
          <xdr:rowOff>76200</xdr:rowOff>
        </xdr:from>
        <xdr:to>
          <xdr:col>2</xdr:col>
          <xdr:colOff>10566400</xdr:colOff>
          <xdr:row>542</xdr:row>
          <xdr:rowOff>63500</xdr:rowOff>
        </xdr:to>
        <xdr:sp macro="" textlink="">
          <xdr:nvSpPr>
            <xdr:cNvPr id="1158" name="Button 134" descr="Borrar"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541</xdr:row>
          <xdr:rowOff>76200</xdr:rowOff>
        </xdr:from>
        <xdr:to>
          <xdr:col>2</xdr:col>
          <xdr:colOff>9880600</xdr:colOff>
          <xdr:row>542</xdr:row>
          <xdr:rowOff>63500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606</xdr:row>
          <xdr:rowOff>76200</xdr:rowOff>
        </xdr:from>
        <xdr:to>
          <xdr:col>2</xdr:col>
          <xdr:colOff>9880600</xdr:colOff>
          <xdr:row>607</xdr:row>
          <xdr:rowOff>63500</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9956800</xdr:colOff>
          <xdr:row>606</xdr:row>
          <xdr:rowOff>76200</xdr:rowOff>
        </xdr:from>
        <xdr:to>
          <xdr:col>2</xdr:col>
          <xdr:colOff>10566400</xdr:colOff>
          <xdr:row>607</xdr:row>
          <xdr:rowOff>63500</xdr:rowOff>
        </xdr:to>
        <xdr:sp macro="" textlink="">
          <xdr:nvSpPr>
            <xdr:cNvPr id="1165" name="Button 141" descr="Borrar"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671</xdr:row>
          <xdr:rowOff>76200</xdr:rowOff>
        </xdr:from>
        <xdr:to>
          <xdr:col>2</xdr:col>
          <xdr:colOff>9880600</xdr:colOff>
          <xdr:row>672</xdr:row>
          <xdr:rowOff>63500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9956800</xdr:colOff>
          <xdr:row>671</xdr:row>
          <xdr:rowOff>76200</xdr:rowOff>
        </xdr:from>
        <xdr:to>
          <xdr:col>2</xdr:col>
          <xdr:colOff>10566400</xdr:colOff>
          <xdr:row>672</xdr:row>
          <xdr:rowOff>63500</xdr:rowOff>
        </xdr:to>
        <xdr:sp macro="" textlink="">
          <xdr:nvSpPr>
            <xdr:cNvPr id="1168" name="Button 144" descr="Borrar"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736</xdr:row>
          <xdr:rowOff>76200</xdr:rowOff>
        </xdr:from>
        <xdr:to>
          <xdr:col>2</xdr:col>
          <xdr:colOff>9880600</xdr:colOff>
          <xdr:row>737</xdr:row>
          <xdr:rowOff>63500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10033000</xdr:colOff>
          <xdr:row>736</xdr:row>
          <xdr:rowOff>76200</xdr:rowOff>
        </xdr:from>
        <xdr:to>
          <xdr:col>3</xdr:col>
          <xdr:colOff>38100</xdr:colOff>
          <xdr:row>737</xdr:row>
          <xdr:rowOff>63500</xdr:rowOff>
        </xdr:to>
        <xdr:sp macro="" textlink="">
          <xdr:nvSpPr>
            <xdr:cNvPr id="1173" name="Button 149" descr="Borrar"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9" Type="http://schemas.openxmlformats.org/officeDocument/2006/relationships/ctrlProp" Target="../ctrlProps/ctrlProp6.xml"/><Relationship Id="rId20" Type="http://schemas.openxmlformats.org/officeDocument/2006/relationships/ctrlProp" Target="../ctrlProps/ctrlProp17.xml"/><Relationship Id="rId21" Type="http://schemas.openxmlformats.org/officeDocument/2006/relationships/ctrlProp" Target="../ctrlProps/ctrlProp18.xml"/><Relationship Id="rId22" Type="http://schemas.openxmlformats.org/officeDocument/2006/relationships/ctrlProp" Target="../ctrlProps/ctrlProp19.xml"/><Relationship Id="rId23" Type="http://schemas.openxmlformats.org/officeDocument/2006/relationships/ctrlProp" Target="../ctrlProps/ctrlProp20.xml"/><Relationship Id="rId24" Type="http://schemas.openxmlformats.org/officeDocument/2006/relationships/ctrlProp" Target="../ctrlProps/ctrlProp21.xml"/><Relationship Id="rId25" Type="http://schemas.openxmlformats.org/officeDocument/2006/relationships/ctrlProp" Target="../ctrlProps/ctrlProp22.xml"/><Relationship Id="rId26" Type="http://schemas.openxmlformats.org/officeDocument/2006/relationships/ctrlProp" Target="../ctrlProps/ctrlProp23.xml"/><Relationship Id="rId27" Type="http://schemas.openxmlformats.org/officeDocument/2006/relationships/ctrlProp" Target="../ctrlProps/ctrlProp24.xml"/><Relationship Id="rId10" Type="http://schemas.openxmlformats.org/officeDocument/2006/relationships/ctrlProp" Target="../ctrlProps/ctrlProp7.xml"/><Relationship Id="rId11" Type="http://schemas.openxmlformats.org/officeDocument/2006/relationships/ctrlProp" Target="../ctrlProps/ctrlProp8.xml"/><Relationship Id="rId12" Type="http://schemas.openxmlformats.org/officeDocument/2006/relationships/ctrlProp" Target="../ctrlProps/ctrlProp9.xml"/><Relationship Id="rId13" Type="http://schemas.openxmlformats.org/officeDocument/2006/relationships/ctrlProp" Target="../ctrlProps/ctrlProp10.xml"/><Relationship Id="rId14" Type="http://schemas.openxmlformats.org/officeDocument/2006/relationships/ctrlProp" Target="../ctrlProps/ctrlProp11.xml"/><Relationship Id="rId15" Type="http://schemas.openxmlformats.org/officeDocument/2006/relationships/ctrlProp" Target="../ctrlProps/ctrlProp12.xml"/><Relationship Id="rId16" Type="http://schemas.openxmlformats.org/officeDocument/2006/relationships/ctrlProp" Target="../ctrlProps/ctrlProp13.xml"/><Relationship Id="rId17" Type="http://schemas.openxmlformats.org/officeDocument/2006/relationships/ctrlProp" Target="../ctrlProps/ctrlProp14.xml"/><Relationship Id="rId18" Type="http://schemas.openxmlformats.org/officeDocument/2006/relationships/ctrlProp" Target="../ctrlProps/ctrlProp15.xml"/><Relationship Id="rId19" Type="http://schemas.openxmlformats.org/officeDocument/2006/relationships/ctrlProp" Target="../ctrlProps/ctrlProp16.xml"/><Relationship Id="rId1" Type="http://schemas.openxmlformats.org/officeDocument/2006/relationships/printerSettings" Target="../printerSettings/printerSettings1.bin"/><Relationship Id="rId2" Type="http://schemas.openxmlformats.org/officeDocument/2006/relationships/drawing" Target="../drawings/drawing1.xml"/><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7" Type="http://schemas.openxmlformats.org/officeDocument/2006/relationships/ctrlProp" Target="../ctrlProps/ctrlProp4.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AN739"/>
  <sheetViews>
    <sheetView showGridLines="0" tabSelected="1" zoomScale="120" zoomScaleNormal="120" zoomScalePageLayoutView="120" workbookViewId="0">
      <pane xSplit="1" ySplit="5" topLeftCell="B6" activePane="bottomRight" state="frozen"/>
      <selection pane="topRight" activeCell="B1" sqref="B1"/>
      <selection pane="bottomLeft" activeCell="A6" sqref="A6"/>
      <selection pane="bottomRight" activeCell="D7" sqref="D7"/>
    </sheetView>
  </sheetViews>
  <sheetFormatPr baseColWidth="10" defaultColWidth="11" defaultRowHeight="16" x14ac:dyDescent="0.2"/>
  <cols>
    <col min="1" max="1" width="2.5" style="4" customWidth="1"/>
    <col min="2" max="2" width="4.83203125" style="36" customWidth="1"/>
    <col min="3" max="3" width="139.1640625" style="7" customWidth="1"/>
    <col min="4" max="4" width="5" style="37" customWidth="1"/>
    <col min="5" max="5" width="5.83203125" style="37" customWidth="1"/>
    <col min="6" max="6" width="13.1640625" style="38" bestFit="1" customWidth="1"/>
    <col min="7" max="8" width="10.83203125" style="5" hidden="1" customWidth="1"/>
    <col min="9" max="16384" width="11" style="5"/>
  </cols>
  <sheetData>
    <row r="1" spans="1:40" x14ac:dyDescent="0.2">
      <c r="B1" s="6" t="s">
        <v>1</v>
      </c>
      <c r="D1" s="1"/>
      <c r="E1" s="1"/>
      <c r="F1" s="3"/>
      <c r="G1" s="2"/>
      <c r="H1" s="2" t="b">
        <v>0</v>
      </c>
    </row>
    <row r="2" spans="1:40" x14ac:dyDescent="0.2">
      <c r="B2" s="44" t="s">
        <v>3</v>
      </c>
      <c r="D2" s="1"/>
      <c r="E2" s="1"/>
      <c r="F2" s="3"/>
      <c r="G2" s="2"/>
      <c r="H2" s="2" t="s">
        <v>2</v>
      </c>
    </row>
    <row r="3" spans="1:40" x14ac:dyDescent="0.2">
      <c r="B3" s="44" t="s">
        <v>4</v>
      </c>
      <c r="D3" s="1"/>
      <c r="E3" s="1"/>
      <c r="F3" s="3"/>
      <c r="G3" s="2"/>
      <c r="H3" s="2"/>
    </row>
    <row r="4" spans="1:40" x14ac:dyDescent="0.2">
      <c r="B4" s="44" t="s">
        <v>5</v>
      </c>
      <c r="D4" s="1"/>
      <c r="E4" s="1"/>
      <c r="F4" s="3"/>
      <c r="G4" s="2"/>
      <c r="H4" s="2"/>
    </row>
    <row r="5" spans="1:40" ht="17" thickBot="1" x14ac:dyDescent="0.25">
      <c r="D5" s="9"/>
      <c r="E5" s="9"/>
      <c r="F5" s="10"/>
      <c r="G5" s="2"/>
      <c r="H5" s="2"/>
    </row>
    <row r="6" spans="1:40" ht="29" x14ac:dyDescent="0.35">
      <c r="B6" s="72" t="s">
        <v>191</v>
      </c>
      <c r="C6" s="186" t="s">
        <v>0</v>
      </c>
      <c r="D6" s="186"/>
      <c r="E6" s="186"/>
      <c r="F6" s="187"/>
      <c r="G6" s="11"/>
      <c r="H6" s="11"/>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row>
    <row r="7" spans="1:40" s="16" customFormat="1" x14ac:dyDescent="0.2">
      <c r="A7" s="4"/>
      <c r="B7" s="90" t="s">
        <v>20</v>
      </c>
      <c r="C7" s="93"/>
      <c r="D7" s="40"/>
      <c r="E7" s="53"/>
      <c r="F7" s="28"/>
      <c r="G7" s="14"/>
      <c r="H7" s="1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row>
    <row r="8" spans="1:40" x14ac:dyDescent="0.2">
      <c r="B8" s="91" t="s">
        <v>21</v>
      </c>
      <c r="C8" s="92" t="s">
        <v>22</v>
      </c>
      <c r="D8" s="39"/>
      <c r="E8" s="54" t="s">
        <v>14</v>
      </c>
      <c r="F8" s="26"/>
      <c r="G8" s="18"/>
      <c r="H8" s="20" t="b">
        <f>IF(D9="x",H$2,H$1)</f>
        <v>0</v>
      </c>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row>
    <row r="9" spans="1:40" x14ac:dyDescent="0.2">
      <c r="B9" s="91" t="s">
        <v>21</v>
      </c>
      <c r="C9" s="92" t="s">
        <v>23</v>
      </c>
      <c r="D9" s="39"/>
      <c r="E9" s="54" t="s">
        <v>15</v>
      </c>
      <c r="F9" s="21" t="str">
        <f>IF(H10=1,IF(H8=H$2,H8,""),"")</f>
        <v/>
      </c>
      <c r="G9" s="18"/>
      <c r="H9" s="20" t="str">
        <f>IF(E67="comprobar",COUNTIF(D8:D12,"x"),"")</f>
        <v/>
      </c>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row>
    <row r="10" spans="1:40" x14ac:dyDescent="0.2">
      <c r="B10" s="91" t="s">
        <v>21</v>
      </c>
      <c r="C10" s="92" t="s">
        <v>24</v>
      </c>
      <c r="D10" s="39"/>
      <c r="E10" s="54" t="s">
        <v>16</v>
      </c>
      <c r="F10" s="22" t="str">
        <f>IF(H10=-0.33,IF(H8=H$1,H8,""),"")</f>
        <v/>
      </c>
      <c r="G10" s="18"/>
      <c r="H10" s="23">
        <f>IF(H9=1,IF(H8=H$2,1,-0.33),0)</f>
        <v>0</v>
      </c>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row>
    <row r="11" spans="1:40" x14ac:dyDescent="0.2">
      <c r="B11" s="91"/>
      <c r="C11" s="25"/>
      <c r="D11" s="39"/>
      <c r="E11" s="54" t="s">
        <v>17</v>
      </c>
      <c r="F11" s="26"/>
      <c r="G11" s="18"/>
      <c r="H11" s="23"/>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row>
    <row r="12" spans="1:40" x14ac:dyDescent="0.2">
      <c r="B12" s="91"/>
      <c r="C12" s="25"/>
      <c r="D12" s="39"/>
      <c r="E12" s="54" t="s">
        <v>18</v>
      </c>
      <c r="F12" s="19"/>
      <c r="G12" s="18"/>
      <c r="H12" s="23"/>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row>
    <row r="13" spans="1:40" s="16" customFormat="1" x14ac:dyDescent="0.2">
      <c r="A13" s="4"/>
      <c r="B13" s="90" t="s">
        <v>25</v>
      </c>
      <c r="C13" s="93"/>
      <c r="D13" s="40"/>
      <c r="E13" s="53"/>
      <c r="F13" s="28"/>
      <c r="G13" s="14"/>
      <c r="H13" s="1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row>
    <row r="14" spans="1:40" x14ac:dyDescent="0.2">
      <c r="B14" s="91" t="s">
        <v>21</v>
      </c>
      <c r="C14" s="92" t="s">
        <v>26</v>
      </c>
      <c r="D14" s="39"/>
      <c r="E14" s="54" t="s">
        <v>14</v>
      </c>
      <c r="F14" s="26"/>
      <c r="G14" s="18"/>
      <c r="H14" s="20" t="b">
        <f>IF(D16="x",H$2,H$1)</f>
        <v>0</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row>
    <row r="15" spans="1:40" x14ac:dyDescent="0.2">
      <c r="B15" s="91" t="s">
        <v>21</v>
      </c>
      <c r="C15" s="92" t="s">
        <v>27</v>
      </c>
      <c r="D15" s="39"/>
      <c r="E15" s="54" t="s">
        <v>15</v>
      </c>
      <c r="F15" s="21" t="str">
        <f>IF(H16=1,IF(H14=H$2,H14,""),"")</f>
        <v/>
      </c>
      <c r="G15" s="18"/>
      <c r="H15" s="20" t="str">
        <f>IF(E$67="comprobar",COUNTIF(D14:D18,"x"),"")</f>
        <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row>
    <row r="16" spans="1:40" x14ac:dyDescent="0.2">
      <c r="B16" s="91" t="s">
        <v>21</v>
      </c>
      <c r="C16" s="92" t="s">
        <v>28</v>
      </c>
      <c r="D16" s="39"/>
      <c r="E16" s="54" t="s">
        <v>16</v>
      </c>
      <c r="F16" s="22" t="str">
        <f>IF(H16=-0.33,IF(H14=H$1,H14,""),"")</f>
        <v/>
      </c>
      <c r="G16" s="18"/>
      <c r="H16" s="23">
        <f>IF(H15=1,IF(H14=H$2,1,-0.33),0)</f>
        <v>0</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row>
    <row r="17" spans="1:40" x14ac:dyDescent="0.2">
      <c r="B17" s="91"/>
      <c r="C17" s="25"/>
      <c r="D17" s="39"/>
      <c r="E17" s="54" t="s">
        <v>17</v>
      </c>
      <c r="F17" s="26"/>
      <c r="G17" s="18"/>
      <c r="H17" s="18"/>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row>
    <row r="18" spans="1:40" x14ac:dyDescent="0.2">
      <c r="B18" s="91"/>
      <c r="C18" s="25"/>
      <c r="D18" s="39"/>
      <c r="E18" s="54" t="s">
        <v>18</v>
      </c>
      <c r="F18" s="19"/>
      <c r="G18" s="18"/>
      <c r="H18" s="18"/>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row>
    <row r="19" spans="1:40" s="16" customFormat="1" x14ac:dyDescent="0.2">
      <c r="A19" s="4"/>
      <c r="B19" s="90" t="s">
        <v>29</v>
      </c>
      <c r="C19" s="93"/>
      <c r="D19" s="40"/>
      <c r="E19" s="53"/>
      <c r="F19" s="28"/>
      <c r="G19" s="14"/>
      <c r="H19" s="1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row>
    <row r="20" spans="1:40" x14ac:dyDescent="0.2">
      <c r="B20" s="91" t="s">
        <v>21</v>
      </c>
      <c r="C20" s="92" t="s">
        <v>30</v>
      </c>
      <c r="D20" s="39"/>
      <c r="E20" s="54" t="s">
        <v>14</v>
      </c>
      <c r="F20" s="26"/>
      <c r="G20" s="18"/>
      <c r="H20" s="20" t="b">
        <f>IF(D20="x",H$2,H$1)</f>
        <v>0</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row>
    <row r="21" spans="1:40" x14ac:dyDescent="0.2">
      <c r="B21" s="91" t="s">
        <v>21</v>
      </c>
      <c r="C21" s="92" t="s">
        <v>31</v>
      </c>
      <c r="D21" s="39"/>
      <c r="E21" s="54" t="s">
        <v>15</v>
      </c>
      <c r="F21" s="21" t="str">
        <f>IF(H22=1,IF(H20=H$2,H20,""),"")</f>
        <v/>
      </c>
      <c r="G21" s="18"/>
      <c r="H21" s="20" t="str">
        <f>IF(E$67="comprobar",COUNTIF(D20:D24,"x"),"")</f>
        <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row>
    <row r="22" spans="1:40" x14ac:dyDescent="0.2">
      <c r="B22" s="91" t="s">
        <v>21</v>
      </c>
      <c r="C22" s="92" t="s">
        <v>32</v>
      </c>
      <c r="D22" s="39"/>
      <c r="E22" s="54" t="s">
        <v>16</v>
      </c>
      <c r="F22" s="22" t="str">
        <f>IF(H22=-0.33,IF(H20=H$1,H20,""),"")</f>
        <v/>
      </c>
      <c r="G22" s="18"/>
      <c r="H22" s="23">
        <f>IF(H21=1,IF(H20=H$2,1,-0.33),0)</f>
        <v>0</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row>
    <row r="23" spans="1:40" x14ac:dyDescent="0.2">
      <c r="B23" s="91"/>
      <c r="C23" s="25"/>
      <c r="D23" s="39"/>
      <c r="E23" s="54" t="s">
        <v>17</v>
      </c>
      <c r="F23" s="26"/>
      <c r="G23" s="18"/>
      <c r="H23" s="23"/>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row>
    <row r="24" spans="1:40" x14ac:dyDescent="0.2">
      <c r="B24" s="91"/>
      <c r="C24" s="25"/>
      <c r="D24" s="39"/>
      <c r="E24" s="54" t="s">
        <v>18</v>
      </c>
      <c r="F24" s="19"/>
      <c r="G24" s="18"/>
      <c r="H24" s="23"/>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row>
    <row r="25" spans="1:40" s="16" customFormat="1" x14ac:dyDescent="0.2">
      <c r="A25" s="4"/>
      <c r="B25" s="90" t="s">
        <v>33</v>
      </c>
      <c r="C25" s="93"/>
      <c r="D25" s="40"/>
      <c r="E25" s="53"/>
      <c r="F25" s="28"/>
      <c r="G25" s="14"/>
      <c r="H25" s="1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row>
    <row r="26" spans="1:40" x14ac:dyDescent="0.2">
      <c r="B26" s="91" t="s">
        <v>21</v>
      </c>
      <c r="C26" s="92" t="s">
        <v>34</v>
      </c>
      <c r="D26" s="39"/>
      <c r="E26" s="54" t="s">
        <v>14</v>
      </c>
      <c r="F26" s="26"/>
      <c r="G26" s="18"/>
      <c r="H26" s="20" t="b">
        <f>IF(D26="x",H$2,H$1)</f>
        <v>0</v>
      </c>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row>
    <row r="27" spans="1:40" x14ac:dyDescent="0.2">
      <c r="B27" s="91" t="s">
        <v>21</v>
      </c>
      <c r="C27" s="92" t="s">
        <v>35</v>
      </c>
      <c r="D27" s="39"/>
      <c r="E27" s="54" t="s">
        <v>15</v>
      </c>
      <c r="F27" s="21" t="str">
        <f>IF(H28=1,IF(H26=H$2,H26,""),"")</f>
        <v/>
      </c>
      <c r="G27" s="18"/>
      <c r="H27" s="20" t="str">
        <f>IF(E$67="comprobar",COUNTIF(D26:D30,"x"),"")</f>
        <v/>
      </c>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row>
    <row r="28" spans="1:40" x14ac:dyDescent="0.2">
      <c r="B28" s="91" t="s">
        <v>21</v>
      </c>
      <c r="C28" s="92" t="s">
        <v>36</v>
      </c>
      <c r="D28" s="39"/>
      <c r="E28" s="54" t="s">
        <v>16</v>
      </c>
      <c r="F28" s="22" t="str">
        <f>IF(H28=-0.33,IF(H26=H$1,H26,""),"")</f>
        <v/>
      </c>
      <c r="G28" s="18"/>
      <c r="H28" s="23">
        <f>IF(H27=1,IF(H26=H$2,1,-0.33),0)</f>
        <v>0</v>
      </c>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row>
    <row r="29" spans="1:40" x14ac:dyDescent="0.2">
      <c r="B29" s="91"/>
      <c r="C29" s="25"/>
      <c r="D29" s="39"/>
      <c r="E29" s="54" t="s">
        <v>17</v>
      </c>
      <c r="F29" s="26"/>
      <c r="G29" s="18"/>
      <c r="H29" s="23"/>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row>
    <row r="30" spans="1:40" x14ac:dyDescent="0.2">
      <c r="B30" s="91"/>
      <c r="C30" s="25"/>
      <c r="D30" s="39"/>
      <c r="E30" s="54" t="s">
        <v>18</v>
      </c>
      <c r="F30" s="19"/>
      <c r="G30" s="18"/>
      <c r="H30" s="23"/>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row>
    <row r="31" spans="1:40" s="16" customFormat="1" x14ac:dyDescent="0.2">
      <c r="A31" s="4"/>
      <c r="B31" s="90" t="s">
        <v>37</v>
      </c>
      <c r="C31" s="93"/>
      <c r="D31" s="40"/>
      <c r="E31" s="53"/>
      <c r="F31" s="28"/>
      <c r="G31" s="14"/>
      <c r="H31" s="1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row>
    <row r="32" spans="1:40" x14ac:dyDescent="0.2">
      <c r="B32" s="91" t="s">
        <v>21</v>
      </c>
      <c r="C32" s="92" t="s">
        <v>38</v>
      </c>
      <c r="D32" s="39"/>
      <c r="E32" s="54" t="s">
        <v>14</v>
      </c>
      <c r="F32" s="26"/>
      <c r="G32" s="18"/>
      <c r="H32" s="20" t="b">
        <f>IF(D32="x",H$2,H$1)</f>
        <v>0</v>
      </c>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row>
    <row r="33" spans="1:40" x14ac:dyDescent="0.2">
      <c r="B33" s="91" t="s">
        <v>21</v>
      </c>
      <c r="C33" s="92" t="s">
        <v>39</v>
      </c>
      <c r="D33" s="39"/>
      <c r="E33" s="54" t="s">
        <v>15</v>
      </c>
      <c r="F33" s="21" t="str">
        <f>IF(H34=1,IF(H32=H$2,H32,""),"")</f>
        <v/>
      </c>
      <c r="G33" s="18"/>
      <c r="H33" s="20" t="str">
        <f>IF(E$67="comprobar",COUNTIF(D32:D36,"x"),"")</f>
        <v/>
      </c>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row>
    <row r="34" spans="1:40" x14ac:dyDescent="0.2">
      <c r="B34" s="91" t="s">
        <v>21</v>
      </c>
      <c r="C34" s="92" t="s">
        <v>40</v>
      </c>
      <c r="D34" s="39"/>
      <c r="E34" s="54" t="s">
        <v>16</v>
      </c>
      <c r="F34" s="22" t="str">
        <f>IF(H34=-0.33,IF(H32=H$1,H32,""),"")</f>
        <v/>
      </c>
      <c r="G34" s="18"/>
      <c r="H34" s="23">
        <f t="shared" ref="H34" si="0">IF(H33=1,IF(H32=H$2,1,-0.33),0)</f>
        <v>0</v>
      </c>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row>
    <row r="35" spans="1:40" x14ac:dyDescent="0.2">
      <c r="B35" s="91"/>
      <c r="C35" s="25"/>
      <c r="D35" s="39"/>
      <c r="E35" s="54" t="s">
        <v>17</v>
      </c>
      <c r="F35" s="26"/>
      <c r="G35" s="18"/>
      <c r="H35" s="18"/>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row>
    <row r="36" spans="1:40" x14ac:dyDescent="0.2">
      <c r="B36" s="91"/>
      <c r="C36" s="25"/>
      <c r="D36" s="39"/>
      <c r="E36" s="54" t="s">
        <v>18</v>
      </c>
      <c r="F36" s="19"/>
      <c r="G36" s="18"/>
      <c r="H36" s="18"/>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row>
    <row r="37" spans="1:40" s="16" customFormat="1" x14ac:dyDescent="0.2">
      <c r="A37" s="4"/>
      <c r="B37" s="90" t="s">
        <v>41</v>
      </c>
      <c r="C37" s="93"/>
      <c r="D37" s="40"/>
      <c r="E37" s="53"/>
      <c r="F37" s="28"/>
      <c r="G37" s="14"/>
      <c r="H37" s="1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row>
    <row r="38" spans="1:40" x14ac:dyDescent="0.2">
      <c r="B38" s="91" t="s">
        <v>21</v>
      </c>
      <c r="C38" s="92" t="s">
        <v>38</v>
      </c>
      <c r="D38" s="39"/>
      <c r="E38" s="54" t="s">
        <v>14</v>
      </c>
      <c r="F38" s="26"/>
      <c r="G38" s="18"/>
      <c r="H38" s="20" t="b">
        <f>IF(D40="x",H$2,H$1)</f>
        <v>0</v>
      </c>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row>
    <row r="39" spans="1:40" x14ac:dyDescent="0.2">
      <c r="B39" s="91" t="s">
        <v>21</v>
      </c>
      <c r="C39" s="92" t="s">
        <v>39</v>
      </c>
      <c r="D39" s="39"/>
      <c r="E39" s="54" t="s">
        <v>15</v>
      </c>
      <c r="F39" s="21" t="str">
        <f>IF(H40=1,IF(H38=H$2,H38,""),"")</f>
        <v/>
      </c>
      <c r="G39" s="18"/>
      <c r="H39" s="20" t="str">
        <f>IF(E$67="comprobar",COUNTIF(D38:D42,"x"),"")</f>
        <v/>
      </c>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row>
    <row r="40" spans="1:40" x14ac:dyDescent="0.2">
      <c r="B40" s="91" t="s">
        <v>21</v>
      </c>
      <c r="C40" s="92" t="s">
        <v>42</v>
      </c>
      <c r="D40" s="39"/>
      <c r="E40" s="54" t="s">
        <v>16</v>
      </c>
      <c r="F40" s="22" t="str">
        <f>IF(H40=-0.33,IF(H38=H$1,H38,""),"")</f>
        <v/>
      </c>
      <c r="G40" s="18"/>
      <c r="H40" s="23">
        <f>IF(H39=1,IF(H38=H$2,1,-0.33),0)</f>
        <v>0</v>
      </c>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row>
    <row r="41" spans="1:40" x14ac:dyDescent="0.2">
      <c r="B41" s="91"/>
      <c r="C41" s="25"/>
      <c r="D41" s="39"/>
      <c r="E41" s="54" t="s">
        <v>17</v>
      </c>
      <c r="F41" s="26"/>
      <c r="G41" s="18"/>
      <c r="H41" s="18"/>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row>
    <row r="42" spans="1:40" x14ac:dyDescent="0.2">
      <c r="B42" s="91"/>
      <c r="C42" s="25"/>
      <c r="D42" s="39"/>
      <c r="E42" s="54" t="s">
        <v>18</v>
      </c>
      <c r="F42" s="19"/>
      <c r="G42" s="18"/>
      <c r="H42" s="18"/>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row>
    <row r="43" spans="1:40" s="16" customFormat="1" x14ac:dyDescent="0.2">
      <c r="A43" s="4"/>
      <c r="B43" s="90" t="s">
        <v>43</v>
      </c>
      <c r="C43" s="93"/>
      <c r="D43" s="40"/>
      <c r="E43" s="53"/>
      <c r="F43" s="28"/>
      <c r="G43" s="14"/>
      <c r="H43" s="1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row>
    <row r="44" spans="1:40" x14ac:dyDescent="0.2">
      <c r="B44" s="91" t="s">
        <v>21</v>
      </c>
      <c r="C44" s="92" t="s">
        <v>38</v>
      </c>
      <c r="D44" s="39"/>
      <c r="E44" s="54" t="s">
        <v>14</v>
      </c>
      <c r="F44" s="26"/>
      <c r="G44" s="18"/>
      <c r="H44" s="20" t="b">
        <f>IF(D45="x",H$2,H$1)</f>
        <v>0</v>
      </c>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row>
    <row r="45" spans="1:40" x14ac:dyDescent="0.2">
      <c r="B45" s="91" t="s">
        <v>21</v>
      </c>
      <c r="C45" s="92" t="s">
        <v>39</v>
      </c>
      <c r="D45" s="39"/>
      <c r="E45" s="54" t="s">
        <v>15</v>
      </c>
      <c r="F45" s="21" t="str">
        <f>IF(H46=1,IF(H44=H$2,H44,""),"")</f>
        <v/>
      </c>
      <c r="G45" s="18"/>
      <c r="H45" s="20" t="str">
        <f>IF(E$67="comprobar",COUNTIF(D44:D48,"x"),"")</f>
        <v/>
      </c>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row>
    <row r="46" spans="1:40" x14ac:dyDescent="0.2">
      <c r="B46" s="91" t="s">
        <v>21</v>
      </c>
      <c r="C46" s="92" t="s">
        <v>40</v>
      </c>
      <c r="D46" s="39"/>
      <c r="E46" s="54" t="s">
        <v>16</v>
      </c>
      <c r="F46" s="22" t="str">
        <f>IF(H46=-0.33,IF(H44=H$1,H44,""),"")</f>
        <v/>
      </c>
      <c r="G46" s="18"/>
      <c r="H46" s="23">
        <f>IF(H45=1,IF(H44=H$2,1,-0.33),0)</f>
        <v>0</v>
      </c>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row>
    <row r="47" spans="1:40" x14ac:dyDescent="0.2">
      <c r="B47" s="91"/>
      <c r="C47" s="25"/>
      <c r="D47" s="39"/>
      <c r="E47" s="54" t="s">
        <v>17</v>
      </c>
      <c r="F47" s="26"/>
      <c r="G47" s="18"/>
      <c r="H47" s="23"/>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row>
    <row r="48" spans="1:40" x14ac:dyDescent="0.2">
      <c r="B48" s="91"/>
      <c r="C48" s="25"/>
      <c r="D48" s="39"/>
      <c r="E48" s="54" t="s">
        <v>18</v>
      </c>
      <c r="F48" s="19"/>
      <c r="G48" s="18"/>
      <c r="H48" s="23"/>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row>
    <row r="49" spans="1:40" s="16" customFormat="1" x14ac:dyDescent="0.2">
      <c r="A49" s="4"/>
      <c r="B49" s="90" t="s">
        <v>44</v>
      </c>
      <c r="C49" s="93"/>
      <c r="D49" s="40"/>
      <c r="E49" s="53"/>
      <c r="F49" s="28"/>
      <c r="G49" s="14"/>
      <c r="H49" s="1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row>
    <row r="50" spans="1:40" x14ac:dyDescent="0.2">
      <c r="B50" s="91" t="s">
        <v>21</v>
      </c>
      <c r="C50" s="92" t="s">
        <v>45</v>
      </c>
      <c r="D50" s="39"/>
      <c r="E50" s="54" t="s">
        <v>14</v>
      </c>
      <c r="F50" s="26"/>
      <c r="G50" s="18"/>
      <c r="H50" s="20" t="b">
        <f>IF(D52="x",H$2,H$1)</f>
        <v>0</v>
      </c>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row>
    <row r="51" spans="1:40" x14ac:dyDescent="0.2">
      <c r="B51" s="91" t="s">
        <v>21</v>
      </c>
      <c r="C51" s="92" t="s">
        <v>46</v>
      </c>
      <c r="D51" s="39"/>
      <c r="E51" s="54" t="s">
        <v>15</v>
      </c>
      <c r="F51" s="21" t="str">
        <f>IF(H52=1,IF(H50=H$2,H50,""),"")</f>
        <v/>
      </c>
      <c r="G51" s="18"/>
      <c r="H51" s="20" t="str">
        <f>IF(E$67="comprobar",COUNTIF(D50:D54,"x"),"")</f>
        <v/>
      </c>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row>
    <row r="52" spans="1:40" x14ac:dyDescent="0.2">
      <c r="B52" s="91" t="s">
        <v>21</v>
      </c>
      <c r="C52" s="92" t="s">
        <v>47</v>
      </c>
      <c r="D52" s="39"/>
      <c r="E52" s="54" t="s">
        <v>16</v>
      </c>
      <c r="F52" s="22" t="str">
        <f>IF(H52=-0.33,IF(H50=H$1,H50,""),"")</f>
        <v/>
      </c>
      <c r="G52" s="18"/>
      <c r="H52" s="23">
        <f>IF(H51=1,IF(H50=H$2,1,-0.33),0)</f>
        <v>0</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row>
    <row r="53" spans="1:40" x14ac:dyDescent="0.2">
      <c r="B53" s="91"/>
      <c r="C53" s="25"/>
      <c r="D53" s="39"/>
      <c r="E53" s="54" t="s">
        <v>17</v>
      </c>
      <c r="F53" s="26"/>
      <c r="G53" s="18"/>
      <c r="H53" s="23"/>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row>
    <row r="54" spans="1:40" x14ac:dyDescent="0.2">
      <c r="B54" s="91"/>
      <c r="C54" s="25"/>
      <c r="D54" s="39"/>
      <c r="E54" s="54" t="s">
        <v>18</v>
      </c>
      <c r="F54" s="19"/>
      <c r="G54" s="18"/>
      <c r="H54" s="23"/>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row>
    <row r="55" spans="1:40" s="16" customFormat="1" x14ac:dyDescent="0.2">
      <c r="A55" s="4"/>
      <c r="B55" s="90" t="s">
        <v>48</v>
      </c>
      <c r="C55" s="93"/>
      <c r="D55" s="40"/>
      <c r="E55" s="53"/>
      <c r="F55" s="28"/>
      <c r="G55" s="14"/>
      <c r="H55" s="1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row>
    <row r="56" spans="1:40" x14ac:dyDescent="0.2">
      <c r="B56" s="91" t="s">
        <v>21</v>
      </c>
      <c r="C56" s="92" t="s">
        <v>49</v>
      </c>
      <c r="D56" s="39"/>
      <c r="E56" s="54" t="s">
        <v>14</v>
      </c>
      <c r="F56" s="26"/>
      <c r="G56" s="18"/>
      <c r="H56" s="20" t="b">
        <f>IF(D58="x",H$2,H$1)</f>
        <v>0</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row>
    <row r="57" spans="1:40" x14ac:dyDescent="0.2">
      <c r="B57" s="91" t="s">
        <v>21</v>
      </c>
      <c r="C57" s="92" t="s">
        <v>50</v>
      </c>
      <c r="D57" s="39"/>
      <c r="E57" s="54" t="s">
        <v>15</v>
      </c>
      <c r="F57" s="21" t="str">
        <f>IF(H58=1,IF(H56=H$2,H56,""),"")</f>
        <v/>
      </c>
      <c r="G57" s="18"/>
      <c r="H57" s="20" t="str">
        <f>IF(E$67="comprobar",COUNTIF(D56:D60,"x"),"")</f>
        <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row>
    <row r="58" spans="1:40" x14ac:dyDescent="0.2">
      <c r="B58" s="91" t="s">
        <v>21</v>
      </c>
      <c r="C58" s="92" t="s">
        <v>51</v>
      </c>
      <c r="D58" s="39"/>
      <c r="E58" s="54" t="s">
        <v>16</v>
      </c>
      <c r="F58" s="22" t="str">
        <f>IF(H58=-0.33,IF(H56=H$1,H56,""),"")</f>
        <v/>
      </c>
      <c r="G58" s="18"/>
      <c r="H58" s="23">
        <f>IF(H57=1,IF(H56=H$2,1,-0.33),0)</f>
        <v>0</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row>
    <row r="59" spans="1:40" x14ac:dyDescent="0.2">
      <c r="B59" s="91"/>
      <c r="C59" s="25"/>
      <c r="D59" s="39"/>
      <c r="E59" s="54" t="s">
        <v>17</v>
      </c>
      <c r="F59" s="26"/>
      <c r="G59" s="18"/>
      <c r="H59" s="20"/>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row>
    <row r="60" spans="1:40" x14ac:dyDescent="0.2">
      <c r="B60" s="91"/>
      <c r="C60" s="25"/>
      <c r="D60" s="39"/>
      <c r="E60" s="54" t="s">
        <v>18</v>
      </c>
      <c r="F60" s="19"/>
      <c r="G60" s="18"/>
      <c r="H60" s="2"/>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row>
    <row r="61" spans="1:40" s="16" customFormat="1" x14ac:dyDescent="0.2">
      <c r="A61" s="4"/>
      <c r="B61" s="90" t="s">
        <v>52</v>
      </c>
      <c r="C61" s="93"/>
      <c r="D61" s="40"/>
      <c r="E61" s="53"/>
      <c r="F61" s="28"/>
      <c r="G61" s="24"/>
      <c r="H61" s="2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row>
    <row r="62" spans="1:40" x14ac:dyDescent="0.2">
      <c r="B62" s="91" t="s">
        <v>21</v>
      </c>
      <c r="C62" s="92" t="s">
        <v>53</v>
      </c>
      <c r="D62" s="39"/>
      <c r="E62" s="54" t="s">
        <v>14</v>
      </c>
      <c r="F62" s="26"/>
      <c r="G62" s="25"/>
      <c r="H62" s="20" t="b">
        <f>IF(D63="x",H$2,H$1)</f>
        <v>0</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row>
    <row r="63" spans="1:40" x14ac:dyDescent="0.2">
      <c r="B63" s="91" t="s">
        <v>21</v>
      </c>
      <c r="C63" s="92" t="s">
        <v>54</v>
      </c>
      <c r="D63" s="39"/>
      <c r="E63" s="54" t="s">
        <v>15</v>
      </c>
      <c r="F63" s="21" t="str">
        <f>IF(H64=1,IF(H62=H$2,H62,""),"")</f>
        <v/>
      </c>
      <c r="G63" s="25"/>
      <c r="H63" s="20" t="str">
        <f>IF(E$67="comprobar",COUNTIF(D62:D66,"x"),"")</f>
        <v/>
      </c>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row>
    <row r="64" spans="1:40" x14ac:dyDescent="0.2">
      <c r="B64" s="91" t="s">
        <v>21</v>
      </c>
      <c r="C64" s="92" t="s">
        <v>55</v>
      </c>
      <c r="D64" s="39"/>
      <c r="E64" s="54" t="s">
        <v>16</v>
      </c>
      <c r="F64" s="22" t="str">
        <f>IF(H64=-0.33,IF(H62=H$1,H62,""),"")</f>
        <v/>
      </c>
      <c r="G64" s="25"/>
      <c r="H64" s="23">
        <f>IF(H63=1,IF(H62=H$2,1,-0.33),0)</f>
        <v>0</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row>
    <row r="65" spans="1:40" x14ac:dyDescent="0.2">
      <c r="B65" s="91"/>
      <c r="C65" s="25"/>
      <c r="D65" s="39"/>
      <c r="E65" s="54" t="s">
        <v>17</v>
      </c>
      <c r="F65" s="26"/>
      <c r="G65" s="25"/>
      <c r="H65" s="23"/>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row>
    <row r="66" spans="1:40" x14ac:dyDescent="0.2">
      <c r="B66" s="91"/>
      <c r="C66" s="25"/>
      <c r="D66" s="39"/>
      <c r="E66" s="54" t="s">
        <v>18</v>
      </c>
      <c r="F66" s="19"/>
      <c r="G66" s="25"/>
      <c r="H66" s="23"/>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row>
    <row r="67" spans="1:40" x14ac:dyDescent="0.2">
      <c r="B67" s="45"/>
      <c r="C67" s="8"/>
      <c r="D67" s="49"/>
      <c r="E67" s="55"/>
      <c r="F67" s="19"/>
      <c r="G67" s="18"/>
      <c r="H67" s="18"/>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row>
    <row r="68" spans="1:40" x14ac:dyDescent="0.2">
      <c r="B68" s="45"/>
      <c r="C68" s="8"/>
      <c r="D68" s="49"/>
      <c r="E68" s="58"/>
      <c r="F68" s="29" t="s">
        <v>8</v>
      </c>
      <c r="G68" s="18" t="s">
        <v>6</v>
      </c>
      <c r="H68" s="18" t="s">
        <v>7</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row>
    <row r="69" spans="1:40" ht="20" x14ac:dyDescent="0.2">
      <c r="B69" s="45"/>
      <c r="C69" s="94"/>
      <c r="D69" s="183"/>
      <c r="E69" s="183"/>
      <c r="F69" s="30" t="str">
        <f>IF(E67="comprobar",H64+H58+H52+H46+H40+H34+H28+H22+H16+H10,"")</f>
        <v/>
      </c>
      <c r="G69" s="18">
        <f>10/2</f>
        <v>5</v>
      </c>
      <c r="H69" s="18"/>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row>
    <row r="70" spans="1:40" ht="17" thickBot="1" x14ac:dyDescent="0.25">
      <c r="B70" s="46"/>
      <c r="C70" s="31"/>
      <c r="D70" s="32"/>
      <c r="E70" s="56"/>
      <c r="F70" s="33" t="str">
        <f>IF(F69&gt;G69,G68,H68)</f>
        <v>APROBADO</v>
      </c>
      <c r="G70" s="18"/>
      <c r="H70" s="18"/>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row>
    <row r="71" spans="1:40" ht="29" x14ac:dyDescent="0.35">
      <c r="B71" s="62" t="s">
        <v>191</v>
      </c>
      <c r="C71" s="186" t="s">
        <v>9</v>
      </c>
      <c r="D71" s="186"/>
      <c r="E71" s="186"/>
      <c r="F71" s="187"/>
      <c r="G71" s="18"/>
      <c r="H71" s="18"/>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row>
    <row r="72" spans="1:40" s="16" customFormat="1" x14ac:dyDescent="0.2">
      <c r="A72" s="4"/>
      <c r="B72" s="82" t="s">
        <v>56</v>
      </c>
      <c r="C72" s="95"/>
      <c r="D72" s="40"/>
      <c r="E72" s="53"/>
      <c r="F72" s="28"/>
      <c r="G72" s="14"/>
      <c r="H72" s="14"/>
    </row>
    <row r="73" spans="1:40" x14ac:dyDescent="0.2">
      <c r="B73" s="83" t="s">
        <v>66</v>
      </c>
      <c r="C73" s="64"/>
      <c r="D73" s="39"/>
      <c r="E73" s="54" t="s">
        <v>14</v>
      </c>
      <c r="F73" s="26"/>
      <c r="G73" s="18"/>
      <c r="H73" s="20" t="b">
        <f>IF(D75="x",H$2,H$1)</f>
        <v>0</v>
      </c>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row>
    <row r="74" spans="1:40" x14ac:dyDescent="0.2">
      <c r="B74" s="83" t="s">
        <v>67</v>
      </c>
      <c r="C74" s="96"/>
      <c r="D74" s="39"/>
      <c r="E74" s="54" t="s">
        <v>15</v>
      </c>
      <c r="F74" s="21" t="str">
        <f>IF(H75=1,IF(H73=H$2,H73,""),"")</f>
        <v/>
      </c>
      <c r="G74" s="18"/>
      <c r="H74" s="20" t="str">
        <f>IF(E$132="comprobar",COUNTIF(D73:D77,"x"),"")</f>
        <v/>
      </c>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row>
    <row r="75" spans="1:40" x14ac:dyDescent="0.2">
      <c r="B75" s="83" t="s">
        <v>96</v>
      </c>
      <c r="C75" s="96"/>
      <c r="D75" s="39"/>
      <c r="E75" s="54" t="s">
        <v>16</v>
      </c>
      <c r="F75" s="22" t="str">
        <f>IF(H75=-0.33,IF(H73=H$1,H73,""),"")</f>
        <v/>
      </c>
      <c r="G75" s="18"/>
      <c r="H75" s="23">
        <f>IF(H74=1,IF(H73=H$2,1,-0.33),0)</f>
        <v>0</v>
      </c>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row>
    <row r="76" spans="1:40" x14ac:dyDescent="0.2">
      <c r="B76" s="83" t="s">
        <v>68</v>
      </c>
      <c r="C76" s="96"/>
      <c r="D76" s="39"/>
      <c r="E76" s="54" t="s">
        <v>17</v>
      </c>
      <c r="F76" s="26"/>
      <c r="G76" s="18"/>
      <c r="H76" s="23"/>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row>
    <row r="77" spans="1:40" x14ac:dyDescent="0.2">
      <c r="B77" s="65"/>
      <c r="C77" s="66"/>
      <c r="D77" s="39"/>
      <c r="E77" s="54" t="s">
        <v>18</v>
      </c>
      <c r="F77" s="19"/>
      <c r="G77" s="18"/>
      <c r="H77" s="23"/>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row>
    <row r="78" spans="1:40" s="34" customFormat="1" x14ac:dyDescent="0.2">
      <c r="A78" s="4"/>
      <c r="B78" s="82" t="s">
        <v>57</v>
      </c>
      <c r="C78" s="95"/>
      <c r="D78" s="40"/>
      <c r="E78" s="53"/>
      <c r="F78" s="28"/>
      <c r="G78" s="14"/>
      <c r="H78" s="14"/>
    </row>
    <row r="79" spans="1:40" x14ac:dyDescent="0.2">
      <c r="B79" s="83" t="s">
        <v>69</v>
      </c>
      <c r="C79" s="64"/>
      <c r="D79" s="39"/>
      <c r="E79" s="54" t="s">
        <v>14</v>
      </c>
      <c r="F79" s="26"/>
      <c r="G79" s="18"/>
      <c r="H79" s="20" t="b">
        <f>IF(D82="x",H$2,H$1)</f>
        <v>0</v>
      </c>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row>
    <row r="80" spans="1:40" x14ac:dyDescent="0.2">
      <c r="B80" s="83" t="s">
        <v>70</v>
      </c>
      <c r="C80" s="96"/>
      <c r="D80" s="39"/>
      <c r="E80" s="54" t="s">
        <v>15</v>
      </c>
      <c r="F80" s="21" t="str">
        <f>IF(H81=1,IF(H79=H$2,H79,""),"")</f>
        <v/>
      </c>
      <c r="G80" s="18"/>
      <c r="H80" s="20" t="str">
        <f>IF(E$132="comprobar",COUNTIF(D79:D83,"x"),"")</f>
        <v/>
      </c>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row>
    <row r="81" spans="1:40" x14ac:dyDescent="0.2">
      <c r="B81" s="83" t="s">
        <v>71</v>
      </c>
      <c r="C81" s="96"/>
      <c r="D81" s="39"/>
      <c r="E81" s="54" t="s">
        <v>16</v>
      </c>
      <c r="F81" s="22" t="str">
        <f>IF(H81=-0.33,IF(H79=H$1,H79,""),"")</f>
        <v/>
      </c>
      <c r="G81" s="18"/>
      <c r="H81" s="23">
        <f t="shared" ref="H81" si="1">IF(H80=1,IF(H79=H$2,1,-0.33),0)</f>
        <v>0</v>
      </c>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row>
    <row r="82" spans="1:40" x14ac:dyDescent="0.2">
      <c r="B82" s="83" t="s">
        <v>97</v>
      </c>
      <c r="C82" s="96"/>
      <c r="D82" s="39"/>
      <c r="E82" s="54" t="s">
        <v>17</v>
      </c>
      <c r="F82" s="26"/>
      <c r="G82" s="18"/>
      <c r="H82" s="23"/>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row>
    <row r="83" spans="1:40" x14ac:dyDescent="0.2">
      <c r="B83" s="65"/>
      <c r="C83" s="66"/>
      <c r="D83" s="39"/>
      <c r="E83" s="54" t="s">
        <v>18</v>
      </c>
      <c r="F83" s="19"/>
      <c r="G83" s="18"/>
      <c r="H83" s="23"/>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row>
    <row r="84" spans="1:40" s="34" customFormat="1" x14ac:dyDescent="0.2">
      <c r="A84" s="178"/>
      <c r="B84" s="82" t="s">
        <v>58</v>
      </c>
      <c r="C84" s="95"/>
      <c r="D84" s="59"/>
      <c r="E84" s="57"/>
      <c r="F84" s="51"/>
      <c r="G84" s="48"/>
      <c r="H84" s="48"/>
    </row>
    <row r="85" spans="1:40" x14ac:dyDescent="0.2">
      <c r="B85" s="83" t="s">
        <v>72</v>
      </c>
      <c r="C85" s="64"/>
      <c r="D85" s="39"/>
      <c r="E85" s="54" t="s">
        <v>14</v>
      </c>
      <c r="F85" s="26"/>
      <c r="G85" s="18"/>
      <c r="H85" s="20" t="b">
        <f>IF(D88="x",H$2,H$1)</f>
        <v>0</v>
      </c>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row>
    <row r="86" spans="1:40" x14ac:dyDescent="0.2">
      <c r="B86" s="83" t="s">
        <v>73</v>
      </c>
      <c r="C86" s="96"/>
      <c r="D86" s="39"/>
      <c r="E86" s="54" t="s">
        <v>15</v>
      </c>
      <c r="F86" s="21" t="str">
        <f>IF(H87=1,IF(H85=H$2,H85,""),"")</f>
        <v/>
      </c>
      <c r="G86" s="18"/>
      <c r="H86" s="20" t="str">
        <f>IF(E$132="comprobar",COUNTIF(D85:D89,"x"),"")</f>
        <v/>
      </c>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row>
    <row r="87" spans="1:40" x14ac:dyDescent="0.2">
      <c r="B87" s="83" t="s">
        <v>74</v>
      </c>
      <c r="C87" s="96"/>
      <c r="D87" s="39"/>
      <c r="E87" s="54" t="s">
        <v>16</v>
      </c>
      <c r="F87" s="22" t="str">
        <f>IF(H87=-0.33,IF(H85=H$1,H85,""),"")</f>
        <v/>
      </c>
      <c r="G87" s="18"/>
      <c r="H87" s="23">
        <f t="shared" ref="H87" si="2">IF(H86=1,IF(H85=H$2,1,-0.33),0)</f>
        <v>0</v>
      </c>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row>
    <row r="88" spans="1:40" x14ac:dyDescent="0.2">
      <c r="B88" s="83" t="s">
        <v>98</v>
      </c>
      <c r="C88" s="96"/>
      <c r="D88" s="39"/>
      <c r="E88" s="54" t="s">
        <v>17</v>
      </c>
      <c r="F88" s="26"/>
      <c r="G88" s="18"/>
      <c r="H88" s="23"/>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row>
    <row r="89" spans="1:40" x14ac:dyDescent="0.2">
      <c r="B89" s="65"/>
      <c r="C89" s="66"/>
      <c r="D89" s="39"/>
      <c r="E89" s="54" t="s">
        <v>18</v>
      </c>
      <c r="F89" s="19"/>
      <c r="G89" s="18"/>
      <c r="H89" s="23"/>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row>
    <row r="90" spans="1:40" s="16" customFormat="1" x14ac:dyDescent="0.2">
      <c r="A90" s="4"/>
      <c r="B90" s="82" t="s">
        <v>59</v>
      </c>
      <c r="C90" s="95"/>
      <c r="D90" s="40"/>
      <c r="E90" s="53"/>
      <c r="F90" s="28"/>
      <c r="G90" s="14"/>
      <c r="H90" s="14"/>
    </row>
    <row r="91" spans="1:40" x14ac:dyDescent="0.2">
      <c r="B91" s="83" t="s">
        <v>75</v>
      </c>
      <c r="C91" s="64"/>
      <c r="D91" s="39"/>
      <c r="E91" s="54" t="s">
        <v>14</v>
      </c>
      <c r="F91" s="26"/>
      <c r="G91" s="18"/>
      <c r="H91" s="20" t="b">
        <f>IF(D92="x",H$2,H$1)</f>
        <v>0</v>
      </c>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row>
    <row r="92" spans="1:40" x14ac:dyDescent="0.2">
      <c r="B92" s="83" t="s">
        <v>99</v>
      </c>
      <c r="C92" s="96"/>
      <c r="D92" s="39"/>
      <c r="E92" s="54" t="s">
        <v>15</v>
      </c>
      <c r="F92" s="21" t="str">
        <f>IF(H93=1,IF(H91=H$2,H91,""),"")</f>
        <v/>
      </c>
      <c r="G92" s="18"/>
      <c r="H92" s="20" t="str">
        <f>IF(E$132="comprobar",COUNTIF(D91:D95,"x"),"")</f>
        <v/>
      </c>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row>
    <row r="93" spans="1:40" x14ac:dyDescent="0.2">
      <c r="B93" s="83" t="s">
        <v>76</v>
      </c>
      <c r="C93" s="96"/>
      <c r="D93" s="39"/>
      <c r="E93" s="54" t="s">
        <v>16</v>
      </c>
      <c r="F93" s="22" t="str">
        <f>IF(H93=-0.33,IF(H91=H$1,H91,""),"")</f>
        <v/>
      </c>
      <c r="G93" s="18"/>
      <c r="H93" s="23">
        <f t="shared" ref="H93" si="3">IF(H92=1,IF(H91=H$2,1,-0.33),0)</f>
        <v>0</v>
      </c>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row>
    <row r="94" spans="1:40" x14ac:dyDescent="0.2">
      <c r="B94" s="83" t="s">
        <v>77</v>
      </c>
      <c r="C94" s="96"/>
      <c r="D94" s="39"/>
      <c r="E94" s="54" t="s">
        <v>17</v>
      </c>
      <c r="F94" s="26"/>
      <c r="G94" s="18"/>
      <c r="H94" s="23"/>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row>
    <row r="95" spans="1:40" x14ac:dyDescent="0.2">
      <c r="B95" s="65"/>
      <c r="C95" s="66"/>
      <c r="D95" s="39"/>
      <c r="E95" s="54" t="s">
        <v>18</v>
      </c>
      <c r="F95" s="19"/>
      <c r="G95" s="18"/>
      <c r="H95" s="23"/>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row>
    <row r="96" spans="1:40" s="16" customFormat="1" x14ac:dyDescent="0.2">
      <c r="A96" s="4"/>
      <c r="B96" s="82" t="s">
        <v>60</v>
      </c>
      <c r="C96" s="95"/>
      <c r="D96" s="40"/>
      <c r="E96" s="53"/>
      <c r="F96" s="28"/>
      <c r="G96" s="14"/>
      <c r="H96" s="14"/>
    </row>
    <row r="97" spans="1:40" x14ac:dyDescent="0.2">
      <c r="B97" s="83" t="s">
        <v>100</v>
      </c>
      <c r="C97" s="64"/>
      <c r="D97" s="39"/>
      <c r="E97" s="54" t="s">
        <v>14</v>
      </c>
      <c r="F97" s="26"/>
      <c r="G97" s="18"/>
      <c r="H97" s="20" t="b">
        <f>IF(D97="x",H$2,H$1)</f>
        <v>0</v>
      </c>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row>
    <row r="98" spans="1:40" x14ac:dyDescent="0.2">
      <c r="B98" s="83" t="s">
        <v>78</v>
      </c>
      <c r="C98" s="96"/>
      <c r="D98" s="39"/>
      <c r="E98" s="54" t="s">
        <v>15</v>
      </c>
      <c r="F98" s="21" t="str">
        <f>IF(H99=1,IF(H97=H$2,H97,""),"")</f>
        <v/>
      </c>
      <c r="G98" s="18"/>
      <c r="H98" s="20" t="str">
        <f>IF(E$132="comprobar",COUNTIF(D97:D101,"x"),"")</f>
        <v/>
      </c>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row>
    <row r="99" spans="1:40" x14ac:dyDescent="0.2">
      <c r="B99" s="83" t="s">
        <v>79</v>
      </c>
      <c r="C99" s="96"/>
      <c r="D99" s="39"/>
      <c r="E99" s="54" t="s">
        <v>16</v>
      </c>
      <c r="F99" s="22" t="str">
        <f>IF(H99=-0.33,IF(H97=H$1,H97,""),"")</f>
        <v/>
      </c>
      <c r="G99" s="18"/>
      <c r="H99" s="23">
        <f t="shared" ref="H99" si="4">IF(H98=1,IF(H97=H$2,1,-0.33),0)</f>
        <v>0</v>
      </c>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row>
    <row r="100" spans="1:40" x14ac:dyDescent="0.2">
      <c r="B100" s="83" t="s">
        <v>80</v>
      </c>
      <c r="C100" s="96"/>
      <c r="D100" s="39"/>
      <c r="E100" s="54" t="s">
        <v>17</v>
      </c>
      <c r="F100" s="26"/>
      <c r="G100" s="18"/>
      <c r="H100" s="23"/>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row>
    <row r="101" spans="1:40" x14ac:dyDescent="0.2">
      <c r="B101" s="65"/>
      <c r="C101" s="66"/>
      <c r="D101" s="39"/>
      <c r="E101" s="54" t="s">
        <v>18</v>
      </c>
      <c r="F101" s="19"/>
      <c r="G101" s="18"/>
      <c r="H101" s="23"/>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row>
    <row r="102" spans="1:40" s="16" customFormat="1" x14ac:dyDescent="0.2">
      <c r="A102" s="4"/>
      <c r="B102" s="82" t="s">
        <v>61</v>
      </c>
      <c r="C102" s="95"/>
      <c r="D102" s="40"/>
      <c r="E102" s="53"/>
      <c r="F102" s="28"/>
      <c r="G102" s="14"/>
      <c r="H102" s="14"/>
    </row>
    <row r="103" spans="1:40" x14ac:dyDescent="0.2">
      <c r="B103" s="83" t="s">
        <v>81</v>
      </c>
      <c r="C103" s="64"/>
      <c r="D103" s="39"/>
      <c r="E103" s="54" t="s">
        <v>14</v>
      </c>
      <c r="F103" s="26"/>
      <c r="G103" s="18"/>
      <c r="H103" s="20" t="b">
        <f>IF(D104="x",H$2,H$1)</f>
        <v>0</v>
      </c>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row>
    <row r="104" spans="1:40" x14ac:dyDescent="0.2">
      <c r="B104" s="83" t="s">
        <v>101</v>
      </c>
      <c r="C104" s="96"/>
      <c r="D104" s="39"/>
      <c r="E104" s="54" t="s">
        <v>15</v>
      </c>
      <c r="F104" s="21" t="str">
        <f>IF(H105=1,IF(H103=H$2,H103,""),"")</f>
        <v/>
      </c>
      <c r="G104" s="18"/>
      <c r="H104" s="20" t="str">
        <f>IF(E$132="comprobar",COUNTIF(D103:D107,"x"),"")</f>
        <v/>
      </c>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row>
    <row r="105" spans="1:40" x14ac:dyDescent="0.2">
      <c r="B105" s="83" t="s">
        <v>82</v>
      </c>
      <c r="C105" s="96"/>
      <c r="D105" s="39"/>
      <c r="E105" s="54" t="s">
        <v>16</v>
      </c>
      <c r="F105" s="22" t="str">
        <f>IF(H105=-0.33,IF(H103=H$1,H103,""),"")</f>
        <v/>
      </c>
      <c r="G105" s="18"/>
      <c r="H105" s="23">
        <f t="shared" ref="H105" si="5">IF(H104=1,IF(H103=H$2,1,-0.33),0)</f>
        <v>0</v>
      </c>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row>
    <row r="106" spans="1:40" x14ac:dyDescent="0.2">
      <c r="B106" s="83" t="s">
        <v>83</v>
      </c>
      <c r="C106" s="96"/>
      <c r="D106" s="39"/>
      <c r="E106" s="54" t="s">
        <v>17</v>
      </c>
      <c r="F106" s="26"/>
      <c r="G106" s="18"/>
      <c r="H106" s="23"/>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row>
    <row r="107" spans="1:40" x14ac:dyDescent="0.2">
      <c r="B107" s="65"/>
      <c r="C107" s="66"/>
      <c r="D107" s="39"/>
      <c r="E107" s="54" t="s">
        <v>18</v>
      </c>
      <c r="F107" s="19"/>
      <c r="G107" s="18"/>
      <c r="H107" s="23"/>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row>
    <row r="108" spans="1:40" s="16" customFormat="1" x14ac:dyDescent="0.2">
      <c r="A108" s="4"/>
      <c r="B108" s="82" t="s">
        <v>62</v>
      </c>
      <c r="C108" s="95"/>
      <c r="D108" s="40"/>
      <c r="E108" s="53"/>
      <c r="F108" s="28"/>
      <c r="G108" s="14"/>
      <c r="H108" s="14"/>
    </row>
    <row r="109" spans="1:40" x14ac:dyDescent="0.2">
      <c r="B109" s="83"/>
      <c r="C109" s="176"/>
      <c r="D109" s="73"/>
      <c r="E109" s="1"/>
      <c r="F109" s="26"/>
      <c r="G109" s="18"/>
      <c r="H109" s="20" t="b">
        <f>IF(D113="x",H$2,H$1)</f>
        <v>0</v>
      </c>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row>
    <row r="110" spans="1:40" x14ac:dyDescent="0.2">
      <c r="B110" s="83" t="s">
        <v>84</v>
      </c>
      <c r="C110" s="96"/>
      <c r="D110" s="39"/>
      <c r="E110" s="54" t="s">
        <v>14</v>
      </c>
      <c r="F110" s="21" t="str">
        <f>IF(H111=1,IF(H109=H$2,H109,""),"")</f>
        <v/>
      </c>
      <c r="G110" s="18"/>
      <c r="H110" s="20" t="str">
        <f>IF(E$132="comprobar",COUNTIF(D109:D113,"x"),"")</f>
        <v/>
      </c>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row>
    <row r="111" spans="1:40" x14ac:dyDescent="0.2">
      <c r="B111" s="83" t="s">
        <v>85</v>
      </c>
      <c r="C111" s="96"/>
      <c r="D111" s="39"/>
      <c r="E111" s="54" t="s">
        <v>15</v>
      </c>
      <c r="F111" s="22" t="str">
        <f>IF(H111=-0.33,IF(H109=H$1,H109,""),"")</f>
        <v/>
      </c>
      <c r="G111" s="18"/>
      <c r="H111" s="23">
        <f t="shared" ref="H111" si="6">IF(H110=1,IF(H109=H$2,1,-0.33),0)</f>
        <v>0</v>
      </c>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row>
    <row r="112" spans="1:40" x14ac:dyDescent="0.2">
      <c r="B112" s="83" t="s">
        <v>86</v>
      </c>
      <c r="C112" s="96"/>
      <c r="D112" s="39"/>
      <c r="E112" s="54" t="s">
        <v>16</v>
      </c>
      <c r="F112" s="26"/>
      <c r="G112" s="18"/>
      <c r="H112" s="23"/>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row>
    <row r="113" spans="1:40" x14ac:dyDescent="0.2">
      <c r="B113" s="43"/>
      <c r="C113" s="109" t="s">
        <v>105</v>
      </c>
      <c r="D113" s="39"/>
      <c r="E113" s="54" t="s">
        <v>17</v>
      </c>
      <c r="F113" s="19"/>
      <c r="G113" s="18"/>
      <c r="H113" s="23"/>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row>
    <row r="114" spans="1:40" s="16" customFormat="1" x14ac:dyDescent="0.2">
      <c r="A114" s="4"/>
      <c r="B114" s="82" t="s">
        <v>63</v>
      </c>
      <c r="C114" s="95"/>
      <c r="D114" s="40"/>
      <c r="E114" s="53"/>
      <c r="F114" s="28"/>
      <c r="G114" s="14"/>
      <c r="H114" s="14"/>
    </row>
    <row r="115" spans="1:40" x14ac:dyDescent="0.2">
      <c r="B115" s="83" t="s">
        <v>87</v>
      </c>
      <c r="C115" s="64"/>
      <c r="D115" s="39"/>
      <c r="E115" s="54" t="s">
        <v>14</v>
      </c>
      <c r="F115" s="26"/>
      <c r="G115" s="18"/>
      <c r="H115" s="20" t="b">
        <f>IF(D117="x",H$2,H$1)</f>
        <v>0</v>
      </c>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row>
    <row r="116" spans="1:40" x14ac:dyDescent="0.2">
      <c r="B116" s="83" t="s">
        <v>88</v>
      </c>
      <c r="C116" s="96"/>
      <c r="D116" s="39"/>
      <c r="E116" s="54" t="s">
        <v>15</v>
      </c>
      <c r="F116" s="21" t="str">
        <f>IF(H117=1,IF(H115=H$2,H115,""),"")</f>
        <v/>
      </c>
      <c r="G116" s="18"/>
      <c r="H116" s="20" t="str">
        <f>IF(E$132="comprobar",COUNTIF(D115:D119,"x"),"")</f>
        <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row>
    <row r="117" spans="1:40" x14ac:dyDescent="0.2">
      <c r="B117" s="83" t="s">
        <v>102</v>
      </c>
      <c r="C117" s="96"/>
      <c r="D117" s="39"/>
      <c r="E117" s="54" t="s">
        <v>16</v>
      </c>
      <c r="F117" s="22" t="str">
        <f>IF(H117=-0.33,IF(H115=H$1,H115,""),"")</f>
        <v/>
      </c>
      <c r="G117" s="18"/>
      <c r="H117" s="23">
        <f t="shared" ref="H117" si="7">IF(H116=1,IF(H115=H$2,1,-0.33),0)</f>
        <v>0</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row>
    <row r="118" spans="1:40" x14ac:dyDescent="0.2">
      <c r="B118" s="83" t="s">
        <v>89</v>
      </c>
      <c r="C118" s="96"/>
      <c r="D118" s="39"/>
      <c r="E118" s="54" t="s">
        <v>17</v>
      </c>
      <c r="F118" s="26"/>
      <c r="G118" s="18"/>
      <c r="H118" s="23"/>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row>
    <row r="119" spans="1:40" x14ac:dyDescent="0.2">
      <c r="B119" s="65"/>
      <c r="C119" s="66"/>
      <c r="D119" s="39"/>
      <c r="E119" s="54" t="s">
        <v>18</v>
      </c>
      <c r="F119" s="19"/>
      <c r="G119" s="18"/>
      <c r="H119" s="23"/>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row>
    <row r="120" spans="1:40" s="16" customFormat="1" x14ac:dyDescent="0.2">
      <c r="A120" s="4"/>
      <c r="B120" s="82" t="s">
        <v>64</v>
      </c>
      <c r="C120" s="95"/>
      <c r="D120" s="40"/>
      <c r="E120" s="53"/>
      <c r="F120" s="28"/>
      <c r="G120" s="14"/>
      <c r="H120" s="14"/>
    </row>
    <row r="121" spans="1:40" x14ac:dyDescent="0.2">
      <c r="B121" s="83" t="s">
        <v>90</v>
      </c>
      <c r="C121" s="64"/>
      <c r="D121" s="39"/>
      <c r="E121" s="54" t="s">
        <v>14</v>
      </c>
      <c r="F121" s="26"/>
      <c r="G121" s="18"/>
      <c r="H121" s="20" t="b">
        <f>IF(D122="x",H$2,H$1)</f>
        <v>0</v>
      </c>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row>
    <row r="122" spans="1:40" x14ac:dyDescent="0.2">
      <c r="B122" s="83" t="s">
        <v>103</v>
      </c>
      <c r="C122" s="96"/>
      <c r="D122" s="39"/>
      <c r="E122" s="54" t="s">
        <v>15</v>
      </c>
      <c r="F122" s="21" t="str">
        <f>IF(H123=1,IF(H121=H$2,H121,""),"")</f>
        <v/>
      </c>
      <c r="G122" s="18"/>
      <c r="H122" s="20" t="str">
        <f>IF(E$132="comprobar",COUNTIF(D121:D125,"x"),"")</f>
        <v/>
      </c>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row>
    <row r="123" spans="1:40" x14ac:dyDescent="0.2">
      <c r="B123" s="83" t="s">
        <v>91</v>
      </c>
      <c r="C123" s="96"/>
      <c r="D123" s="39"/>
      <c r="E123" s="54" t="s">
        <v>16</v>
      </c>
      <c r="F123" s="22" t="str">
        <f>IF(H123=-0.33,IF(H121=H$1,H121,""),"")</f>
        <v/>
      </c>
      <c r="G123" s="18"/>
      <c r="H123" s="23">
        <f t="shared" ref="H123" si="8">IF(H122=1,IF(H121=H$2,1,-0.33),0)</f>
        <v>0</v>
      </c>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row>
    <row r="124" spans="1:40" x14ac:dyDescent="0.2">
      <c r="B124" s="83" t="s">
        <v>92</v>
      </c>
      <c r="C124" s="96"/>
      <c r="D124" s="39"/>
      <c r="E124" s="54" t="s">
        <v>17</v>
      </c>
      <c r="F124" s="26"/>
      <c r="G124" s="18"/>
      <c r="H124" s="23"/>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row>
    <row r="125" spans="1:40" x14ac:dyDescent="0.2">
      <c r="B125" s="65"/>
      <c r="C125" s="66"/>
      <c r="D125" s="39"/>
      <c r="E125" s="54" t="s">
        <v>18</v>
      </c>
      <c r="F125" s="19"/>
      <c r="G125" s="18"/>
      <c r="H125" s="23"/>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row>
    <row r="126" spans="1:40" s="16" customFormat="1" x14ac:dyDescent="0.2">
      <c r="A126" s="4"/>
      <c r="B126" s="82" t="s">
        <v>65</v>
      </c>
      <c r="C126" s="95"/>
      <c r="D126" s="40"/>
      <c r="E126" s="53"/>
      <c r="F126" s="28"/>
      <c r="G126" s="27"/>
      <c r="H126" s="14"/>
    </row>
    <row r="127" spans="1:40" x14ac:dyDescent="0.2">
      <c r="B127" s="83" t="s">
        <v>93</v>
      </c>
      <c r="C127" s="64"/>
      <c r="D127" s="39"/>
      <c r="E127" s="54" t="s">
        <v>14</v>
      </c>
      <c r="F127" s="26"/>
      <c r="G127" s="25"/>
      <c r="H127" s="20" t="b">
        <f>IF(D128="x",H$2,H$1)</f>
        <v>0</v>
      </c>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row>
    <row r="128" spans="1:40" x14ac:dyDescent="0.2">
      <c r="B128" s="83" t="s">
        <v>104</v>
      </c>
      <c r="C128" s="96"/>
      <c r="D128" s="39"/>
      <c r="E128" s="54" t="s">
        <v>15</v>
      </c>
      <c r="F128" s="21" t="str">
        <f>IF(H129=1,IF(H127=H$2,H127,""),"")</f>
        <v/>
      </c>
      <c r="G128" s="25"/>
      <c r="H128" s="20" t="str">
        <f>IF(E$132="comprobar",COUNTIF(D127:D131,"x"),"")</f>
        <v/>
      </c>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row>
    <row r="129" spans="1:40" x14ac:dyDescent="0.2">
      <c r="B129" s="83" t="s">
        <v>94</v>
      </c>
      <c r="C129" s="96"/>
      <c r="D129" s="39"/>
      <c r="E129" s="54" t="s">
        <v>16</v>
      </c>
      <c r="F129" s="22" t="str">
        <f>IF(H129=-0.33,IF(H127=H$1,H127,""),"")</f>
        <v/>
      </c>
      <c r="G129" s="25"/>
      <c r="H129" s="23">
        <f t="shared" ref="H129" si="9">IF(H128=1,IF(H127=H$2,1,-0.33),0)</f>
        <v>0</v>
      </c>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row>
    <row r="130" spans="1:40" x14ac:dyDescent="0.2">
      <c r="B130" s="83" t="s">
        <v>95</v>
      </c>
      <c r="C130" s="96"/>
      <c r="D130" s="39"/>
      <c r="E130" s="54" t="s">
        <v>17</v>
      </c>
      <c r="F130" s="26"/>
      <c r="G130" s="25"/>
      <c r="H130" s="23"/>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row>
    <row r="131" spans="1:40" x14ac:dyDescent="0.2">
      <c r="B131" s="65"/>
      <c r="C131" s="66"/>
      <c r="D131" s="39"/>
      <c r="E131" s="54" t="s">
        <v>18</v>
      </c>
      <c r="F131" s="19"/>
      <c r="G131" s="25"/>
      <c r="H131" s="23"/>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row>
    <row r="132" spans="1:40" x14ac:dyDescent="0.2">
      <c r="B132" s="45"/>
      <c r="C132" s="42"/>
      <c r="D132" s="49"/>
      <c r="E132" s="55"/>
      <c r="F132" s="19"/>
      <c r="G132" s="18"/>
      <c r="H132" s="18"/>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row>
    <row r="133" spans="1:40" x14ac:dyDescent="0.2">
      <c r="B133" s="45"/>
      <c r="C133" s="17"/>
      <c r="D133" s="49"/>
      <c r="E133" s="58"/>
      <c r="F133" s="29" t="s">
        <v>8</v>
      </c>
      <c r="G133" s="18" t="s">
        <v>6</v>
      </c>
      <c r="H133" s="18" t="s">
        <v>7</v>
      </c>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row>
    <row r="134" spans="1:40" ht="20" x14ac:dyDescent="0.2">
      <c r="B134" s="45"/>
      <c r="C134" s="17"/>
      <c r="D134" s="69"/>
      <c r="E134" s="52"/>
      <c r="F134" s="30" t="str">
        <f>IF(E132="comprobar",H129+H123+H117+H111+H105+H99+H93+H87+H81+H75,"")</f>
        <v/>
      </c>
      <c r="G134" s="18">
        <f>10/2</f>
        <v>5</v>
      </c>
      <c r="H134" s="18"/>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row>
    <row r="135" spans="1:40" ht="17" thickBot="1" x14ac:dyDescent="0.25">
      <c r="B135" s="46"/>
      <c r="C135" s="31"/>
      <c r="D135" s="32"/>
      <c r="E135" s="56"/>
      <c r="F135" s="33" t="str">
        <f>IF(F134&gt;G134,G133,H133)</f>
        <v>APROBADO</v>
      </c>
      <c r="G135" s="18"/>
      <c r="H135" s="18"/>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row>
    <row r="136" spans="1:40" ht="29" x14ac:dyDescent="0.35">
      <c r="B136" s="62" t="s">
        <v>191</v>
      </c>
      <c r="C136" s="149" t="s">
        <v>10</v>
      </c>
      <c r="D136" s="70"/>
      <c r="E136" s="70"/>
      <c r="F136" s="71"/>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row>
    <row r="137" spans="1:40" s="47" customFormat="1" x14ac:dyDescent="0.2">
      <c r="A137" s="178"/>
      <c r="B137" s="82" t="s">
        <v>106</v>
      </c>
      <c r="C137" s="97"/>
      <c r="D137" s="74"/>
      <c r="E137" s="48"/>
      <c r="F137" s="75"/>
      <c r="G137" s="48"/>
      <c r="H137" s="48"/>
    </row>
    <row r="138" spans="1:40" x14ac:dyDescent="0.2">
      <c r="B138" s="83" t="s">
        <v>116</v>
      </c>
      <c r="C138" s="64"/>
      <c r="D138" s="39"/>
      <c r="E138" s="54" t="s">
        <v>14</v>
      </c>
      <c r="F138" s="26"/>
      <c r="G138" s="18"/>
      <c r="H138" s="20" t="b">
        <f>IF(D139="x",H$2,H$1)</f>
        <v>0</v>
      </c>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row>
    <row r="139" spans="1:40" x14ac:dyDescent="0.2">
      <c r="B139" s="83" t="s">
        <v>117</v>
      </c>
      <c r="C139" s="96"/>
      <c r="D139" s="39"/>
      <c r="E139" s="54" t="s">
        <v>15</v>
      </c>
      <c r="F139" s="21" t="str">
        <f>IF(H140=1,IF(H138=H$2,H138,""),"")</f>
        <v/>
      </c>
      <c r="G139" s="18"/>
      <c r="H139" s="20" t="str">
        <f>IF(E197="comprobar",COUNTIF(D138:D142,"x"),"")</f>
        <v/>
      </c>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row>
    <row r="140" spans="1:40" x14ac:dyDescent="0.2">
      <c r="B140" s="83" t="s">
        <v>118</v>
      </c>
      <c r="C140" s="96"/>
      <c r="D140" s="39"/>
      <c r="E140" s="54" t="s">
        <v>16</v>
      </c>
      <c r="F140" s="22" t="str">
        <f>IF(H140=-0.33,IF(H138=H$1,H138,""),"")</f>
        <v/>
      </c>
      <c r="G140" s="18"/>
      <c r="H140" s="23">
        <f t="shared" ref="H140:H194" si="10">IF(H139=1,IF(H138=H$2,1,-0.33),0)</f>
        <v>0</v>
      </c>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row>
    <row r="141" spans="1:40" x14ac:dyDescent="0.2">
      <c r="B141" s="83" t="s">
        <v>119</v>
      </c>
      <c r="C141" s="96"/>
      <c r="D141" s="39"/>
      <c r="E141" s="54" t="s">
        <v>17</v>
      </c>
      <c r="F141" s="26"/>
      <c r="G141" s="18"/>
      <c r="H141" s="23"/>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row>
    <row r="142" spans="1:40" x14ac:dyDescent="0.2">
      <c r="B142" s="65"/>
      <c r="C142" s="66"/>
      <c r="D142" s="39"/>
      <c r="E142" s="54" t="s">
        <v>18</v>
      </c>
      <c r="F142" s="19"/>
      <c r="G142" s="18"/>
      <c r="H142" s="23"/>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row>
    <row r="143" spans="1:40" s="4" customFormat="1" x14ac:dyDescent="0.2">
      <c r="B143" s="85"/>
      <c r="C143" s="86"/>
      <c r="D143" s="49"/>
      <c r="E143" s="54"/>
      <c r="F143" s="26"/>
      <c r="G143" s="18"/>
      <c r="H143" s="18"/>
    </row>
    <row r="144" spans="1:40" x14ac:dyDescent="0.2">
      <c r="B144" s="82" t="s">
        <v>107</v>
      </c>
      <c r="C144" s="97"/>
      <c r="D144" s="73"/>
      <c r="E144" s="54"/>
      <c r="F144" s="26"/>
      <c r="G144" s="18"/>
      <c r="H144" s="20" t="b">
        <f>IF(D148="x",H$2,H$1)</f>
        <v>0</v>
      </c>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row>
    <row r="145" spans="1:40" x14ac:dyDescent="0.2">
      <c r="B145" s="83" t="s">
        <v>120</v>
      </c>
      <c r="C145" s="64"/>
      <c r="D145" s="39"/>
      <c r="E145" s="54" t="s">
        <v>14</v>
      </c>
      <c r="F145" s="21" t="str">
        <f>IF(H146=1,IF(H144=H$2,H144,""),"")</f>
        <v/>
      </c>
      <c r="G145" s="18"/>
      <c r="H145" s="20" t="str">
        <f>IF(E$197="comprobar",COUNTIF(D145:D148,"x"),"")</f>
        <v/>
      </c>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row>
    <row r="146" spans="1:40" x14ac:dyDescent="0.2">
      <c r="B146" s="83" t="s">
        <v>121</v>
      </c>
      <c r="C146" s="96"/>
      <c r="D146" s="39"/>
      <c r="E146" s="54" t="s">
        <v>15</v>
      </c>
      <c r="F146" s="22" t="str">
        <f>IF(H146=-0.33,IF(H144=H$1,H144,""),"")</f>
        <v/>
      </c>
      <c r="G146" s="18"/>
      <c r="H146" s="23">
        <f t="shared" si="10"/>
        <v>0</v>
      </c>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row>
    <row r="147" spans="1:40" x14ac:dyDescent="0.2">
      <c r="B147" s="83" t="s">
        <v>122</v>
      </c>
      <c r="C147" s="96"/>
      <c r="D147" s="39"/>
      <c r="E147" s="54" t="s">
        <v>16</v>
      </c>
      <c r="F147" s="26"/>
      <c r="G147" s="18"/>
      <c r="H147" s="23"/>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row>
    <row r="148" spans="1:40" x14ac:dyDescent="0.2">
      <c r="B148" s="83" t="s">
        <v>123</v>
      </c>
      <c r="C148" s="96"/>
      <c r="D148" s="39"/>
      <c r="E148" s="54" t="s">
        <v>17</v>
      </c>
      <c r="F148" s="19"/>
      <c r="G148" s="18"/>
      <c r="H148" s="23"/>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row>
    <row r="149" spans="1:40" s="16" customFormat="1" x14ac:dyDescent="0.2">
      <c r="A149" s="178"/>
      <c r="B149" s="82" t="s">
        <v>108</v>
      </c>
      <c r="C149" s="97"/>
      <c r="D149" s="84"/>
      <c r="E149" s="53"/>
      <c r="F149" s="28"/>
      <c r="G149" s="14"/>
      <c r="H149" s="14"/>
    </row>
    <row r="150" spans="1:40" x14ac:dyDescent="0.2">
      <c r="B150" s="83" t="s">
        <v>124</v>
      </c>
      <c r="C150" s="64"/>
      <c r="D150" s="39"/>
      <c r="E150" s="54" t="s">
        <v>14</v>
      </c>
      <c r="F150" s="26"/>
      <c r="G150" s="18"/>
      <c r="H150" s="20" t="b">
        <f>IF(D152="x",H$2,H$1)</f>
        <v>0</v>
      </c>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row>
    <row r="151" spans="1:40" x14ac:dyDescent="0.2">
      <c r="B151" s="83" t="s">
        <v>125</v>
      </c>
      <c r="C151" s="96"/>
      <c r="D151" s="39"/>
      <c r="E151" s="54" t="s">
        <v>15</v>
      </c>
      <c r="F151" s="21" t="str">
        <f>IF(H152=1,IF(H150=H$2,H150,""),"")</f>
        <v/>
      </c>
      <c r="G151" s="18"/>
      <c r="H151" s="20" t="str">
        <f>IF(E$197="comprobar",COUNTIF(D150:D154,"x"),"")</f>
        <v/>
      </c>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row>
    <row r="152" spans="1:40" x14ac:dyDescent="0.2">
      <c r="B152" s="83" t="s">
        <v>126</v>
      </c>
      <c r="C152" s="96"/>
      <c r="D152" s="39"/>
      <c r="E152" s="54" t="s">
        <v>16</v>
      </c>
      <c r="F152" s="22" t="str">
        <f>IF(H152=-0.33,IF(H150=H$1,H150,""),"")</f>
        <v/>
      </c>
      <c r="G152" s="18"/>
      <c r="H152" s="23">
        <f t="shared" si="10"/>
        <v>0</v>
      </c>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row>
    <row r="153" spans="1:40" x14ac:dyDescent="0.2">
      <c r="B153" s="83" t="s">
        <v>127</v>
      </c>
      <c r="C153" s="96"/>
      <c r="D153" s="39"/>
      <c r="E153" s="54" t="s">
        <v>17</v>
      </c>
      <c r="F153" s="26"/>
      <c r="G153" s="18"/>
      <c r="H153" s="23"/>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row>
    <row r="154" spans="1:40" x14ac:dyDescent="0.2">
      <c r="B154" s="65"/>
      <c r="C154" s="66"/>
      <c r="D154" s="39"/>
      <c r="E154" s="54" t="s">
        <v>18</v>
      </c>
      <c r="F154" s="19"/>
      <c r="G154" s="18"/>
      <c r="H154" s="23"/>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row>
    <row r="155" spans="1:40" s="16" customFormat="1" x14ac:dyDescent="0.2">
      <c r="A155" s="4"/>
      <c r="B155" s="82" t="s">
        <v>109</v>
      </c>
      <c r="C155" s="97"/>
      <c r="D155" s="84"/>
      <c r="E155" s="53"/>
      <c r="F155" s="28"/>
      <c r="G155" s="14"/>
      <c r="H155" s="14"/>
    </row>
    <row r="156" spans="1:40" x14ac:dyDescent="0.2">
      <c r="B156" s="83" t="s">
        <v>128</v>
      </c>
      <c r="C156" s="64"/>
      <c r="D156" s="39"/>
      <c r="E156" s="54" t="s">
        <v>14</v>
      </c>
      <c r="F156" s="26"/>
      <c r="G156" s="18"/>
      <c r="H156" s="20" t="b">
        <f>IF(D158="x",H$2,H$1)</f>
        <v>0</v>
      </c>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row>
    <row r="157" spans="1:40" x14ac:dyDescent="0.2">
      <c r="B157" s="83" t="s">
        <v>129</v>
      </c>
      <c r="C157" s="96"/>
      <c r="D157" s="39"/>
      <c r="E157" s="54" t="s">
        <v>15</v>
      </c>
      <c r="F157" s="21" t="str">
        <f>IF(H158=1,IF(H156=H$2,H156,""),"")</f>
        <v/>
      </c>
      <c r="G157" s="18"/>
      <c r="H157" s="20" t="str">
        <f>IF(E$197="comprobar",COUNTIF(D156:D160,"x"),"")</f>
        <v/>
      </c>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row>
    <row r="158" spans="1:40" x14ac:dyDescent="0.2">
      <c r="B158" s="83" t="s">
        <v>130</v>
      </c>
      <c r="C158" s="96"/>
      <c r="D158" s="39"/>
      <c r="E158" s="54" t="s">
        <v>16</v>
      </c>
      <c r="F158" s="22" t="str">
        <f>IF(H158=-0.33,IF(H156=H$1,H156,""),"")</f>
        <v/>
      </c>
      <c r="G158" s="18"/>
      <c r="H158" s="23">
        <f t="shared" si="10"/>
        <v>0</v>
      </c>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row>
    <row r="159" spans="1:40" x14ac:dyDescent="0.2">
      <c r="B159" s="83" t="s">
        <v>131</v>
      </c>
      <c r="C159" s="96"/>
      <c r="D159" s="39"/>
      <c r="E159" s="54" t="s">
        <v>17</v>
      </c>
      <c r="F159" s="26"/>
      <c r="G159" s="18"/>
      <c r="H159" s="23"/>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row>
    <row r="160" spans="1:40" x14ac:dyDescent="0.2">
      <c r="B160" s="65"/>
      <c r="C160" s="66"/>
      <c r="D160" s="39"/>
      <c r="E160" s="54" t="s">
        <v>18</v>
      </c>
      <c r="F160" s="19"/>
      <c r="G160" s="18"/>
      <c r="H160" s="23"/>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row>
    <row r="161" spans="1:40" s="16" customFormat="1" x14ac:dyDescent="0.2">
      <c r="A161" s="4"/>
      <c r="B161" s="82" t="s">
        <v>110</v>
      </c>
      <c r="C161" s="97"/>
      <c r="D161" s="84"/>
      <c r="E161" s="53"/>
      <c r="F161" s="28"/>
      <c r="G161" s="14"/>
      <c r="H161" s="14"/>
    </row>
    <row r="162" spans="1:40" x14ac:dyDescent="0.2">
      <c r="B162" s="83" t="s">
        <v>132</v>
      </c>
      <c r="C162" s="64"/>
      <c r="D162" s="39"/>
      <c r="E162" s="54" t="s">
        <v>14</v>
      </c>
      <c r="F162" s="26"/>
      <c r="G162" s="18"/>
      <c r="H162" s="20" t="b">
        <f>IF(D162="x",H$2,H$1)</f>
        <v>0</v>
      </c>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row>
    <row r="163" spans="1:40" x14ac:dyDescent="0.2">
      <c r="B163" s="83" t="s">
        <v>133</v>
      </c>
      <c r="C163" s="96"/>
      <c r="D163" s="39"/>
      <c r="E163" s="54" t="s">
        <v>15</v>
      </c>
      <c r="F163" s="21" t="str">
        <f>IF(H164=1,IF(H162=H$2,H162,""),"")</f>
        <v/>
      </c>
      <c r="G163" s="18"/>
      <c r="H163" s="20" t="str">
        <f>IF(E$197="comprobar",COUNTIF(D162:D166,"x"),"")</f>
        <v/>
      </c>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row>
    <row r="164" spans="1:40" x14ac:dyDescent="0.2">
      <c r="B164" s="83" t="s">
        <v>134</v>
      </c>
      <c r="C164" s="96"/>
      <c r="D164" s="39"/>
      <c r="E164" s="54" t="s">
        <v>16</v>
      </c>
      <c r="F164" s="22" t="str">
        <f>IF(H164=-0.33,IF(H162=H$1,H162,""),"")</f>
        <v/>
      </c>
      <c r="G164" s="18"/>
      <c r="H164" s="23">
        <f t="shared" si="10"/>
        <v>0</v>
      </c>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row>
    <row r="165" spans="1:40" x14ac:dyDescent="0.2">
      <c r="B165" s="83" t="s">
        <v>135</v>
      </c>
      <c r="C165" s="96"/>
      <c r="D165" s="39"/>
      <c r="E165" s="54" t="s">
        <v>17</v>
      </c>
      <c r="F165" s="26"/>
      <c r="G165" s="18"/>
      <c r="H165" s="23"/>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row>
    <row r="166" spans="1:40" x14ac:dyDescent="0.2">
      <c r="B166" s="65"/>
      <c r="C166" s="66"/>
      <c r="D166" s="39"/>
      <c r="E166" s="54" t="s">
        <v>18</v>
      </c>
      <c r="F166" s="19"/>
      <c r="G166" s="18"/>
      <c r="H166" s="23"/>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row>
    <row r="167" spans="1:40" s="16" customFormat="1" x14ac:dyDescent="0.2">
      <c r="A167" s="4"/>
      <c r="B167" s="82" t="s">
        <v>111</v>
      </c>
      <c r="C167" s="97"/>
      <c r="D167" s="84"/>
      <c r="E167" s="53"/>
      <c r="F167" s="28"/>
      <c r="G167" s="14"/>
      <c r="H167" s="14"/>
    </row>
    <row r="168" spans="1:40" x14ac:dyDescent="0.2">
      <c r="B168" s="83" t="s">
        <v>136</v>
      </c>
      <c r="C168" s="64"/>
      <c r="D168" s="39"/>
      <c r="E168" s="54" t="s">
        <v>14</v>
      </c>
      <c r="F168" s="26"/>
      <c r="G168" s="18"/>
      <c r="H168" s="20" t="b">
        <f>IF(D170="x",H$2,H$1)</f>
        <v>0</v>
      </c>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row>
    <row r="169" spans="1:40" x14ac:dyDescent="0.2">
      <c r="B169" s="83" t="s">
        <v>137</v>
      </c>
      <c r="C169" s="96"/>
      <c r="D169" s="39"/>
      <c r="E169" s="54" t="s">
        <v>15</v>
      </c>
      <c r="F169" s="21" t="str">
        <f>IF(H170=1,IF(H168=H$2,H168,""),"")</f>
        <v/>
      </c>
      <c r="G169" s="18"/>
      <c r="H169" s="20" t="str">
        <f>IF(E$197="comprobar",COUNTIF(D168:D172,"x"),"")</f>
        <v/>
      </c>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row>
    <row r="170" spans="1:40" x14ac:dyDescent="0.2">
      <c r="B170" s="83" t="s">
        <v>138</v>
      </c>
      <c r="C170" s="96"/>
      <c r="D170" s="39"/>
      <c r="E170" s="54" t="s">
        <v>16</v>
      </c>
      <c r="F170" s="22" t="str">
        <f>IF(H170=-0.33,IF(H168=H$1,H168,""),"")</f>
        <v/>
      </c>
      <c r="G170" s="18"/>
      <c r="H170" s="23">
        <f t="shared" si="10"/>
        <v>0</v>
      </c>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row>
    <row r="171" spans="1:40" x14ac:dyDescent="0.2">
      <c r="B171" s="83" t="s">
        <v>139</v>
      </c>
      <c r="C171" s="96"/>
      <c r="D171" s="39"/>
      <c r="E171" s="54" t="s">
        <v>17</v>
      </c>
      <c r="F171" s="26"/>
      <c r="G171" s="18"/>
      <c r="H171" s="23"/>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row>
    <row r="172" spans="1:40" x14ac:dyDescent="0.2">
      <c r="B172" s="65"/>
      <c r="C172" s="66"/>
      <c r="D172" s="39"/>
      <c r="E172" s="54" t="s">
        <v>18</v>
      </c>
      <c r="F172" s="19"/>
      <c r="G172" s="18"/>
      <c r="H172" s="23"/>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row>
    <row r="173" spans="1:40" s="16" customFormat="1" x14ac:dyDescent="0.2">
      <c r="A173" s="4"/>
      <c r="B173" s="82" t="s">
        <v>112</v>
      </c>
      <c r="C173" s="97"/>
      <c r="D173" s="84"/>
      <c r="E173" s="53"/>
      <c r="F173" s="28"/>
      <c r="G173" s="14"/>
      <c r="H173" s="14"/>
    </row>
    <row r="174" spans="1:40" s="35" customFormat="1" x14ac:dyDescent="0.2">
      <c r="A174" s="4"/>
      <c r="B174" s="83" t="s">
        <v>140</v>
      </c>
      <c r="C174" s="64"/>
      <c r="D174" s="39"/>
      <c r="E174" s="54" t="s">
        <v>14</v>
      </c>
      <c r="F174" s="26"/>
      <c r="G174" s="18"/>
      <c r="H174" s="20" t="b">
        <f>IF(D175="x",H$2,H$1)</f>
        <v>0</v>
      </c>
      <c r="I174" s="50"/>
      <c r="J174" s="50"/>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c r="AI174" s="50"/>
      <c r="AJ174" s="50"/>
      <c r="AK174" s="50"/>
      <c r="AL174" s="50"/>
      <c r="AM174" s="50"/>
      <c r="AN174" s="50"/>
    </row>
    <row r="175" spans="1:40" x14ac:dyDescent="0.2">
      <c r="B175" s="83" t="s">
        <v>141</v>
      </c>
      <c r="C175" s="96"/>
      <c r="D175" s="39"/>
      <c r="E175" s="54" t="s">
        <v>15</v>
      </c>
      <c r="F175" s="21" t="str">
        <f>IF(H176=1,IF(H174=H$2,H174,""),"")</f>
        <v/>
      </c>
      <c r="G175" s="18"/>
      <c r="H175" s="20" t="str">
        <f>IF(E$197="comprobar",COUNTIF(D174:D178,"x"),"")</f>
        <v/>
      </c>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row>
    <row r="176" spans="1:40" x14ac:dyDescent="0.2">
      <c r="B176" s="83" t="s">
        <v>142</v>
      </c>
      <c r="C176" s="96"/>
      <c r="D176" s="39"/>
      <c r="E176" s="54" t="s">
        <v>16</v>
      </c>
      <c r="F176" s="22" t="str">
        <f>IF(H176=-0.33,IF(H174=H$1,H174,""),"")</f>
        <v/>
      </c>
      <c r="G176" s="18"/>
      <c r="H176" s="23">
        <f t="shared" si="10"/>
        <v>0</v>
      </c>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row>
    <row r="177" spans="1:40" x14ac:dyDescent="0.2">
      <c r="B177" s="83" t="s">
        <v>143</v>
      </c>
      <c r="C177" s="96"/>
      <c r="D177" s="39"/>
      <c r="E177" s="54" t="s">
        <v>17</v>
      </c>
      <c r="F177" s="26"/>
      <c r="G177" s="18"/>
      <c r="H177" s="23"/>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row>
    <row r="178" spans="1:40" x14ac:dyDescent="0.2">
      <c r="B178" s="65"/>
      <c r="C178" s="66"/>
      <c r="D178" s="39"/>
      <c r="E178" s="54" t="s">
        <v>18</v>
      </c>
      <c r="F178" s="19"/>
      <c r="G178" s="18"/>
      <c r="H178" s="23"/>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row>
    <row r="179" spans="1:40" s="16" customFormat="1" x14ac:dyDescent="0.2">
      <c r="A179" s="4"/>
      <c r="B179" s="82" t="s">
        <v>113</v>
      </c>
      <c r="C179" s="97"/>
      <c r="D179" s="40"/>
      <c r="E179" s="53"/>
      <c r="F179" s="28"/>
      <c r="G179" s="14"/>
      <c r="H179" s="14"/>
    </row>
    <row r="180" spans="1:40" x14ac:dyDescent="0.2">
      <c r="B180" s="83" t="s">
        <v>144</v>
      </c>
      <c r="C180" s="64"/>
      <c r="D180" s="39"/>
      <c r="E180" s="54" t="s">
        <v>14</v>
      </c>
      <c r="F180" s="26"/>
      <c r="G180" s="18"/>
      <c r="H180" s="20" t="b">
        <f>IF(D180="x",H$2,H$1)</f>
        <v>0</v>
      </c>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row>
    <row r="181" spans="1:40" x14ac:dyDescent="0.2">
      <c r="B181" s="83" t="s">
        <v>145</v>
      </c>
      <c r="C181" s="96"/>
      <c r="D181" s="39"/>
      <c r="E181" s="54" t="s">
        <v>15</v>
      </c>
      <c r="F181" s="21" t="str">
        <f>IF(H182=1,IF(H180=H$2,H180,""),"")</f>
        <v/>
      </c>
      <c r="G181" s="18"/>
      <c r="H181" s="20" t="str">
        <f>IF(E$197="comprobar",COUNTIF(D180:D184,"x"),"")</f>
        <v/>
      </c>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row>
    <row r="182" spans="1:40" x14ac:dyDescent="0.2">
      <c r="B182" s="83" t="s">
        <v>146</v>
      </c>
      <c r="C182" s="96"/>
      <c r="D182" s="39"/>
      <c r="E182" s="54" t="s">
        <v>16</v>
      </c>
      <c r="F182" s="22" t="str">
        <f>IF(H182=-0.33,IF(H180=H$1,H180,""),"")</f>
        <v/>
      </c>
      <c r="G182" s="18"/>
      <c r="H182" s="23">
        <f t="shared" si="10"/>
        <v>0</v>
      </c>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row>
    <row r="183" spans="1:40" x14ac:dyDescent="0.2">
      <c r="B183" s="83" t="s">
        <v>147</v>
      </c>
      <c r="C183" s="96"/>
      <c r="D183" s="39"/>
      <c r="E183" s="54" t="s">
        <v>17</v>
      </c>
      <c r="F183" s="26"/>
      <c r="G183" s="18"/>
      <c r="H183" s="23"/>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row>
    <row r="184" spans="1:40" x14ac:dyDescent="0.2">
      <c r="B184" s="65"/>
      <c r="C184" s="66"/>
      <c r="D184" s="39"/>
      <c r="E184" s="54" t="s">
        <v>18</v>
      </c>
      <c r="F184" s="19"/>
      <c r="G184" s="18"/>
      <c r="H184" s="23"/>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row>
    <row r="185" spans="1:40" s="16" customFormat="1" x14ac:dyDescent="0.2">
      <c r="A185" s="4"/>
      <c r="B185" s="82" t="s">
        <v>114</v>
      </c>
      <c r="C185" s="97"/>
      <c r="D185" s="40"/>
      <c r="E185" s="53"/>
      <c r="F185" s="28"/>
      <c r="G185" s="14"/>
      <c r="H185" s="14"/>
    </row>
    <row r="186" spans="1:40" x14ac:dyDescent="0.2">
      <c r="B186" s="83" t="s">
        <v>148</v>
      </c>
      <c r="C186" s="64"/>
      <c r="D186" s="39"/>
      <c r="E186" s="54" t="s">
        <v>14</v>
      </c>
      <c r="F186" s="26"/>
      <c r="G186" s="18"/>
      <c r="H186" s="20" t="b">
        <f>IF(D187="x",H$2,H$1)</f>
        <v>0</v>
      </c>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row>
    <row r="187" spans="1:40" x14ac:dyDescent="0.2">
      <c r="B187" s="83" t="s">
        <v>149</v>
      </c>
      <c r="C187" s="96"/>
      <c r="D187" s="39"/>
      <c r="E187" s="54" t="s">
        <v>15</v>
      </c>
      <c r="F187" s="21" t="str">
        <f>IF(H188=1,IF(H186=H$2,H186,""),"")</f>
        <v/>
      </c>
      <c r="G187" s="18"/>
      <c r="H187" s="20" t="str">
        <f>IF(E$197="comprobar",COUNTIF(D186:D190,"x"),"")</f>
        <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row>
    <row r="188" spans="1:40" x14ac:dyDescent="0.2">
      <c r="B188" s="83" t="s">
        <v>150</v>
      </c>
      <c r="C188" s="96"/>
      <c r="D188" s="39"/>
      <c r="E188" s="54" t="s">
        <v>16</v>
      </c>
      <c r="F188" s="22" t="str">
        <f>IF(H188=-0.33,IF(H186=H$1,H186,""),"")</f>
        <v/>
      </c>
      <c r="G188" s="18"/>
      <c r="H188" s="23">
        <f t="shared" si="10"/>
        <v>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row>
    <row r="189" spans="1:40" x14ac:dyDescent="0.2">
      <c r="B189" s="83" t="s">
        <v>151</v>
      </c>
      <c r="C189" s="96"/>
      <c r="D189" s="39"/>
      <c r="E189" s="54" t="s">
        <v>17</v>
      </c>
      <c r="F189" s="26"/>
      <c r="G189" s="18"/>
      <c r="H189" s="23"/>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row>
    <row r="190" spans="1:40" x14ac:dyDescent="0.2">
      <c r="B190" s="65"/>
      <c r="C190" s="66"/>
      <c r="D190" s="39"/>
      <c r="E190" s="54" t="s">
        <v>18</v>
      </c>
      <c r="F190" s="19"/>
      <c r="G190" s="18"/>
      <c r="H190" s="23"/>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row>
    <row r="191" spans="1:40" s="16" customFormat="1" x14ac:dyDescent="0.2">
      <c r="A191" s="4"/>
      <c r="B191" s="80" t="s">
        <v>115</v>
      </c>
      <c r="C191" s="97"/>
      <c r="D191" s="40"/>
      <c r="E191" s="53"/>
      <c r="F191" s="28"/>
      <c r="G191" s="27"/>
      <c r="H191" s="14"/>
    </row>
    <row r="192" spans="1:40" x14ac:dyDescent="0.2">
      <c r="B192" s="83" t="s">
        <v>152</v>
      </c>
      <c r="C192" s="64"/>
      <c r="D192" s="39"/>
      <c r="E192" s="54" t="s">
        <v>14</v>
      </c>
      <c r="F192" s="26"/>
      <c r="G192" s="25"/>
      <c r="H192" s="20" t="b">
        <f>IF(D192="x",H$2,H$1)</f>
        <v>0</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row>
    <row r="193" spans="1:40" x14ac:dyDescent="0.2">
      <c r="B193" s="83" t="s">
        <v>153</v>
      </c>
      <c r="C193" s="96"/>
      <c r="D193" s="39"/>
      <c r="E193" s="54" t="s">
        <v>15</v>
      </c>
      <c r="F193" s="21" t="str">
        <f>IF(H194=1,IF(H192=H$2,H192,""),"")</f>
        <v/>
      </c>
      <c r="G193" s="25"/>
      <c r="H193" s="20" t="str">
        <f>IF(E$197="comprobar",COUNTIF(D192:D196,"x"),"")</f>
        <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row>
    <row r="194" spans="1:40" x14ac:dyDescent="0.2">
      <c r="B194" s="83" t="s">
        <v>154</v>
      </c>
      <c r="C194" s="96"/>
      <c r="D194" s="39"/>
      <c r="E194" s="54" t="s">
        <v>16</v>
      </c>
      <c r="F194" s="22" t="str">
        <f>IF(H194=-0.33,IF(H192=H$1,H192,""),"")</f>
        <v/>
      </c>
      <c r="G194" s="25"/>
      <c r="H194" s="23">
        <f t="shared" si="10"/>
        <v>0</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row>
    <row r="195" spans="1:40" x14ac:dyDescent="0.2">
      <c r="B195" s="83" t="s">
        <v>155</v>
      </c>
      <c r="C195" s="96"/>
      <c r="D195" s="39"/>
      <c r="E195" s="54" t="s">
        <v>17</v>
      </c>
      <c r="F195" s="26"/>
      <c r="G195" s="25"/>
      <c r="H195" s="23"/>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row>
    <row r="196" spans="1:40" x14ac:dyDescent="0.2">
      <c r="B196" s="43"/>
      <c r="C196" s="8"/>
      <c r="D196" s="39"/>
      <c r="E196" s="54" t="s">
        <v>18</v>
      </c>
      <c r="F196" s="19"/>
      <c r="G196" s="25"/>
      <c r="H196" s="23"/>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row>
    <row r="197" spans="1:40" x14ac:dyDescent="0.2">
      <c r="B197" s="45"/>
      <c r="C197" s="42"/>
      <c r="D197" s="49"/>
      <c r="E197" s="55"/>
      <c r="F197" s="19"/>
      <c r="G197" s="18"/>
      <c r="H197" s="18"/>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row>
    <row r="198" spans="1:40" x14ac:dyDescent="0.2">
      <c r="B198" s="45"/>
      <c r="C198" s="17"/>
      <c r="D198" s="49"/>
      <c r="E198" s="58"/>
      <c r="F198" s="29" t="s">
        <v>8</v>
      </c>
      <c r="G198" s="18" t="s">
        <v>6</v>
      </c>
      <c r="H198" s="18" t="s">
        <v>7</v>
      </c>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row>
    <row r="199" spans="1:40" ht="20" x14ac:dyDescent="0.2">
      <c r="B199" s="45"/>
      <c r="C199" s="17"/>
      <c r="D199" s="69"/>
      <c r="E199" s="52"/>
      <c r="F199" s="30" t="str">
        <f>IF(E197="comprobar",H194+H188+H182+H176+H170+H164+H158+H152+H146+H140,"")</f>
        <v/>
      </c>
      <c r="G199" s="18">
        <f>10/2</f>
        <v>5</v>
      </c>
      <c r="H199" s="18"/>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row>
    <row r="200" spans="1:40" ht="17" thickBot="1" x14ac:dyDescent="0.25">
      <c r="B200" s="46"/>
      <c r="C200" s="31"/>
      <c r="D200" s="32"/>
      <c r="E200" s="56"/>
      <c r="F200" s="33" t="str">
        <f>IF(F199&gt;G199,G198,H198)</f>
        <v>APROBADO</v>
      </c>
      <c r="G200" s="18"/>
      <c r="H200" s="18"/>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row>
    <row r="201" spans="1:40" ht="29" x14ac:dyDescent="0.35">
      <c r="B201" s="62" t="s">
        <v>191</v>
      </c>
      <c r="C201" s="149" t="s">
        <v>11</v>
      </c>
      <c r="D201" s="70"/>
      <c r="E201" s="70"/>
      <c r="F201" s="71"/>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row>
    <row r="202" spans="1:40" s="16" customFormat="1" ht="19" customHeight="1" x14ac:dyDescent="0.2">
      <c r="A202" s="4"/>
      <c r="B202" s="82" t="s">
        <v>156</v>
      </c>
      <c r="C202" s="97"/>
      <c r="D202" s="40"/>
      <c r="E202" s="53"/>
      <c r="F202" s="28"/>
      <c r="G202" s="14"/>
      <c r="H202" s="14"/>
    </row>
    <row r="203" spans="1:40" x14ac:dyDescent="0.2">
      <c r="B203" s="83" t="s">
        <v>166</v>
      </c>
      <c r="C203" s="64"/>
      <c r="D203" s="39"/>
      <c r="E203" s="54" t="s">
        <v>14</v>
      </c>
      <c r="F203" s="26"/>
      <c r="G203" s="18"/>
      <c r="H203" s="20" t="b">
        <f>IF(D205="x",H$2,H$1)</f>
        <v>0</v>
      </c>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row>
    <row r="204" spans="1:40" x14ac:dyDescent="0.2">
      <c r="B204" s="83" t="s">
        <v>167</v>
      </c>
      <c r="C204" s="96"/>
      <c r="D204" s="39"/>
      <c r="E204" s="54" t="s">
        <v>15</v>
      </c>
      <c r="F204" s="21" t="str">
        <f>IF(H205=1,IF(H203=H$2,H203,""),"")</f>
        <v/>
      </c>
      <c r="G204" s="18"/>
      <c r="H204" s="20" t="str">
        <f>IF(E262="comprobar",COUNTIF(D203:D207,"x"),"")</f>
        <v/>
      </c>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row>
    <row r="205" spans="1:40" x14ac:dyDescent="0.2">
      <c r="B205" s="83" t="s">
        <v>168</v>
      </c>
      <c r="C205" s="96"/>
      <c r="D205" s="39"/>
      <c r="E205" s="54" t="s">
        <v>16</v>
      </c>
      <c r="F205" s="22" t="str">
        <f>IF(H205=-0.33,IF(H203=H$1,H203,""),"")</f>
        <v/>
      </c>
      <c r="G205" s="18"/>
      <c r="H205" s="23">
        <f>IF(H204=1,IF(H203=H$2,1,-0.33),0)</f>
        <v>0</v>
      </c>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row>
    <row r="206" spans="1:40" x14ac:dyDescent="0.2">
      <c r="B206" s="83" t="s">
        <v>169</v>
      </c>
      <c r="C206" s="96"/>
      <c r="D206" s="39"/>
      <c r="E206" s="54" t="s">
        <v>17</v>
      </c>
      <c r="F206" s="26"/>
      <c r="G206" s="18"/>
      <c r="H206" s="23"/>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row>
    <row r="207" spans="1:40" x14ac:dyDescent="0.2">
      <c r="B207" s="65"/>
      <c r="C207" s="66"/>
      <c r="D207" s="39"/>
      <c r="E207" s="54" t="s">
        <v>18</v>
      </c>
      <c r="F207" s="19"/>
      <c r="G207" s="18"/>
      <c r="H207" s="23"/>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row>
    <row r="208" spans="1:40" s="16" customFormat="1" x14ac:dyDescent="0.2">
      <c r="A208" s="4"/>
      <c r="B208" s="82" t="s">
        <v>157</v>
      </c>
      <c r="C208" s="97"/>
      <c r="D208" s="40"/>
      <c r="E208" s="53"/>
      <c r="F208" s="28"/>
      <c r="G208" s="14"/>
      <c r="H208" s="14"/>
    </row>
    <row r="209" spans="1:40" x14ac:dyDescent="0.2">
      <c r="B209" s="83" t="s">
        <v>170</v>
      </c>
      <c r="C209" s="64"/>
      <c r="D209" s="39"/>
      <c r="E209" s="54" t="s">
        <v>14</v>
      </c>
      <c r="F209" s="26"/>
      <c r="G209" s="18"/>
      <c r="H209" s="20" t="b">
        <f>IF(D210="x",H$2,H$1)</f>
        <v>0</v>
      </c>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row>
    <row r="210" spans="1:40" x14ac:dyDescent="0.2">
      <c r="B210" s="83" t="s">
        <v>171</v>
      </c>
      <c r="C210" s="96"/>
      <c r="D210" s="39"/>
      <c r="E210" s="54" t="s">
        <v>15</v>
      </c>
      <c r="F210" s="21" t="str">
        <f>IF(H211=1,IF(H209=H$2,H209,""),"")</f>
        <v/>
      </c>
      <c r="G210" s="18"/>
      <c r="H210" s="20" t="str">
        <f>IF(E$262="comprobar",COUNTIF(D209:D213,"x"),"")</f>
        <v/>
      </c>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row>
    <row r="211" spans="1:40" x14ac:dyDescent="0.2">
      <c r="B211" s="83" t="s">
        <v>172</v>
      </c>
      <c r="C211" s="96"/>
      <c r="D211" s="39"/>
      <c r="E211" s="54" t="s">
        <v>16</v>
      </c>
      <c r="F211" s="22" t="str">
        <f>IF(H211=-0.33,IF(H209=H$1,H209,""),"")</f>
        <v/>
      </c>
      <c r="G211" s="18"/>
      <c r="H211" s="23">
        <f t="shared" ref="H211" si="11">IF(H210=1,IF(H209=H$2,1,-0.33),0)</f>
        <v>0</v>
      </c>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row>
    <row r="212" spans="1:40" x14ac:dyDescent="0.2">
      <c r="B212" s="83" t="s">
        <v>169</v>
      </c>
      <c r="C212" s="96"/>
      <c r="D212" s="39"/>
      <c r="E212" s="54" t="s">
        <v>17</v>
      </c>
      <c r="F212" s="26"/>
      <c r="G212" s="18"/>
      <c r="H212" s="23"/>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row>
    <row r="213" spans="1:40" x14ac:dyDescent="0.2">
      <c r="B213" s="65"/>
      <c r="C213" s="66"/>
      <c r="D213" s="39"/>
      <c r="E213" s="54" t="s">
        <v>18</v>
      </c>
      <c r="F213" s="19"/>
      <c r="G213" s="18"/>
      <c r="H213" s="23"/>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row>
    <row r="214" spans="1:40" s="16" customFormat="1" x14ac:dyDescent="0.2">
      <c r="A214" s="4"/>
      <c r="B214" s="82" t="s">
        <v>158</v>
      </c>
      <c r="C214" s="97"/>
      <c r="D214" s="40"/>
      <c r="E214" s="53"/>
      <c r="F214" s="28"/>
      <c r="G214" s="14"/>
      <c r="H214" s="14"/>
    </row>
    <row r="215" spans="1:40" x14ac:dyDescent="0.2">
      <c r="B215" s="83" t="s">
        <v>170</v>
      </c>
      <c r="C215" s="64"/>
      <c r="D215" s="39"/>
      <c r="E215" s="54" t="s">
        <v>14</v>
      </c>
      <c r="F215" s="26"/>
      <c r="G215" s="18"/>
      <c r="H215" s="20" t="b">
        <f>IF(D215="x",H$2,H$1)</f>
        <v>0</v>
      </c>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row>
    <row r="216" spans="1:40" x14ac:dyDescent="0.2">
      <c r="B216" s="83" t="s">
        <v>171</v>
      </c>
      <c r="C216" s="96"/>
      <c r="D216" s="39"/>
      <c r="E216" s="54" t="s">
        <v>15</v>
      </c>
      <c r="F216" s="21" t="str">
        <f>IF(H217=1,IF(H215=H$2,H215,""),"")</f>
        <v/>
      </c>
      <c r="G216" s="18"/>
      <c r="H216" s="20" t="str">
        <f>IF(E$262="comprobar",COUNTIF(D215:D219,"x"),"")</f>
        <v/>
      </c>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row>
    <row r="217" spans="1:40" x14ac:dyDescent="0.2">
      <c r="B217" s="83" t="s">
        <v>172</v>
      </c>
      <c r="C217" s="96"/>
      <c r="D217" s="39"/>
      <c r="E217" s="54" t="s">
        <v>16</v>
      </c>
      <c r="F217" s="22" t="str">
        <f>IF(H217=-0.33,IF(H215=H$1,H215,""),"")</f>
        <v/>
      </c>
      <c r="G217" s="18"/>
      <c r="H217" s="23">
        <f t="shared" ref="H217" si="12">IF(H216=1,IF(H215=H$2,1,-0.33),0)</f>
        <v>0</v>
      </c>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row>
    <row r="218" spans="1:40" x14ac:dyDescent="0.2">
      <c r="B218" s="83" t="s">
        <v>169</v>
      </c>
      <c r="C218" s="96"/>
      <c r="D218" s="39"/>
      <c r="E218" s="54" t="s">
        <v>17</v>
      </c>
      <c r="F218" s="26"/>
      <c r="G218" s="18"/>
      <c r="H218" s="23"/>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row>
    <row r="219" spans="1:40" x14ac:dyDescent="0.2">
      <c r="B219" s="65"/>
      <c r="C219" s="66"/>
      <c r="D219" s="39"/>
      <c r="E219" s="54" t="s">
        <v>18</v>
      </c>
      <c r="F219" s="19"/>
      <c r="G219" s="18"/>
      <c r="H219" s="23"/>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row>
    <row r="220" spans="1:40" s="16" customFormat="1" x14ac:dyDescent="0.2">
      <c r="A220" s="4"/>
      <c r="B220" s="82" t="s">
        <v>159</v>
      </c>
      <c r="C220" s="97"/>
      <c r="D220" s="40"/>
      <c r="E220" s="53"/>
      <c r="F220" s="28"/>
      <c r="G220" s="14"/>
      <c r="H220" s="14"/>
    </row>
    <row r="221" spans="1:40" x14ac:dyDescent="0.2">
      <c r="B221" s="83" t="s">
        <v>170</v>
      </c>
      <c r="C221" s="64"/>
      <c r="D221" s="39"/>
      <c r="E221" s="54" t="s">
        <v>14</v>
      </c>
      <c r="F221" s="26"/>
      <c r="G221" s="18"/>
      <c r="H221" s="20" t="b">
        <f>IF(D223="x",H$2,H$1)</f>
        <v>0</v>
      </c>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row>
    <row r="222" spans="1:40" x14ac:dyDescent="0.2">
      <c r="B222" s="83" t="s">
        <v>171</v>
      </c>
      <c r="C222" s="96"/>
      <c r="D222" s="39"/>
      <c r="E222" s="54" t="s">
        <v>15</v>
      </c>
      <c r="F222" s="21" t="str">
        <f>IF(H223=1,IF(H221=H$2,H221,""),"")</f>
        <v/>
      </c>
      <c r="G222" s="18"/>
      <c r="H222" s="20" t="str">
        <f>IF(E$262="comprobar",COUNTIF(D221:D225,"x"),"")</f>
        <v/>
      </c>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row>
    <row r="223" spans="1:40" x14ac:dyDescent="0.2">
      <c r="B223" s="83" t="s">
        <v>172</v>
      </c>
      <c r="C223" s="96"/>
      <c r="D223" s="39"/>
      <c r="E223" s="54" t="s">
        <v>16</v>
      </c>
      <c r="F223" s="22" t="str">
        <f>IF(H223=-0.33,IF(H221=H$1,H221,""),"")</f>
        <v/>
      </c>
      <c r="G223" s="18"/>
      <c r="H223" s="23">
        <f t="shared" ref="H223" si="13">IF(H222=1,IF(H221=H$2,1,-0.33),0)</f>
        <v>0</v>
      </c>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row>
    <row r="224" spans="1:40" x14ac:dyDescent="0.2">
      <c r="B224" s="83" t="s">
        <v>169</v>
      </c>
      <c r="C224" s="96"/>
      <c r="D224" s="39"/>
      <c r="E224" s="54" t="s">
        <v>17</v>
      </c>
      <c r="F224" s="26"/>
      <c r="G224" s="18"/>
      <c r="H224" s="23"/>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row>
    <row r="225" spans="1:40" x14ac:dyDescent="0.2">
      <c r="B225" s="65"/>
      <c r="C225" s="66"/>
      <c r="D225" s="39"/>
      <c r="E225" s="54" t="s">
        <v>18</v>
      </c>
      <c r="F225" s="19"/>
      <c r="G225" s="18"/>
      <c r="H225" s="23"/>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row>
    <row r="226" spans="1:40" s="16" customFormat="1" x14ac:dyDescent="0.2">
      <c r="A226" s="4"/>
      <c r="B226" s="82" t="s">
        <v>160</v>
      </c>
      <c r="C226" s="97"/>
      <c r="D226" s="40"/>
      <c r="E226" s="53"/>
      <c r="F226" s="28"/>
      <c r="G226" s="14"/>
      <c r="H226" s="14"/>
    </row>
    <row r="227" spans="1:40" x14ac:dyDescent="0.2">
      <c r="B227" s="83" t="s">
        <v>173</v>
      </c>
      <c r="C227" s="64"/>
      <c r="D227" s="39"/>
      <c r="E227" s="54" t="s">
        <v>14</v>
      </c>
      <c r="F227" s="26"/>
      <c r="G227" s="18"/>
      <c r="H227" s="20" t="b">
        <f>IF(D227="x",H$2,H$1)</f>
        <v>0</v>
      </c>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row>
    <row r="228" spans="1:40" x14ac:dyDescent="0.2">
      <c r="B228" s="83" t="s">
        <v>174</v>
      </c>
      <c r="C228" s="96"/>
      <c r="D228" s="39"/>
      <c r="E228" s="54" t="s">
        <v>15</v>
      </c>
      <c r="F228" s="21" t="str">
        <f>IF(H229=1,IF(H227=H$2,H227,""),"")</f>
        <v/>
      </c>
      <c r="G228" s="18"/>
      <c r="H228" s="20" t="str">
        <f>IF(E$262="comprobar",COUNTIF(D227:D231,"x"),"")</f>
        <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row>
    <row r="229" spans="1:40" x14ac:dyDescent="0.2">
      <c r="B229" s="83" t="s">
        <v>175</v>
      </c>
      <c r="C229" s="96"/>
      <c r="D229" s="39"/>
      <c r="E229" s="54" t="s">
        <v>16</v>
      </c>
      <c r="F229" s="22" t="str">
        <f>IF(H229=-0.33,IF(H227=H$1,H227,""),"")</f>
        <v/>
      </c>
      <c r="G229" s="18"/>
      <c r="H229" s="23">
        <f t="shared" ref="H229" si="14">IF(H228=1,IF(H227=H$2,1,-0.33),0)</f>
        <v>0</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row>
    <row r="230" spans="1:40" x14ac:dyDescent="0.2">
      <c r="B230" s="83" t="s">
        <v>169</v>
      </c>
      <c r="C230" s="96"/>
      <c r="D230" s="39"/>
      <c r="E230" s="54" t="s">
        <v>17</v>
      </c>
      <c r="F230" s="26"/>
      <c r="G230" s="18"/>
      <c r="H230" s="23"/>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row>
    <row r="231" spans="1:40" x14ac:dyDescent="0.2">
      <c r="B231" s="65"/>
      <c r="C231" s="66"/>
      <c r="D231" s="39"/>
      <c r="E231" s="54" t="s">
        <v>18</v>
      </c>
      <c r="F231" s="19"/>
      <c r="G231" s="18"/>
      <c r="H231" s="23"/>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row>
    <row r="232" spans="1:40" s="16" customFormat="1" x14ac:dyDescent="0.2">
      <c r="A232" s="4"/>
      <c r="B232" s="82" t="s">
        <v>161</v>
      </c>
      <c r="C232" s="97"/>
      <c r="D232" s="40"/>
      <c r="E232" s="53"/>
      <c r="F232" s="28"/>
      <c r="G232" s="14"/>
      <c r="H232" s="14"/>
    </row>
    <row r="233" spans="1:40" x14ac:dyDescent="0.2">
      <c r="B233" s="83" t="s">
        <v>176</v>
      </c>
      <c r="C233" s="64"/>
      <c r="D233" s="39"/>
      <c r="E233" s="54" t="s">
        <v>14</v>
      </c>
      <c r="F233" s="26"/>
      <c r="G233" s="18"/>
      <c r="H233" s="20" t="b">
        <f>IF(D235="x",H$2,H$1)</f>
        <v>0</v>
      </c>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row>
    <row r="234" spans="1:40" x14ac:dyDescent="0.2">
      <c r="B234" s="83" t="s">
        <v>177</v>
      </c>
      <c r="C234" s="96"/>
      <c r="D234" s="39"/>
      <c r="E234" s="54" t="s">
        <v>15</v>
      </c>
      <c r="F234" s="21" t="str">
        <f>IF(H235=1,IF(H233=H$2,H233,""),"")</f>
        <v/>
      </c>
      <c r="G234" s="18"/>
      <c r="H234" s="20" t="str">
        <f>IF(E$262="comprobar",COUNTIF(D233:D237,"x"),"")</f>
        <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row>
    <row r="235" spans="1:40" x14ac:dyDescent="0.2">
      <c r="B235" s="83" t="s">
        <v>175</v>
      </c>
      <c r="C235" s="96"/>
      <c r="D235" s="39"/>
      <c r="E235" s="54" t="s">
        <v>16</v>
      </c>
      <c r="F235" s="22" t="str">
        <f>IF(H235=-0.33,IF(H233=H$1,H233,""),"")</f>
        <v/>
      </c>
      <c r="G235" s="18"/>
      <c r="H235" s="23">
        <f t="shared" ref="H235" si="15">IF(H234=1,IF(H233=H$2,1,-0.33),0)</f>
        <v>0</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row>
    <row r="236" spans="1:40" x14ac:dyDescent="0.2">
      <c r="B236" s="83" t="s">
        <v>169</v>
      </c>
      <c r="C236" s="96"/>
      <c r="D236" s="39"/>
      <c r="E236" s="54" t="s">
        <v>17</v>
      </c>
      <c r="F236" s="26"/>
      <c r="G236" s="18"/>
      <c r="H236" s="23"/>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row>
    <row r="237" spans="1:40" x14ac:dyDescent="0.2">
      <c r="B237" s="65"/>
      <c r="C237" s="66"/>
      <c r="D237" s="39"/>
      <c r="E237" s="54" t="s">
        <v>18</v>
      </c>
      <c r="F237" s="19"/>
      <c r="G237" s="18"/>
      <c r="H237" s="23"/>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row>
    <row r="238" spans="1:40" s="16" customFormat="1" x14ac:dyDescent="0.2">
      <c r="A238" s="4"/>
      <c r="B238" s="82" t="s">
        <v>162</v>
      </c>
      <c r="C238" s="97"/>
      <c r="D238" s="40"/>
      <c r="E238" s="53"/>
      <c r="F238" s="28"/>
      <c r="G238" s="14"/>
      <c r="H238" s="14"/>
    </row>
    <row r="239" spans="1:40" x14ac:dyDescent="0.2">
      <c r="B239" s="83" t="s">
        <v>176</v>
      </c>
      <c r="C239" s="64"/>
      <c r="D239" s="39"/>
      <c r="E239" s="54" t="s">
        <v>14</v>
      </c>
      <c r="F239" s="26"/>
      <c r="G239" s="18"/>
      <c r="H239" s="20" t="b">
        <f>IF(D240="x",H$2,H$1)</f>
        <v>0</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row>
    <row r="240" spans="1:40" x14ac:dyDescent="0.2">
      <c r="B240" s="83" t="s">
        <v>178</v>
      </c>
      <c r="C240" s="96"/>
      <c r="D240" s="39"/>
      <c r="E240" s="54" t="s">
        <v>15</v>
      </c>
      <c r="F240" s="21" t="str">
        <f>IF(H241=1,IF(H239=H$2,H239,""),"")</f>
        <v/>
      </c>
      <c r="G240" s="18"/>
      <c r="H240" s="20" t="str">
        <f>IF(E$262="comprobar",COUNTIF(D239:D243,"x"),"")</f>
        <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row>
    <row r="241" spans="1:40" x14ac:dyDescent="0.2">
      <c r="B241" s="83" t="s">
        <v>175</v>
      </c>
      <c r="C241" s="96"/>
      <c r="D241" s="39"/>
      <c r="E241" s="54" t="s">
        <v>16</v>
      </c>
      <c r="F241" s="22" t="str">
        <f>IF(H241=-0.33,IF(H239=H$1,H239,""),"")</f>
        <v/>
      </c>
      <c r="G241" s="18"/>
      <c r="H241" s="23">
        <f t="shared" ref="H241" si="16">IF(H240=1,IF(H239=H$2,1,-0.33),0)</f>
        <v>0</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row>
    <row r="242" spans="1:40" x14ac:dyDescent="0.2">
      <c r="B242" s="83" t="s">
        <v>179</v>
      </c>
      <c r="C242" s="96"/>
      <c r="D242" s="39"/>
      <c r="E242" s="54" t="s">
        <v>17</v>
      </c>
      <c r="F242" s="26"/>
      <c r="G242" s="18"/>
      <c r="H242" s="23"/>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row>
    <row r="243" spans="1:40" x14ac:dyDescent="0.2">
      <c r="B243" s="65"/>
      <c r="C243" s="66"/>
      <c r="D243" s="39"/>
      <c r="E243" s="54" t="s">
        <v>18</v>
      </c>
      <c r="F243" s="19"/>
      <c r="G243" s="18"/>
      <c r="H243" s="23"/>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row>
    <row r="244" spans="1:40" s="16" customFormat="1" x14ac:dyDescent="0.2">
      <c r="A244" s="4"/>
      <c r="B244" s="82" t="s">
        <v>163</v>
      </c>
      <c r="C244" s="97"/>
      <c r="D244" s="40"/>
      <c r="E244" s="53"/>
      <c r="F244" s="28"/>
      <c r="G244" s="14"/>
      <c r="H244" s="14"/>
    </row>
    <row r="245" spans="1:40" x14ac:dyDescent="0.2">
      <c r="B245" s="83" t="s">
        <v>189</v>
      </c>
      <c r="C245" s="64"/>
      <c r="D245" s="39"/>
      <c r="E245" s="54" t="s">
        <v>14</v>
      </c>
      <c r="F245" s="26"/>
      <c r="G245" s="18"/>
      <c r="H245" s="20" t="b">
        <f>IF(D246="x",H$2,H$1)</f>
        <v>0</v>
      </c>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row>
    <row r="246" spans="1:40" x14ac:dyDescent="0.2">
      <c r="B246" s="83" t="s">
        <v>190</v>
      </c>
      <c r="C246" s="96"/>
      <c r="D246" s="39"/>
      <c r="E246" s="54" t="s">
        <v>15</v>
      </c>
      <c r="F246" s="21" t="str">
        <f>IF(H247=1,IF(H245=H$2,H245,""),"")</f>
        <v/>
      </c>
      <c r="G246" s="18"/>
      <c r="H246" s="20" t="str">
        <f>IF(E$262="comprobar",COUNTIF(D245:D249,"x"),"")</f>
        <v/>
      </c>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row>
    <row r="247" spans="1:40" x14ac:dyDescent="0.2">
      <c r="B247" s="83" t="s">
        <v>180</v>
      </c>
      <c r="C247" s="96"/>
      <c r="D247" s="39"/>
      <c r="E247" s="54" t="s">
        <v>16</v>
      </c>
      <c r="F247" s="22" t="str">
        <f>IF(H247=-0.33,IF(H245=H$1,H245,""),"")</f>
        <v/>
      </c>
      <c r="G247" s="18"/>
      <c r="H247" s="23">
        <f t="shared" ref="H247" si="17">IF(H246=1,IF(H245=H$2,1,-0.33),0)</f>
        <v>0</v>
      </c>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row>
    <row r="248" spans="1:40" x14ac:dyDescent="0.2">
      <c r="B248" s="83" t="s">
        <v>169</v>
      </c>
      <c r="C248" s="96"/>
      <c r="D248" s="39"/>
      <c r="E248" s="54" t="s">
        <v>17</v>
      </c>
      <c r="F248" s="26"/>
      <c r="G248" s="18"/>
      <c r="H248" s="23"/>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row>
    <row r="249" spans="1:40" x14ac:dyDescent="0.2">
      <c r="B249" s="65"/>
      <c r="C249" s="66"/>
      <c r="D249" s="39"/>
      <c r="E249" s="54" t="s">
        <v>18</v>
      </c>
      <c r="F249" s="19"/>
      <c r="G249" s="18"/>
      <c r="H249" s="23"/>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row>
    <row r="250" spans="1:40" s="16" customFormat="1" x14ac:dyDescent="0.2">
      <c r="A250" s="4"/>
      <c r="B250" s="82" t="s">
        <v>164</v>
      </c>
      <c r="C250" s="97"/>
      <c r="D250" s="40"/>
      <c r="E250" s="53"/>
      <c r="F250" s="28"/>
      <c r="G250" s="14"/>
      <c r="H250" s="14"/>
    </row>
    <row r="251" spans="1:40" x14ac:dyDescent="0.2">
      <c r="B251" s="83" t="s">
        <v>181</v>
      </c>
      <c r="C251" s="64"/>
      <c r="D251" s="39"/>
      <c r="E251" s="54" t="s">
        <v>14</v>
      </c>
      <c r="F251" s="26"/>
      <c r="G251" s="18"/>
      <c r="H251" s="20" t="b">
        <f>IF(D254="x",H$2,H$1)</f>
        <v>0</v>
      </c>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row>
    <row r="252" spans="1:40" x14ac:dyDescent="0.2">
      <c r="B252" s="83" t="s">
        <v>182</v>
      </c>
      <c r="C252" s="96"/>
      <c r="D252" s="39"/>
      <c r="E252" s="54" t="s">
        <v>15</v>
      </c>
      <c r="F252" s="21" t="str">
        <f>IF(H253=1,IF(H251=H$2,H251,""),"")</f>
        <v/>
      </c>
      <c r="G252" s="18"/>
      <c r="H252" s="20" t="str">
        <f>IF(E$262="comprobar",COUNTIF(D251:D255,"x"),"")</f>
        <v/>
      </c>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row>
    <row r="253" spans="1:40" x14ac:dyDescent="0.2">
      <c r="B253" s="83" t="s">
        <v>183</v>
      </c>
      <c r="C253" s="96"/>
      <c r="D253" s="39"/>
      <c r="E253" s="54" t="s">
        <v>16</v>
      </c>
      <c r="F253" s="22" t="str">
        <f>IF(H253=-0.33,IF(H251=H$1,H251,""),"")</f>
        <v/>
      </c>
      <c r="G253" s="18"/>
      <c r="H253" s="23">
        <f t="shared" ref="H253" si="18">IF(H252=1,IF(H251=H$2,1,-0.33),0)</f>
        <v>0</v>
      </c>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row>
    <row r="254" spans="1:40" x14ac:dyDescent="0.2">
      <c r="B254" s="83" t="s">
        <v>184</v>
      </c>
      <c r="C254" s="96"/>
      <c r="D254" s="39"/>
      <c r="E254" s="54" t="s">
        <v>17</v>
      </c>
      <c r="F254" s="26"/>
      <c r="G254" s="18"/>
      <c r="H254" s="23"/>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row>
    <row r="255" spans="1:40" x14ac:dyDescent="0.2">
      <c r="B255" s="65"/>
      <c r="C255" s="66"/>
      <c r="D255" s="39"/>
      <c r="E255" s="54" t="s">
        <v>18</v>
      </c>
      <c r="F255" s="19"/>
      <c r="G255" s="18"/>
      <c r="H255" s="23"/>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row>
    <row r="256" spans="1:40" s="16" customFormat="1" x14ac:dyDescent="0.2">
      <c r="A256" s="4"/>
      <c r="B256" s="82" t="s">
        <v>165</v>
      </c>
      <c r="C256" s="97"/>
      <c r="D256" s="40"/>
      <c r="E256" s="53"/>
      <c r="F256" s="28"/>
      <c r="G256" s="27"/>
      <c r="H256" s="14"/>
    </row>
    <row r="257" spans="1:40" x14ac:dyDescent="0.2">
      <c r="B257" s="83" t="s">
        <v>185</v>
      </c>
      <c r="C257" s="64"/>
      <c r="D257" s="39"/>
      <c r="E257" s="54" t="s">
        <v>14</v>
      </c>
      <c r="F257" s="26"/>
      <c r="G257" s="25"/>
      <c r="H257" s="20" t="b">
        <f>IF(D259="x",H$2,H$1)</f>
        <v>0</v>
      </c>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row>
    <row r="258" spans="1:40" x14ac:dyDescent="0.2">
      <c r="B258" s="83" t="s">
        <v>186</v>
      </c>
      <c r="C258" s="96"/>
      <c r="D258" s="39"/>
      <c r="E258" s="54"/>
      <c r="F258" s="21" t="str">
        <f>IF(H259=1,IF(H257=H$2,H257,""),"")</f>
        <v/>
      </c>
      <c r="G258" s="25"/>
      <c r="H258" s="20" t="str">
        <f>IF(E$262="comprobar",COUNTIF(D257:D261,"x"),"")</f>
        <v/>
      </c>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row>
    <row r="259" spans="1:40" x14ac:dyDescent="0.2">
      <c r="B259" s="83" t="s">
        <v>187</v>
      </c>
      <c r="C259" s="96"/>
      <c r="D259" s="39"/>
      <c r="E259" s="54" t="s">
        <v>16</v>
      </c>
      <c r="F259" s="22" t="str">
        <f>IF(H259=-0.33,IF(H257=H$1,H257,""),"")</f>
        <v/>
      </c>
      <c r="G259" s="25"/>
      <c r="H259" s="23">
        <f t="shared" ref="H259" si="19">IF(H258=1,IF(H257=H$2,1,-0.33),0)</f>
        <v>0</v>
      </c>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row>
    <row r="260" spans="1:40" x14ac:dyDescent="0.2">
      <c r="B260" s="83" t="s">
        <v>188</v>
      </c>
      <c r="C260" s="96"/>
      <c r="D260" s="39"/>
      <c r="E260" s="54" t="s">
        <v>17</v>
      </c>
      <c r="F260" s="26"/>
      <c r="G260" s="25"/>
      <c r="H260" s="23"/>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row>
    <row r="261" spans="1:40" x14ac:dyDescent="0.2">
      <c r="B261" s="65"/>
      <c r="C261" s="66"/>
      <c r="D261" s="39"/>
      <c r="E261" s="54" t="s">
        <v>18</v>
      </c>
      <c r="F261" s="19"/>
      <c r="G261" s="25"/>
      <c r="H261" s="23"/>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row>
    <row r="262" spans="1:40" x14ac:dyDescent="0.2">
      <c r="B262" s="45"/>
      <c r="C262" s="42"/>
      <c r="D262" s="49"/>
      <c r="E262" s="55"/>
      <c r="F262" s="19"/>
      <c r="G262" s="18"/>
      <c r="H262" s="18"/>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row>
    <row r="263" spans="1:40" x14ac:dyDescent="0.2">
      <c r="B263" s="45"/>
      <c r="C263" s="17"/>
      <c r="D263" s="49"/>
      <c r="E263" s="58"/>
      <c r="F263" s="29" t="s">
        <v>8</v>
      </c>
      <c r="G263" s="18" t="s">
        <v>6</v>
      </c>
      <c r="H263" s="18" t="s">
        <v>7</v>
      </c>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row>
    <row r="264" spans="1:40" ht="20" x14ac:dyDescent="0.2">
      <c r="B264" s="45"/>
      <c r="C264" s="17"/>
      <c r="D264" s="69"/>
      <c r="E264" s="52"/>
      <c r="F264" s="30" t="str">
        <f>IF(E262="comprobar",H259+H253+H247+H241+H235+H229+H223+H217+H211+H205,"")</f>
        <v/>
      </c>
      <c r="G264" s="18">
        <f>10/2</f>
        <v>5</v>
      </c>
      <c r="H264" s="18"/>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row>
    <row r="265" spans="1:40" ht="17" thickBot="1" x14ac:dyDescent="0.25">
      <c r="B265" s="46"/>
      <c r="C265" s="31"/>
      <c r="D265" s="32"/>
      <c r="E265" s="56"/>
      <c r="F265" s="33" t="str">
        <f>IF(F264&gt;G264,G263,H263)</f>
        <v>APROBADO</v>
      </c>
      <c r="G265" s="18"/>
      <c r="H265" s="18"/>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row>
    <row r="266" spans="1:40" s="4" customFormat="1" ht="29" hidden="1" x14ac:dyDescent="0.35">
      <c r="B266" s="102"/>
      <c r="C266" s="99"/>
      <c r="D266" s="100"/>
      <c r="E266" s="100"/>
      <c r="F266" s="100"/>
    </row>
    <row r="267" spans="1:40" s="4" customFormat="1" hidden="1" x14ac:dyDescent="0.2">
      <c r="B267" s="18"/>
      <c r="C267" s="18"/>
      <c r="D267" s="49"/>
      <c r="E267" s="54"/>
      <c r="F267" s="103"/>
      <c r="G267" s="18"/>
      <c r="H267" s="18"/>
    </row>
    <row r="268" spans="1:40" s="4" customFormat="1" hidden="1" x14ac:dyDescent="0.2">
      <c r="B268" s="104"/>
      <c r="C268" s="17"/>
      <c r="D268" s="49"/>
      <c r="E268" s="54"/>
      <c r="F268" s="103"/>
      <c r="G268" s="18"/>
      <c r="H268" s="101"/>
    </row>
    <row r="269" spans="1:40" s="77" customFormat="1" ht="14" hidden="1" customHeight="1" thickBot="1" x14ac:dyDescent="0.25">
      <c r="B269" s="105"/>
      <c r="C269" s="105"/>
      <c r="D269" s="106"/>
      <c r="E269" s="107"/>
      <c r="F269" s="108"/>
      <c r="G269" s="76"/>
      <c r="H269" s="101"/>
    </row>
    <row r="270" spans="1:40" s="16" customFormat="1" ht="29" customHeight="1" x14ac:dyDescent="0.35">
      <c r="A270" s="4"/>
      <c r="B270" s="62" t="s">
        <v>191</v>
      </c>
      <c r="C270" s="149" t="s">
        <v>12</v>
      </c>
      <c r="D270" s="63"/>
      <c r="E270" s="63"/>
      <c r="F270" s="98"/>
      <c r="G270" s="18"/>
      <c r="H270" s="112"/>
      <c r="I270" s="4"/>
    </row>
    <row r="271" spans="1:40" s="16" customFormat="1" x14ac:dyDescent="0.2">
      <c r="A271" s="4"/>
      <c r="B271" s="82" t="s">
        <v>192</v>
      </c>
      <c r="C271" s="95"/>
      <c r="D271" s="128"/>
      <c r="E271" s="12"/>
      <c r="F271" s="81"/>
      <c r="G271" s="18"/>
      <c r="H271" s="101" t="b">
        <f>IF(D273="x",H$2,H$1)</f>
        <v>0</v>
      </c>
      <c r="I271" s="4"/>
    </row>
    <row r="272" spans="1:40" s="16" customFormat="1" x14ac:dyDescent="0.2">
      <c r="A272" s="4"/>
      <c r="B272" s="123" t="s">
        <v>202</v>
      </c>
      <c r="C272" s="121"/>
      <c r="D272" s="129"/>
      <c r="E272" s="130" t="s">
        <v>14</v>
      </c>
      <c r="F272" s="131" t="str">
        <f>IF(H273=1,IF(H271=H$2,H271,""),"")</f>
        <v/>
      </c>
      <c r="G272" s="18"/>
      <c r="H272" s="101" t="str">
        <f>IF(E$330="comprobar",COUNTIF(D271:D275,"x"),"")</f>
        <v/>
      </c>
      <c r="I272" s="4"/>
    </row>
    <row r="273" spans="1:40" x14ac:dyDescent="0.2">
      <c r="B273" s="123" t="s">
        <v>203</v>
      </c>
      <c r="C273" s="122"/>
      <c r="D273" s="129"/>
      <c r="E273" s="132" t="s">
        <v>15</v>
      </c>
      <c r="F273" s="133" t="str">
        <f>IF(H273=-0.33,IF(H271=H$1,H271,""),"")</f>
        <v/>
      </c>
      <c r="G273" s="18"/>
      <c r="H273" s="23">
        <f t="shared" ref="H273" si="20">IF(H272=1,IF(H271=H$2,1,-0.33),0)</f>
        <v>0</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row>
    <row r="274" spans="1:40" x14ac:dyDescent="0.2">
      <c r="B274" s="123" t="s">
        <v>204</v>
      </c>
      <c r="C274" s="113"/>
      <c r="D274" s="129"/>
      <c r="E274" s="132" t="s">
        <v>16</v>
      </c>
      <c r="F274" s="26"/>
      <c r="G274" s="18"/>
      <c r="H274" s="23"/>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row>
    <row r="275" spans="1:40" x14ac:dyDescent="0.2">
      <c r="B275" s="123" t="s">
        <v>179</v>
      </c>
      <c r="C275" s="64"/>
      <c r="D275" s="129"/>
      <c r="E275" s="132" t="s">
        <v>17</v>
      </c>
      <c r="F275" s="134"/>
      <c r="G275" s="18"/>
      <c r="H275" s="23"/>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row>
    <row r="276" spans="1:40" s="16" customFormat="1" x14ac:dyDescent="0.2">
      <c r="A276" s="4"/>
      <c r="B276" s="82" t="s">
        <v>193</v>
      </c>
      <c r="C276" s="114"/>
      <c r="D276" s="135"/>
      <c r="E276" s="130"/>
      <c r="F276" s="28"/>
      <c r="G276" s="14"/>
      <c r="H276" s="14"/>
    </row>
    <row r="277" spans="1:40" x14ac:dyDescent="0.2">
      <c r="B277" s="83" t="s">
        <v>205</v>
      </c>
      <c r="C277" s="96"/>
      <c r="D277" s="129"/>
      <c r="E277" s="132" t="s">
        <v>14</v>
      </c>
      <c r="F277" s="26"/>
      <c r="G277" s="18"/>
      <c r="H277" s="20" t="b">
        <f>IF(D277="x",H$2,H$1)</f>
        <v>0</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row>
    <row r="278" spans="1:40" s="16" customFormat="1" x14ac:dyDescent="0.2">
      <c r="A278" s="4"/>
      <c r="B278" s="83" t="s">
        <v>206</v>
      </c>
      <c r="C278" s="96"/>
      <c r="D278" s="129"/>
      <c r="E278" s="132" t="s">
        <v>15</v>
      </c>
      <c r="F278" s="131" t="str">
        <f>IF(H279=1,IF(H277=H$2,H277,""),"")</f>
        <v/>
      </c>
      <c r="G278" s="18"/>
      <c r="H278" s="101" t="str">
        <f>IF(E$330="comprobar",COUNTIF(D277:D281,"x"),"")</f>
        <v/>
      </c>
    </row>
    <row r="279" spans="1:40" x14ac:dyDescent="0.2">
      <c r="B279" s="83" t="s">
        <v>207</v>
      </c>
      <c r="C279" s="66"/>
      <c r="D279" s="129"/>
      <c r="E279" s="132" t="s">
        <v>16</v>
      </c>
      <c r="F279" s="133" t="str">
        <f>IF(H279=-0.33,IF(H277=H$1,H277,""),"")</f>
        <v/>
      </c>
      <c r="G279" s="18"/>
      <c r="H279" s="23">
        <f t="shared" ref="H279" si="21">IF(H278=1,IF(H277=H$2,1,-0.33),0)</f>
        <v>0</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row>
    <row r="280" spans="1:40" s="4" customFormat="1" x14ac:dyDescent="0.2">
      <c r="B280" s="123" t="s">
        <v>208</v>
      </c>
      <c r="C280" s="86"/>
      <c r="D280" s="129"/>
      <c r="E280" s="132" t="s">
        <v>17</v>
      </c>
      <c r="F280" s="26"/>
      <c r="G280" s="18"/>
      <c r="H280" s="112"/>
    </row>
    <row r="281" spans="1:40" x14ac:dyDescent="0.2">
      <c r="B281" s="65"/>
      <c r="C281" s="66"/>
      <c r="D281" s="129"/>
      <c r="E281" s="132" t="s">
        <v>18</v>
      </c>
      <c r="F281" s="134"/>
      <c r="G281" s="18"/>
      <c r="H281" s="23"/>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row>
    <row r="282" spans="1:40" s="16" customFormat="1" x14ac:dyDescent="0.2">
      <c r="A282" s="4"/>
      <c r="B282" s="82" t="s">
        <v>194</v>
      </c>
      <c r="C282" s="114"/>
      <c r="D282" s="135"/>
      <c r="E282" s="130"/>
      <c r="F282" s="28"/>
      <c r="G282" s="14"/>
      <c r="H282" s="14"/>
    </row>
    <row r="283" spans="1:40" x14ac:dyDescent="0.2">
      <c r="B283" s="83" t="s">
        <v>209</v>
      </c>
      <c r="C283" s="96"/>
      <c r="D283" s="129"/>
      <c r="E283" s="132" t="s">
        <v>14</v>
      </c>
      <c r="F283" s="26"/>
      <c r="G283" s="18"/>
      <c r="H283" s="20" t="b">
        <f>IF(D285="x",H$2,H$1)</f>
        <v>0</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row>
    <row r="284" spans="1:40" s="16" customFormat="1" x14ac:dyDescent="0.2">
      <c r="A284" s="4"/>
      <c r="B284" s="83" t="s">
        <v>210</v>
      </c>
      <c r="C284" s="96"/>
      <c r="D284" s="129"/>
      <c r="E284" s="132" t="s">
        <v>15</v>
      </c>
      <c r="F284" s="131" t="str">
        <f>IF(H285=1,IF(H283=H$2,H283,""),"")</f>
        <v/>
      </c>
      <c r="G284" s="18"/>
      <c r="H284" s="101" t="str">
        <f>IF(E$330="comprobar",COUNTIF(D283:D287,"x"),"")</f>
        <v/>
      </c>
    </row>
    <row r="285" spans="1:40" x14ac:dyDescent="0.2">
      <c r="B285" s="83" t="s">
        <v>211</v>
      </c>
      <c r="C285" s="66"/>
      <c r="D285" s="129"/>
      <c r="E285" s="132" t="s">
        <v>16</v>
      </c>
      <c r="F285" s="133" t="str">
        <f>IF(H285=-0.33,IF(H283=H$1,H283,""),"")</f>
        <v/>
      </c>
      <c r="G285" s="18"/>
      <c r="H285" s="23">
        <f t="shared" ref="H285" si="22">IF(H284=1,IF(H283=H$2,1,-0.33),0)</f>
        <v>0</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row>
    <row r="286" spans="1:40" s="4" customFormat="1" x14ac:dyDescent="0.2">
      <c r="B286" s="123" t="s">
        <v>169</v>
      </c>
      <c r="C286" s="86"/>
      <c r="D286" s="129"/>
      <c r="E286" s="132" t="s">
        <v>17</v>
      </c>
      <c r="F286" s="26"/>
      <c r="G286" s="18"/>
      <c r="H286" s="112"/>
    </row>
    <row r="287" spans="1:40" x14ac:dyDescent="0.2">
      <c r="B287" s="65"/>
      <c r="C287" s="66"/>
      <c r="D287" s="129"/>
      <c r="E287" s="132" t="s">
        <v>18</v>
      </c>
      <c r="F287" s="134"/>
      <c r="G287" s="18"/>
      <c r="H287" s="23"/>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row>
    <row r="288" spans="1:40" s="16" customFormat="1" x14ac:dyDescent="0.2">
      <c r="A288" s="4"/>
      <c r="B288" s="82" t="s">
        <v>195</v>
      </c>
      <c r="C288" s="115"/>
      <c r="D288" s="135"/>
      <c r="E288" s="130"/>
      <c r="F288" s="28"/>
      <c r="G288" s="14"/>
      <c r="H288" s="14"/>
    </row>
    <row r="289" spans="1:40" x14ac:dyDescent="0.2">
      <c r="B289" s="83" t="s">
        <v>212</v>
      </c>
      <c r="C289" s="96"/>
      <c r="D289" s="129"/>
      <c r="E289" s="132" t="s">
        <v>14</v>
      </c>
      <c r="F289" s="26"/>
      <c r="G289" s="18"/>
      <c r="H289" s="20" t="b">
        <f>IF(D289="x",H$2,H$1)</f>
        <v>0</v>
      </c>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row>
    <row r="290" spans="1:40" s="16" customFormat="1" x14ac:dyDescent="0.2">
      <c r="A290" s="4"/>
      <c r="B290" s="83" t="s">
        <v>213</v>
      </c>
      <c r="C290" s="96"/>
      <c r="D290" s="129"/>
      <c r="E290" s="132" t="s">
        <v>15</v>
      </c>
      <c r="F290" s="131" t="str">
        <f>IF(H291=1,IF(H289=H$2,H289,""),"")</f>
        <v/>
      </c>
      <c r="G290" s="18"/>
      <c r="H290" s="101" t="str">
        <f>IF(E$330="comprobar",COUNTIF(D289:D293,"x"),"")</f>
        <v/>
      </c>
    </row>
    <row r="291" spans="1:40" x14ac:dyDescent="0.2">
      <c r="B291" s="83" t="s">
        <v>214</v>
      </c>
      <c r="C291" s="96"/>
      <c r="D291" s="129"/>
      <c r="E291" s="132" t="s">
        <v>16</v>
      </c>
      <c r="F291" s="133" t="str">
        <f>IF(H291=-0.33,IF(H289=H$1,H289,""),"")</f>
        <v/>
      </c>
      <c r="G291" s="18"/>
      <c r="H291" s="23">
        <f t="shared" ref="H291" si="23">IF(H290=1,IF(H289=H$2,1,-0.33),0)</f>
        <v>0</v>
      </c>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row>
    <row r="292" spans="1:40" x14ac:dyDescent="0.2">
      <c r="B292" s="83" t="s">
        <v>179</v>
      </c>
      <c r="C292" s="66"/>
      <c r="D292" s="129"/>
      <c r="E292" s="132" t="s">
        <v>17</v>
      </c>
      <c r="F292" s="26"/>
      <c r="G292" s="18"/>
      <c r="H292" s="23"/>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row>
    <row r="293" spans="1:40" x14ac:dyDescent="0.2">
      <c r="B293" s="65"/>
      <c r="C293" s="66"/>
      <c r="D293" s="129"/>
      <c r="E293" s="132" t="s">
        <v>18</v>
      </c>
      <c r="F293" s="134"/>
      <c r="G293" s="18"/>
      <c r="H293" s="23"/>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row>
    <row r="294" spans="1:40" s="16" customFormat="1" x14ac:dyDescent="0.2">
      <c r="A294" s="4"/>
      <c r="B294" s="82" t="s">
        <v>196</v>
      </c>
      <c r="C294" s="115"/>
      <c r="D294" s="135"/>
      <c r="E294" s="130"/>
      <c r="F294" s="81"/>
      <c r="G294" s="14"/>
      <c r="H294" s="14"/>
    </row>
    <row r="295" spans="1:40" x14ac:dyDescent="0.2">
      <c r="B295" s="83" t="s">
        <v>215</v>
      </c>
      <c r="C295" s="96"/>
      <c r="D295" s="129"/>
      <c r="E295" s="132" t="s">
        <v>14</v>
      </c>
      <c r="F295" s="26"/>
      <c r="G295" s="18"/>
      <c r="H295" s="20" t="b">
        <f>IF(D296="x",H$2,H$1)</f>
        <v>0</v>
      </c>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row>
    <row r="296" spans="1:40" s="16" customFormat="1" x14ac:dyDescent="0.2">
      <c r="A296" s="4"/>
      <c r="B296" s="83" t="s">
        <v>213</v>
      </c>
      <c r="C296" s="96"/>
      <c r="D296" s="129"/>
      <c r="E296" s="132" t="s">
        <v>15</v>
      </c>
      <c r="F296" s="131" t="str">
        <f>IF(H297=1,IF(H295=H$2,H295,""),"")</f>
        <v/>
      </c>
      <c r="G296" s="18"/>
      <c r="H296" s="101" t="str">
        <f>IF(E$330="comprobar",COUNTIF(D295:D299,"x"),"")</f>
        <v/>
      </c>
    </row>
    <row r="297" spans="1:40" x14ac:dyDescent="0.2">
      <c r="B297" s="83" t="s">
        <v>216</v>
      </c>
      <c r="C297" s="96"/>
      <c r="D297" s="129"/>
      <c r="E297" s="132" t="s">
        <v>16</v>
      </c>
      <c r="F297" s="133" t="str">
        <f>IF(H297=-0.33,IF(H295=H$1,H295,""),"")</f>
        <v/>
      </c>
      <c r="G297" s="18"/>
      <c r="H297" s="23">
        <f t="shared" ref="H297" si="24">IF(H296=1,IF(H295=H$2,1,-0.33),0)</f>
        <v>0</v>
      </c>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row>
    <row r="298" spans="1:40" x14ac:dyDescent="0.2">
      <c r="B298" s="83" t="s">
        <v>179</v>
      </c>
      <c r="C298" s="66"/>
      <c r="D298" s="129"/>
      <c r="E298" s="132" t="s">
        <v>17</v>
      </c>
      <c r="F298" s="26"/>
      <c r="G298" s="18"/>
      <c r="H298" s="23"/>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row>
    <row r="299" spans="1:40" x14ac:dyDescent="0.2">
      <c r="B299" s="124"/>
      <c r="C299" s="66"/>
      <c r="D299" s="129"/>
      <c r="E299" s="132" t="s">
        <v>18</v>
      </c>
      <c r="F299" s="134"/>
      <c r="G299" s="18"/>
      <c r="H299" s="23"/>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row>
    <row r="300" spans="1:40" s="16" customFormat="1" x14ac:dyDescent="0.2">
      <c r="A300" s="4"/>
      <c r="B300" s="82" t="s">
        <v>197</v>
      </c>
      <c r="C300" s="95"/>
      <c r="D300" s="135"/>
      <c r="E300" s="130"/>
      <c r="F300" s="28"/>
      <c r="G300" s="14"/>
      <c r="H300" s="14"/>
    </row>
    <row r="301" spans="1:40" x14ac:dyDescent="0.2">
      <c r="B301" s="83" t="s">
        <v>215</v>
      </c>
      <c r="C301" s="64"/>
      <c r="D301" s="129"/>
      <c r="E301" s="132" t="s">
        <v>14</v>
      </c>
      <c r="F301" s="26"/>
      <c r="G301" s="18"/>
      <c r="H301" s="20" t="b">
        <f>IF(D303="x",H$2,H$1)</f>
        <v>0</v>
      </c>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row>
    <row r="302" spans="1:40" s="16" customFormat="1" x14ac:dyDescent="0.2">
      <c r="A302" s="4"/>
      <c r="B302" s="83" t="s">
        <v>213</v>
      </c>
      <c r="C302" s="96"/>
      <c r="D302" s="129"/>
      <c r="E302" s="132" t="s">
        <v>15</v>
      </c>
      <c r="F302" s="131" t="str">
        <f>IF(H303=1,IF(H301=H$2,H301,""),"")</f>
        <v/>
      </c>
      <c r="G302" s="18"/>
      <c r="H302" s="101" t="str">
        <f>IF(E$330="comprobar",COUNTIF(D301:D305,"x"),"")</f>
        <v/>
      </c>
    </row>
    <row r="303" spans="1:40" x14ac:dyDescent="0.2">
      <c r="B303" s="83" t="s">
        <v>217</v>
      </c>
      <c r="C303" s="96"/>
      <c r="D303" s="129"/>
      <c r="E303" s="132" t="s">
        <v>16</v>
      </c>
      <c r="F303" s="133" t="str">
        <f>IF(H303=-0.33,IF(H301=H$1,H301,""),"")</f>
        <v/>
      </c>
      <c r="G303" s="18"/>
      <c r="H303" s="23">
        <f t="shared" ref="H303" si="25">IF(H302=1,IF(H301=H$2,1,-0.33),0)</f>
        <v>0</v>
      </c>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row>
    <row r="304" spans="1:40" x14ac:dyDescent="0.2">
      <c r="B304" s="83" t="s">
        <v>179</v>
      </c>
      <c r="C304" s="96"/>
      <c r="D304" s="129"/>
      <c r="E304" s="132" t="s">
        <v>17</v>
      </c>
      <c r="F304" s="26"/>
      <c r="G304" s="18"/>
      <c r="H304" s="23"/>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row>
    <row r="305" spans="1:40" x14ac:dyDescent="0.2">
      <c r="B305" s="65"/>
      <c r="C305" s="66"/>
      <c r="D305" s="129"/>
      <c r="E305" s="132" t="s">
        <v>18</v>
      </c>
      <c r="F305" s="134"/>
      <c r="G305" s="18"/>
      <c r="H305" s="23"/>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row>
    <row r="306" spans="1:40" s="16" customFormat="1" x14ac:dyDescent="0.2">
      <c r="A306" s="4"/>
      <c r="B306" s="82" t="s">
        <v>198</v>
      </c>
      <c r="C306" s="115"/>
      <c r="D306" s="135"/>
      <c r="E306" s="130"/>
      <c r="F306" s="28"/>
      <c r="G306" s="14"/>
      <c r="H306" s="14"/>
    </row>
    <row r="307" spans="1:40" x14ac:dyDescent="0.2">
      <c r="B307" s="83" t="s">
        <v>218</v>
      </c>
      <c r="C307" s="96"/>
      <c r="D307" s="129"/>
      <c r="E307" s="132" t="s">
        <v>14</v>
      </c>
      <c r="F307" s="26"/>
      <c r="G307" s="18"/>
      <c r="H307" s="20" t="b">
        <f>IF(D307="x",H$2,H$1)</f>
        <v>0</v>
      </c>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row>
    <row r="308" spans="1:40" s="16" customFormat="1" x14ac:dyDescent="0.2">
      <c r="A308" s="4"/>
      <c r="B308" s="83" t="s">
        <v>219</v>
      </c>
      <c r="C308" s="96"/>
      <c r="D308" s="129"/>
      <c r="E308" s="132" t="s">
        <v>15</v>
      </c>
      <c r="F308" s="131" t="str">
        <f>IF(H309=1,IF(H307=H$2,H307,""),"")</f>
        <v/>
      </c>
      <c r="G308" s="18"/>
      <c r="H308" s="101" t="str">
        <f>IF(E$330="comprobar",COUNTIF(D307:D311,"x"),"")</f>
        <v/>
      </c>
    </row>
    <row r="309" spans="1:40" x14ac:dyDescent="0.2">
      <c r="B309" s="83" t="s">
        <v>220</v>
      </c>
      <c r="C309" s="96"/>
      <c r="D309" s="129"/>
      <c r="E309" s="132" t="s">
        <v>16</v>
      </c>
      <c r="F309" s="133" t="str">
        <f>IF(H309=-0.33,IF(H307=H$1,H307,""),"")</f>
        <v/>
      </c>
      <c r="G309" s="18"/>
      <c r="H309" s="23">
        <f t="shared" ref="H309" si="26">IF(H308=1,IF(H307=H$2,1,-0.33),0)</f>
        <v>0</v>
      </c>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row>
    <row r="310" spans="1:40" x14ac:dyDescent="0.2">
      <c r="B310" s="83" t="s">
        <v>179</v>
      </c>
      <c r="C310" s="66"/>
      <c r="D310" s="129"/>
      <c r="E310" s="132" t="s">
        <v>17</v>
      </c>
      <c r="F310" s="26"/>
      <c r="G310" s="18"/>
      <c r="H310" s="23"/>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row>
    <row r="311" spans="1:40" x14ac:dyDescent="0.2">
      <c r="B311" s="65"/>
      <c r="C311" s="66"/>
      <c r="D311" s="129"/>
      <c r="E311" s="132" t="s">
        <v>18</v>
      </c>
      <c r="F311" s="134"/>
      <c r="G311" s="18"/>
      <c r="H311" s="23"/>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row>
    <row r="312" spans="1:40" s="16" customFormat="1" x14ac:dyDescent="0.2">
      <c r="A312" s="4"/>
      <c r="B312" s="125" t="s">
        <v>199</v>
      </c>
      <c r="C312" s="95"/>
      <c r="D312" s="135"/>
      <c r="E312" s="130"/>
      <c r="F312" s="28"/>
      <c r="G312" s="14"/>
      <c r="H312" s="14"/>
    </row>
    <row r="313" spans="1:40" x14ac:dyDescent="0.2">
      <c r="B313" s="126" t="s">
        <v>218</v>
      </c>
      <c r="C313" s="64"/>
      <c r="D313" s="129"/>
      <c r="E313" s="132" t="s">
        <v>14</v>
      </c>
      <c r="F313" s="26"/>
      <c r="G313" s="18"/>
      <c r="H313" s="20" t="b">
        <f>IF(D316="x",H$2,H$1)</f>
        <v>0</v>
      </c>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row>
    <row r="314" spans="1:40" s="16" customFormat="1" x14ac:dyDescent="0.2">
      <c r="A314" s="4"/>
      <c r="B314" s="126" t="s">
        <v>219</v>
      </c>
      <c r="C314" s="96"/>
      <c r="D314" s="129"/>
      <c r="E314" s="132" t="s">
        <v>15</v>
      </c>
      <c r="F314" s="131" t="str">
        <f>IF(H315=1,IF(H313=H$2,H313,""),"")</f>
        <v/>
      </c>
      <c r="G314" s="18"/>
      <c r="H314" s="101" t="str">
        <f>IF(E$330="comprobar",COUNTIF(D313:D317,"x"),"")</f>
        <v/>
      </c>
    </row>
    <row r="315" spans="1:40" x14ac:dyDescent="0.2">
      <c r="B315" s="126" t="s">
        <v>220</v>
      </c>
      <c r="C315" s="96"/>
      <c r="D315" s="129"/>
      <c r="E315" s="132" t="s">
        <v>16</v>
      </c>
      <c r="F315" s="133" t="str">
        <f>IF(H315=-0.33,IF(H313=H$1,H313,""),"")</f>
        <v/>
      </c>
      <c r="G315" s="18"/>
      <c r="H315" s="23">
        <f t="shared" ref="H315" si="27">IF(H314=1,IF(H313=H$2,1,-0.33),0)</f>
        <v>0</v>
      </c>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row>
    <row r="316" spans="1:40" x14ac:dyDescent="0.2">
      <c r="B316" s="126" t="s">
        <v>179</v>
      </c>
      <c r="C316" s="96"/>
      <c r="D316" s="129"/>
      <c r="E316" s="132" t="s">
        <v>17</v>
      </c>
      <c r="F316" s="26"/>
      <c r="G316" s="18"/>
      <c r="H316" s="23"/>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row>
    <row r="317" spans="1:40" x14ac:dyDescent="0.2">
      <c r="B317" s="65"/>
      <c r="C317" s="66"/>
      <c r="D317" s="129"/>
      <c r="E317" s="132" t="s">
        <v>18</v>
      </c>
      <c r="F317" s="134"/>
      <c r="G317" s="18"/>
      <c r="H317" s="23"/>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row>
    <row r="318" spans="1:40" s="16" customFormat="1" x14ac:dyDescent="0.2">
      <c r="A318" s="4"/>
      <c r="B318" s="82" t="s">
        <v>200</v>
      </c>
      <c r="C318" s="95"/>
      <c r="D318" s="135"/>
      <c r="E318" s="130"/>
      <c r="F318" s="28"/>
      <c r="G318" s="27"/>
      <c r="H318" s="14"/>
    </row>
    <row r="319" spans="1:40" s="4" customFormat="1" x14ac:dyDescent="0.2">
      <c r="B319" s="123" t="s">
        <v>221</v>
      </c>
      <c r="C319" s="86"/>
      <c r="D319" s="129"/>
      <c r="E319" s="132" t="s">
        <v>14</v>
      </c>
      <c r="F319" s="26"/>
      <c r="G319" s="111"/>
      <c r="H319" s="101" t="b">
        <f>IF(D319="x",H$2,H$1)</f>
        <v>0</v>
      </c>
    </row>
    <row r="320" spans="1:40" s="4" customFormat="1" x14ac:dyDescent="0.2">
      <c r="B320" s="123" t="s">
        <v>222</v>
      </c>
      <c r="C320" s="64"/>
      <c r="D320" s="129"/>
      <c r="E320" s="132" t="s">
        <v>15</v>
      </c>
      <c r="F320" s="131" t="str">
        <f>IF(H321=1,IF(H319=H$2,H319,""),"")</f>
        <v/>
      </c>
      <c r="G320" s="111"/>
      <c r="H320" s="101" t="str">
        <f>IF(E$330="comprobar",COUNTIF(D319:D323,"x"),"")</f>
        <v/>
      </c>
    </row>
    <row r="321" spans="1:40" s="4" customFormat="1" x14ac:dyDescent="0.2">
      <c r="B321" s="123" t="s">
        <v>223</v>
      </c>
      <c r="C321" s="116"/>
      <c r="D321" s="129"/>
      <c r="E321" s="132" t="s">
        <v>16</v>
      </c>
      <c r="F321" s="188" t="str">
        <f>IF(H321=-0.33,IF(H319=H$1,H319,""),"")</f>
        <v/>
      </c>
      <c r="G321" s="111"/>
      <c r="H321" s="23">
        <f t="shared" ref="H321" si="28">IF(H320=1,IF(H319=H$2,1,-0.33),0)</f>
        <v>0</v>
      </c>
    </row>
    <row r="322" spans="1:40" x14ac:dyDescent="0.2">
      <c r="B322" s="83" t="s">
        <v>179</v>
      </c>
      <c r="C322" s="96"/>
      <c r="D322" s="129"/>
      <c r="E322" s="132" t="s">
        <v>17</v>
      </c>
      <c r="F322" s="26"/>
      <c r="G322" s="25"/>
      <c r="H322" s="23"/>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row>
    <row r="323" spans="1:40" x14ac:dyDescent="0.2">
      <c r="B323" s="65"/>
      <c r="C323" s="66"/>
      <c r="D323" s="129"/>
      <c r="E323" s="132" t="s">
        <v>18</v>
      </c>
      <c r="F323" s="134"/>
      <c r="G323" s="25"/>
      <c r="H323" s="23"/>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row>
    <row r="324" spans="1:40" s="16" customFormat="1" x14ac:dyDescent="0.2">
      <c r="A324" s="4"/>
      <c r="B324" s="82" t="s">
        <v>201</v>
      </c>
      <c r="C324" s="114"/>
      <c r="D324" s="135"/>
      <c r="E324" s="110"/>
      <c r="F324" s="136"/>
      <c r="G324" s="14"/>
      <c r="H324" s="14"/>
    </row>
    <row r="325" spans="1:40" x14ac:dyDescent="0.2">
      <c r="B325" s="83" t="s">
        <v>224</v>
      </c>
      <c r="C325" s="66"/>
      <c r="D325" s="129"/>
      <c r="E325" s="132" t="s">
        <v>14</v>
      </c>
      <c r="F325" s="26"/>
      <c r="G325" s="25"/>
      <c r="H325" s="20" t="b">
        <f>IF(D327="x",H$2,H$1)</f>
        <v>0</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row>
    <row r="326" spans="1:40" s="16" customFormat="1" x14ac:dyDescent="0.2">
      <c r="A326" s="4"/>
      <c r="B326" s="123" t="s">
        <v>225</v>
      </c>
      <c r="C326" s="117"/>
      <c r="D326" s="129"/>
      <c r="E326" s="132" t="s">
        <v>15</v>
      </c>
      <c r="F326" s="131" t="str">
        <f>IF(H327=1,IF(H325=H$2,H325,""),"")</f>
        <v/>
      </c>
      <c r="G326" s="25"/>
      <c r="H326" s="101" t="str">
        <f>IF(E$330="comprobar",COUNTIF(D325:D329,"x"),"")</f>
        <v/>
      </c>
    </row>
    <row r="327" spans="1:40" x14ac:dyDescent="0.2">
      <c r="B327" s="127" t="s">
        <v>226</v>
      </c>
      <c r="C327" s="118"/>
      <c r="D327" s="129"/>
      <c r="E327" s="132" t="s">
        <v>16</v>
      </c>
      <c r="F327" s="133" t="str">
        <f>IF(H327=-0.33,IF(H325=H$1,H325,""),"")</f>
        <v/>
      </c>
      <c r="G327" s="25"/>
      <c r="H327" s="23">
        <f t="shared" ref="H327" si="29">IF(H326=1,IF(H325=H$2,1,-0.33),0)</f>
        <v>0</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row>
    <row r="328" spans="1:40" x14ac:dyDescent="0.2">
      <c r="B328" s="127" t="s">
        <v>227</v>
      </c>
      <c r="C328" s="119"/>
      <c r="D328" s="129"/>
      <c r="E328" s="132" t="s">
        <v>17</v>
      </c>
      <c r="F328" s="26"/>
      <c r="G328" s="25"/>
      <c r="H328" s="23"/>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row>
    <row r="329" spans="1:40" x14ac:dyDescent="0.2">
      <c r="B329" s="65"/>
      <c r="C329" s="66"/>
      <c r="D329" s="129"/>
      <c r="E329" s="132" t="s">
        <v>18</v>
      </c>
      <c r="F329" s="134"/>
      <c r="G329" s="25"/>
      <c r="H329" s="23"/>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row>
    <row r="330" spans="1:40" x14ac:dyDescent="0.2">
      <c r="B330" s="137"/>
      <c r="C330" s="8"/>
      <c r="D330" s="138"/>
      <c r="E330" s="79"/>
      <c r="F330" s="139" t="s">
        <v>8</v>
      </c>
      <c r="G330" s="18" t="s">
        <v>6</v>
      </c>
      <c r="H330" s="18" t="s">
        <v>7</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row>
    <row r="331" spans="1:40" ht="20" x14ac:dyDescent="0.2">
      <c r="B331" s="45"/>
      <c r="C331" s="42"/>
      <c r="D331" s="41"/>
      <c r="E331" s="140"/>
      <c r="F331" s="30" t="str">
        <f>IF(E330="comprobar",H327+H321+H315+H309+H303+H297+H291+H285+H279+H273,"")</f>
        <v/>
      </c>
      <c r="G331" s="18">
        <f>10/2</f>
        <v>5</v>
      </c>
      <c r="H331" s="18"/>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row>
    <row r="332" spans="1:40" ht="17" thickBot="1" x14ac:dyDescent="0.25">
      <c r="B332" s="46"/>
      <c r="C332" s="31"/>
      <c r="D332" s="141"/>
      <c r="E332" s="142"/>
      <c r="F332" s="143" t="str">
        <f>IF(F331&gt;G331,G330,H330)</f>
        <v>APROBADO</v>
      </c>
      <c r="G332" s="18"/>
      <c r="H332" s="18"/>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row>
    <row r="333" spans="1:40" hidden="1" x14ac:dyDescent="0.2">
      <c r="B333" s="45"/>
      <c r="C333" s="17"/>
      <c r="D333" s="61"/>
      <c r="E333" s="52"/>
      <c r="F333" s="78"/>
      <c r="G333" s="18"/>
      <c r="H333" s="18"/>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row>
    <row r="334" spans="1:40" ht="17" hidden="1" thickBot="1" x14ac:dyDescent="0.25">
      <c r="B334" s="45"/>
      <c r="C334" s="17"/>
      <c r="D334" s="61"/>
      <c r="E334" s="52"/>
      <c r="F334" s="78"/>
      <c r="G334" s="18"/>
      <c r="H334" s="18"/>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row>
    <row r="335" spans="1:40" ht="29" x14ac:dyDescent="0.35">
      <c r="B335" s="62" t="s">
        <v>191</v>
      </c>
      <c r="C335" s="149" t="s">
        <v>291</v>
      </c>
      <c r="D335" s="88"/>
      <c r="E335" s="88"/>
      <c r="F335" s="89"/>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row>
    <row r="336" spans="1:40" s="16" customFormat="1" ht="19" customHeight="1" x14ac:dyDescent="0.2">
      <c r="A336" s="4"/>
      <c r="B336" s="150" t="s">
        <v>287</v>
      </c>
      <c r="C336" s="162"/>
      <c r="D336" s="40"/>
      <c r="E336" s="53"/>
      <c r="F336" s="28"/>
      <c r="G336" s="14"/>
      <c r="H336" s="14"/>
    </row>
    <row r="337" spans="1:40" ht="19" x14ac:dyDescent="0.25">
      <c r="B337" s="152" t="s">
        <v>298</v>
      </c>
      <c r="C337" s="163"/>
      <c r="D337" s="39"/>
      <c r="E337" s="54" t="s">
        <v>14</v>
      </c>
      <c r="F337" s="26"/>
      <c r="G337" s="18"/>
      <c r="H337" s="20" t="b">
        <f>IF(D339="x",H$2,H$1)</f>
        <v>0</v>
      </c>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row>
    <row r="338" spans="1:40" ht="16" customHeight="1" x14ac:dyDescent="0.25">
      <c r="B338" s="152" t="s">
        <v>299</v>
      </c>
      <c r="C338" s="164"/>
      <c r="D338" s="39"/>
      <c r="E338" s="54" t="s">
        <v>15</v>
      </c>
      <c r="F338" s="21" t="str">
        <f>IF(H339=1,IF(H337=H$2,H337,""),"")</f>
        <v/>
      </c>
      <c r="G338" s="18"/>
      <c r="H338" s="20" t="str">
        <f>IF(E396="comprobar",COUNTIF(D337:D341,"x"),"")</f>
        <v/>
      </c>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row>
    <row r="339" spans="1:40" ht="19" customHeight="1" x14ac:dyDescent="0.25">
      <c r="B339" s="165" t="s">
        <v>322</v>
      </c>
      <c r="C339" s="166"/>
      <c r="D339" s="39"/>
      <c r="E339" s="54" t="s">
        <v>16</v>
      </c>
      <c r="F339" s="22" t="str">
        <f>IF(H339=-0.33,IF(H337=H$1,H337,""),"")</f>
        <v/>
      </c>
      <c r="G339" s="18"/>
      <c r="H339" s="23">
        <f>IF(H338=1,IF(H337=H$2,1,-0.33),0)</f>
        <v>0</v>
      </c>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row>
    <row r="340" spans="1:40" ht="19" x14ac:dyDescent="0.25">
      <c r="B340" s="165" t="s">
        <v>300</v>
      </c>
      <c r="C340" s="166"/>
      <c r="D340" s="39"/>
      <c r="E340" s="54" t="s">
        <v>17</v>
      </c>
      <c r="F340" s="26"/>
      <c r="G340" s="18"/>
      <c r="H340" s="23"/>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row>
    <row r="341" spans="1:40" x14ac:dyDescent="0.2">
      <c r="B341" s="45"/>
      <c r="C341" s="17"/>
      <c r="D341" s="39"/>
      <c r="E341" s="54" t="s">
        <v>18</v>
      </c>
      <c r="F341" s="19"/>
      <c r="G341" s="18"/>
      <c r="H341" s="23"/>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row>
    <row r="342" spans="1:40" s="16" customFormat="1" ht="19" customHeight="1" x14ac:dyDescent="0.25">
      <c r="A342" s="4"/>
      <c r="B342" s="150" t="s">
        <v>288</v>
      </c>
      <c r="C342" s="167"/>
      <c r="D342" s="40"/>
      <c r="E342" s="53"/>
      <c r="F342" s="28"/>
      <c r="G342" s="14"/>
      <c r="H342" s="14"/>
    </row>
    <row r="343" spans="1:40" ht="19" x14ac:dyDescent="0.2">
      <c r="B343" s="165" t="s">
        <v>323</v>
      </c>
      <c r="C343" s="168"/>
      <c r="D343" s="39"/>
      <c r="E343" s="54" t="s">
        <v>14</v>
      </c>
      <c r="F343" s="26"/>
      <c r="G343" s="18"/>
      <c r="H343" s="20" t="b">
        <f>IF(D343="x",H$2,H$1)</f>
        <v>0</v>
      </c>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row>
    <row r="344" spans="1:40" ht="19" x14ac:dyDescent="0.25">
      <c r="B344" s="165" t="s">
        <v>301</v>
      </c>
      <c r="C344" s="166"/>
      <c r="D344" s="39"/>
      <c r="E344" s="54" t="s">
        <v>15</v>
      </c>
      <c r="F344" s="21" t="str">
        <f>IF(H345=1,IF(H343=H$2,H343,""),"")</f>
        <v/>
      </c>
      <c r="G344" s="18"/>
      <c r="H344" s="20" t="str">
        <f>IF(E$396="comprobar",COUNTIF(D343:D347,"x"),"")</f>
        <v/>
      </c>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row>
    <row r="345" spans="1:40" ht="19" x14ac:dyDescent="0.25">
      <c r="B345" s="165" t="s">
        <v>302</v>
      </c>
      <c r="C345" s="166"/>
      <c r="D345" s="39"/>
      <c r="E345" s="54" t="s">
        <v>16</v>
      </c>
      <c r="F345" s="22" t="str">
        <f>IF(H345=-0.33,IF(H343=H$1,H343,""),"")</f>
        <v/>
      </c>
      <c r="G345" s="18"/>
      <c r="H345" s="23">
        <f t="shared" ref="H345" si="30">IF(H344=1,IF(H343=H$2,1,-0.33),0)</f>
        <v>0</v>
      </c>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row>
    <row r="346" spans="1:40" ht="19" x14ac:dyDescent="0.25">
      <c r="B346" s="165" t="s">
        <v>303</v>
      </c>
      <c r="C346" s="166"/>
      <c r="D346" s="39"/>
      <c r="E346" s="54" t="s">
        <v>17</v>
      </c>
      <c r="F346" s="26"/>
      <c r="G346" s="18"/>
      <c r="H346" s="23"/>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row>
    <row r="347" spans="1:40" x14ac:dyDescent="0.2">
      <c r="B347" s="45"/>
      <c r="C347" s="17"/>
      <c r="D347" s="39"/>
      <c r="E347" s="54" t="s">
        <v>18</v>
      </c>
      <c r="F347" s="19"/>
      <c r="G347" s="18"/>
      <c r="H347" s="23"/>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row>
    <row r="348" spans="1:40" s="16" customFormat="1" ht="19" customHeight="1" x14ac:dyDescent="0.25">
      <c r="A348" s="4"/>
      <c r="B348" s="150" t="s">
        <v>289</v>
      </c>
      <c r="C348" s="169"/>
      <c r="D348" s="40"/>
      <c r="E348" s="53"/>
      <c r="F348" s="28"/>
      <c r="G348" s="14"/>
      <c r="H348" s="14"/>
    </row>
    <row r="349" spans="1:40" ht="19" x14ac:dyDescent="0.25">
      <c r="B349" s="165" t="s">
        <v>304</v>
      </c>
      <c r="C349" s="166"/>
      <c r="D349" s="39"/>
      <c r="E349" s="54" t="s">
        <v>14</v>
      </c>
      <c r="F349" s="26"/>
      <c r="G349" s="18"/>
      <c r="H349" s="20" t="b">
        <f>IF(D351="x",H$2,H$1)</f>
        <v>0</v>
      </c>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row>
    <row r="350" spans="1:40" ht="19" x14ac:dyDescent="0.2">
      <c r="B350" s="165" t="s">
        <v>305</v>
      </c>
      <c r="C350" s="168"/>
      <c r="D350" s="39"/>
      <c r="E350" s="54" t="s">
        <v>15</v>
      </c>
      <c r="F350" s="21" t="str">
        <f>IF(H351=1,IF(H349=H$2,H349,""),"")</f>
        <v/>
      </c>
      <c r="G350" s="18"/>
      <c r="H350" s="20" t="str">
        <f>IF(E$396="comprobar",COUNTIF(D349:D353,"x"),"")</f>
        <v/>
      </c>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row>
    <row r="351" spans="1:40" ht="19" x14ac:dyDescent="0.25">
      <c r="B351" s="165" t="s">
        <v>324</v>
      </c>
      <c r="C351" s="166"/>
      <c r="D351" s="39"/>
      <c r="E351" s="54" t="s">
        <v>16</v>
      </c>
      <c r="F351" s="22" t="str">
        <f>IF(H351=-0.33,IF(H349=H$1,H349,""),"")</f>
        <v/>
      </c>
      <c r="G351" s="18"/>
      <c r="H351" s="23">
        <f t="shared" ref="H351" si="31">IF(H350=1,IF(H349=H$2,1,-0.33),0)</f>
        <v>0</v>
      </c>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row>
    <row r="352" spans="1:40" ht="19" x14ac:dyDescent="0.25">
      <c r="B352" s="165" t="s">
        <v>303</v>
      </c>
      <c r="C352" s="166"/>
      <c r="D352" s="39"/>
      <c r="E352" s="54" t="s">
        <v>17</v>
      </c>
      <c r="F352" s="26"/>
      <c r="G352" s="18"/>
      <c r="H352" s="23"/>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row>
    <row r="353" spans="1:40" x14ac:dyDescent="0.2">
      <c r="B353" s="45"/>
      <c r="C353" s="17"/>
      <c r="D353" s="39"/>
      <c r="E353" s="54" t="s">
        <v>18</v>
      </c>
      <c r="F353" s="19"/>
      <c r="G353" s="18"/>
      <c r="H353" s="23"/>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row>
    <row r="354" spans="1:40" s="16" customFormat="1" ht="16" customHeight="1" x14ac:dyDescent="0.25">
      <c r="A354" s="4"/>
      <c r="B354" s="150" t="s">
        <v>290</v>
      </c>
      <c r="C354" s="169"/>
      <c r="D354" s="40"/>
      <c r="E354" s="53"/>
      <c r="F354" s="28"/>
      <c r="G354" s="14"/>
      <c r="H354" s="14"/>
    </row>
    <row r="355" spans="1:40" ht="19" x14ac:dyDescent="0.25">
      <c r="B355" s="165" t="s">
        <v>306</v>
      </c>
      <c r="C355" s="166"/>
      <c r="D355" s="39"/>
      <c r="E355" s="54" t="s">
        <v>14</v>
      </c>
      <c r="F355" s="26"/>
      <c r="G355" s="18"/>
      <c r="H355" s="20" t="b">
        <f>IF(D358="x",H$2,H$1)</f>
        <v>0</v>
      </c>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row>
    <row r="356" spans="1:40" ht="19" x14ac:dyDescent="0.25">
      <c r="B356" s="165" t="s">
        <v>307</v>
      </c>
      <c r="C356" s="166"/>
      <c r="D356" s="39"/>
      <c r="E356" s="54" t="s">
        <v>15</v>
      </c>
      <c r="F356" s="21" t="str">
        <f>IF(H357=1,IF(H355=H$2,H355,""),"")</f>
        <v/>
      </c>
      <c r="G356" s="18"/>
      <c r="H356" s="20" t="str">
        <f>IF(E$396="comprobar",COUNTIF(D355:D359,"x"),"")</f>
        <v/>
      </c>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row>
    <row r="357" spans="1:40" x14ac:dyDescent="0.2">
      <c r="B357" s="165" t="s">
        <v>308</v>
      </c>
      <c r="C357" s="170"/>
      <c r="D357" s="39"/>
      <c r="E357" s="54" t="s">
        <v>16</v>
      </c>
      <c r="F357" s="22" t="str">
        <f>IF(H357=-0.33,IF(H355=H$1,H355,""),"")</f>
        <v/>
      </c>
      <c r="G357" s="18"/>
      <c r="H357" s="23">
        <f t="shared" ref="H357" si="32">IF(H356=1,IF(H355=H$2,1,-0.33),0)</f>
        <v>0</v>
      </c>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row>
    <row r="358" spans="1:40" ht="19" x14ac:dyDescent="0.25">
      <c r="B358" s="165" t="s">
        <v>325</v>
      </c>
      <c r="C358" s="166"/>
      <c r="D358" s="39"/>
      <c r="E358" s="54" t="s">
        <v>17</v>
      </c>
      <c r="F358" s="26"/>
      <c r="G358" s="18"/>
      <c r="H358" s="23"/>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row>
    <row r="359" spans="1:40" ht="19" x14ac:dyDescent="0.25">
      <c r="B359" s="171"/>
      <c r="C359" s="172"/>
      <c r="D359" s="39"/>
      <c r="E359" s="54" t="s">
        <v>18</v>
      </c>
      <c r="F359" s="19"/>
      <c r="G359" s="18"/>
      <c r="H359" s="23"/>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row>
    <row r="360" spans="1:40" s="16" customFormat="1" ht="19" customHeight="1" x14ac:dyDescent="0.2">
      <c r="A360" s="4"/>
      <c r="B360" s="150" t="s">
        <v>292</v>
      </c>
      <c r="C360" s="162"/>
      <c r="D360" s="40"/>
      <c r="E360" s="53"/>
      <c r="F360" s="28"/>
      <c r="G360" s="14"/>
      <c r="H360" s="14"/>
    </row>
    <row r="361" spans="1:40" ht="19" x14ac:dyDescent="0.25">
      <c r="B361" s="165" t="s">
        <v>309</v>
      </c>
      <c r="C361" s="163"/>
      <c r="D361" s="39"/>
      <c r="E361" s="54" t="s">
        <v>14</v>
      </c>
      <c r="F361" s="26"/>
      <c r="G361" s="18"/>
      <c r="H361" s="20" t="b">
        <f>IF(D364="x",H$2,H$1)</f>
        <v>0</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row>
    <row r="362" spans="1:40" ht="19" x14ac:dyDescent="0.25">
      <c r="B362" s="165" t="s">
        <v>307</v>
      </c>
      <c r="C362" s="166"/>
      <c r="D362" s="39"/>
      <c r="E362" s="54" t="s">
        <v>15</v>
      </c>
      <c r="F362" s="21" t="str">
        <f>IF(H363=1,IF(H361=H$2,H361,""),"")</f>
        <v/>
      </c>
      <c r="G362" s="18"/>
      <c r="H362" s="20" t="str">
        <f>IF(E$396="comprobar",COUNTIF(D361:D365,"x"),"")</f>
        <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row>
    <row r="363" spans="1:40" ht="19" x14ac:dyDescent="0.25">
      <c r="B363" s="165" t="s">
        <v>310</v>
      </c>
      <c r="C363" s="166"/>
      <c r="D363" s="39"/>
      <c r="E363" s="54" t="s">
        <v>16</v>
      </c>
      <c r="F363" s="22" t="str">
        <f>IF(H363=-0.33,IF(H361=H$1,H361,""),"")</f>
        <v/>
      </c>
      <c r="G363" s="18"/>
      <c r="H363" s="23">
        <f t="shared" ref="H363" si="33">IF(H362=1,IF(H361=H$2,1,-0.33),0)</f>
        <v>0</v>
      </c>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row>
    <row r="364" spans="1:40" ht="19" x14ac:dyDescent="0.25">
      <c r="B364" s="165" t="s">
        <v>260</v>
      </c>
      <c r="C364" s="166"/>
      <c r="D364" s="39"/>
      <c r="E364" s="54" t="s">
        <v>17</v>
      </c>
      <c r="F364" s="26"/>
      <c r="G364" s="18"/>
      <c r="H364" s="23"/>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row>
    <row r="365" spans="1:40" x14ac:dyDescent="0.2">
      <c r="B365" s="45"/>
      <c r="C365" s="17"/>
      <c r="D365" s="39"/>
      <c r="E365" s="54" t="s">
        <v>18</v>
      </c>
      <c r="F365" s="19"/>
      <c r="G365" s="18"/>
      <c r="H365" s="23"/>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row>
    <row r="366" spans="1:40" s="16" customFormat="1" ht="19" customHeight="1" x14ac:dyDescent="0.25">
      <c r="A366" s="4"/>
      <c r="B366" s="150" t="s">
        <v>293</v>
      </c>
      <c r="C366" s="167"/>
      <c r="D366" s="40"/>
      <c r="E366" s="53"/>
      <c r="F366" s="28"/>
      <c r="G366" s="14"/>
      <c r="H366" s="14"/>
    </row>
    <row r="367" spans="1:40" ht="19" x14ac:dyDescent="0.2">
      <c r="B367" s="165" t="s">
        <v>311</v>
      </c>
      <c r="C367" s="168"/>
      <c r="D367" s="39"/>
      <c r="E367" s="54" t="s">
        <v>14</v>
      </c>
      <c r="F367" s="26"/>
      <c r="G367" s="18"/>
      <c r="H367" s="20" t="b">
        <f>IF(D370="x",H$2,H$1)</f>
        <v>0</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row>
    <row r="368" spans="1:40" ht="19" x14ac:dyDescent="0.25">
      <c r="B368" s="165" t="s">
        <v>312</v>
      </c>
      <c r="C368" s="166"/>
      <c r="D368" s="39"/>
      <c r="E368" s="54" t="s">
        <v>15</v>
      </c>
      <c r="F368" s="21" t="str">
        <f>IF(H369=1,IF(H367=H$2,H367,""),"")</f>
        <v/>
      </c>
      <c r="G368" s="18"/>
      <c r="H368" s="20" t="str">
        <f>IF(E$396="comprobar",COUNTIF(D367:D371,"x"),"")</f>
        <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row>
    <row r="369" spans="1:40" ht="19" x14ac:dyDescent="0.25">
      <c r="B369" s="165" t="s">
        <v>313</v>
      </c>
      <c r="C369" s="166"/>
      <c r="D369" s="39"/>
      <c r="E369" s="54" t="s">
        <v>16</v>
      </c>
      <c r="F369" s="22" t="str">
        <f>IF(H369=-0.33,IF(H367=H$1,H367,""),"")</f>
        <v/>
      </c>
      <c r="G369" s="18"/>
      <c r="H369" s="23">
        <f t="shared" ref="H369" si="34">IF(H368=1,IF(H367=H$2,1,-0.33),0)</f>
        <v>0</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row>
    <row r="370" spans="1:40" ht="19" x14ac:dyDescent="0.25">
      <c r="B370" s="165" t="s">
        <v>326</v>
      </c>
      <c r="C370" s="166"/>
      <c r="D370" s="39"/>
      <c r="E370" s="54" t="s">
        <v>17</v>
      </c>
      <c r="F370" s="26"/>
      <c r="G370" s="18"/>
      <c r="H370" s="23"/>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row>
    <row r="371" spans="1:40" x14ac:dyDescent="0.2">
      <c r="B371" s="45"/>
      <c r="C371" s="17"/>
      <c r="D371" s="39"/>
      <c r="E371" s="54" t="s">
        <v>18</v>
      </c>
      <c r="F371" s="19"/>
      <c r="G371" s="18"/>
      <c r="H371" s="23"/>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row>
    <row r="372" spans="1:40" s="16" customFormat="1" ht="16" customHeight="1" x14ac:dyDescent="0.25">
      <c r="A372" s="4"/>
      <c r="B372" s="150" t="s">
        <v>294</v>
      </c>
      <c r="C372" s="169"/>
      <c r="D372" s="40"/>
      <c r="E372" s="53"/>
      <c r="F372" s="28"/>
      <c r="G372" s="14"/>
      <c r="H372" s="14"/>
    </row>
    <row r="373" spans="1:40" ht="19" x14ac:dyDescent="0.25">
      <c r="B373" s="165" t="s">
        <v>314</v>
      </c>
      <c r="C373" s="166"/>
      <c r="D373" s="39"/>
      <c r="E373" s="54" t="s">
        <v>14</v>
      </c>
      <c r="F373" s="26"/>
      <c r="G373" s="18"/>
      <c r="H373" s="20" t="b">
        <f>IF(D375="x",H$2,H$1)</f>
        <v>0</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row>
    <row r="374" spans="1:40" x14ac:dyDescent="0.2">
      <c r="B374" s="165" t="s">
        <v>315</v>
      </c>
      <c r="C374" s="173"/>
      <c r="D374" s="39"/>
      <c r="E374" s="54" t="s">
        <v>15</v>
      </c>
      <c r="F374" s="21" t="str">
        <f>IF(H375=1,IF(H373=H$2,H373,""),"")</f>
        <v/>
      </c>
      <c r="G374" s="18"/>
      <c r="H374" s="20" t="str">
        <f>IF(E$396="comprobar",COUNTIF(D373:D377,"x"),"")</f>
        <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row>
    <row r="375" spans="1:40" ht="19" x14ac:dyDescent="0.25">
      <c r="B375" s="165" t="s">
        <v>327</v>
      </c>
      <c r="C375" s="166"/>
      <c r="D375" s="39"/>
      <c r="E375" s="54" t="s">
        <v>16</v>
      </c>
      <c r="F375" s="22" t="str">
        <f>IF(H375=-0.33,IF(H373=H$1,H373,""),"")</f>
        <v/>
      </c>
      <c r="G375" s="18"/>
      <c r="H375" s="23">
        <f t="shared" ref="H375" si="35">IF(H374=1,IF(H373=H$2,1,-0.33),0)</f>
        <v>0</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row>
    <row r="376" spans="1:40" ht="19" x14ac:dyDescent="0.25">
      <c r="B376" s="165" t="s">
        <v>260</v>
      </c>
      <c r="C376" s="166"/>
      <c r="D376" s="39"/>
      <c r="E376" s="54" t="s">
        <v>17</v>
      </c>
      <c r="F376" s="26"/>
      <c r="G376" s="18"/>
      <c r="H376" s="23"/>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row>
    <row r="377" spans="1:40" x14ac:dyDescent="0.2">
      <c r="B377" s="45"/>
      <c r="C377" s="17"/>
      <c r="D377" s="39"/>
      <c r="E377" s="54" t="s">
        <v>18</v>
      </c>
      <c r="F377" s="19"/>
      <c r="G377" s="18"/>
      <c r="H377" s="23"/>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row>
    <row r="378" spans="1:40" s="16" customFormat="1" ht="19" customHeight="1" x14ac:dyDescent="0.25">
      <c r="A378" s="4"/>
      <c r="B378" s="150" t="s">
        <v>295</v>
      </c>
      <c r="C378" s="169"/>
      <c r="D378" s="40"/>
      <c r="E378" s="53"/>
      <c r="F378" s="28"/>
      <c r="G378" s="14"/>
      <c r="H378" s="14"/>
    </row>
    <row r="379" spans="1:40" ht="19" x14ac:dyDescent="0.25">
      <c r="B379" s="165" t="s">
        <v>328</v>
      </c>
      <c r="C379" s="166"/>
      <c r="D379" s="39"/>
      <c r="E379" s="54" t="s">
        <v>14</v>
      </c>
      <c r="F379" s="26"/>
      <c r="G379" s="18"/>
      <c r="H379" s="20" t="b">
        <f>IF(D379="x",H$2,H$1)</f>
        <v>0</v>
      </c>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row>
    <row r="380" spans="1:40" ht="19" x14ac:dyDescent="0.25">
      <c r="B380" s="165" t="s">
        <v>316</v>
      </c>
      <c r="C380" s="166"/>
      <c r="D380" s="39"/>
      <c r="E380" s="54" t="s">
        <v>15</v>
      </c>
      <c r="F380" s="21" t="str">
        <f>IF(H381=1,IF(H379=H$2,H379,""),"")</f>
        <v/>
      </c>
      <c r="G380" s="18"/>
      <c r="H380" s="20" t="str">
        <f>IF(E$396="comprobar",COUNTIF(D379:D383,"x"),"")</f>
        <v/>
      </c>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row>
    <row r="381" spans="1:40" x14ac:dyDescent="0.2">
      <c r="B381" s="184" t="s">
        <v>317</v>
      </c>
      <c r="C381" s="185"/>
      <c r="D381" s="39"/>
      <c r="E381" s="54" t="s">
        <v>16</v>
      </c>
      <c r="F381" s="22" t="str">
        <f>IF(H381=-0.33,IF(H379=H$1,H379,""),"")</f>
        <v/>
      </c>
      <c r="G381" s="18"/>
      <c r="H381" s="23">
        <f t="shared" ref="H381" si="36">IF(H380=1,IF(H379=H$2,1,-0.33),0)</f>
        <v>0</v>
      </c>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row>
    <row r="382" spans="1:40" ht="19" x14ac:dyDescent="0.25">
      <c r="B382" s="165" t="s">
        <v>260</v>
      </c>
      <c r="C382" s="166"/>
      <c r="D382" s="39"/>
      <c r="E382" s="54" t="s">
        <v>17</v>
      </c>
      <c r="F382" s="26"/>
      <c r="G382" s="18"/>
      <c r="H382" s="23"/>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row>
    <row r="383" spans="1:40" x14ac:dyDescent="0.2">
      <c r="B383" s="45"/>
      <c r="C383" s="17"/>
      <c r="D383" s="39"/>
      <c r="E383" s="54" t="s">
        <v>18</v>
      </c>
      <c r="F383" s="19"/>
      <c r="G383" s="18"/>
      <c r="H383" s="23"/>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row>
    <row r="384" spans="1:40" s="16" customFormat="1" ht="19" customHeight="1" x14ac:dyDescent="0.25">
      <c r="A384" s="4"/>
      <c r="B384" s="150" t="s">
        <v>296</v>
      </c>
      <c r="C384" s="169"/>
      <c r="D384" s="40"/>
      <c r="E384" s="53"/>
      <c r="F384" s="28"/>
      <c r="G384" s="14"/>
      <c r="H384" s="14"/>
    </row>
    <row r="385" spans="1:40" ht="19" x14ac:dyDescent="0.25">
      <c r="B385" s="165" t="s">
        <v>318</v>
      </c>
      <c r="C385" s="166"/>
      <c r="D385" s="39"/>
      <c r="E385" s="54" t="s">
        <v>14</v>
      </c>
      <c r="F385" s="26"/>
      <c r="G385" s="18"/>
      <c r="H385" s="20" t="b">
        <f>IF(D387="x",H$2,H$1)</f>
        <v>0</v>
      </c>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row>
    <row r="386" spans="1:40" ht="19" x14ac:dyDescent="0.25">
      <c r="B386" s="165" t="s">
        <v>319</v>
      </c>
      <c r="C386" s="166"/>
      <c r="D386" s="39"/>
      <c r="E386" s="54" t="s">
        <v>15</v>
      </c>
      <c r="F386" s="21" t="str">
        <f>IF(H387=1,IF(H385=H$2,H385,""),"")</f>
        <v/>
      </c>
      <c r="G386" s="18"/>
      <c r="H386" s="20" t="str">
        <f>IF(E$396="comprobar",COUNTIF(D385:D389,"x"),"")</f>
        <v/>
      </c>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row>
    <row r="387" spans="1:40" ht="19" x14ac:dyDescent="0.25">
      <c r="B387" s="165" t="s">
        <v>329</v>
      </c>
      <c r="C387" s="166"/>
      <c r="D387" s="39"/>
      <c r="E387" s="54" t="s">
        <v>16</v>
      </c>
      <c r="F387" s="22" t="str">
        <f>IF(H387=-0.33,IF(H385=H$1,H385,""),"")</f>
        <v/>
      </c>
      <c r="G387" s="18"/>
      <c r="H387" s="23">
        <f t="shared" ref="H387" si="37">IF(H386=1,IF(H385=H$2,1,-0.33),0)</f>
        <v>0</v>
      </c>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row>
    <row r="388" spans="1:40" ht="19" x14ac:dyDescent="0.2">
      <c r="B388" s="165" t="s">
        <v>260</v>
      </c>
      <c r="C388" s="168"/>
      <c r="D388" s="39"/>
      <c r="E388" s="54" t="s">
        <v>17</v>
      </c>
      <c r="F388" s="26"/>
      <c r="G388" s="18"/>
      <c r="H388" s="23"/>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row>
    <row r="389" spans="1:40" s="35" customFormat="1" x14ac:dyDescent="0.2">
      <c r="A389" s="4"/>
      <c r="B389" s="174"/>
      <c r="C389" s="155"/>
      <c r="D389" s="39"/>
      <c r="E389" s="54" t="s">
        <v>19</v>
      </c>
      <c r="F389" s="19"/>
      <c r="G389" s="18"/>
      <c r="H389" s="23"/>
      <c r="I389" s="50"/>
      <c r="J389" s="50"/>
      <c r="K389" s="50"/>
      <c r="L389" s="50"/>
      <c r="M389" s="50"/>
      <c r="N389" s="50"/>
      <c r="O389" s="50"/>
      <c r="P389" s="50"/>
      <c r="Q389" s="50"/>
      <c r="R389" s="50"/>
      <c r="S389" s="50"/>
      <c r="T389" s="50"/>
      <c r="U389" s="50"/>
      <c r="V389" s="50"/>
      <c r="W389" s="50"/>
      <c r="X389" s="50"/>
      <c r="Y389" s="50"/>
      <c r="Z389" s="50"/>
      <c r="AA389" s="50"/>
      <c r="AB389" s="50"/>
      <c r="AC389" s="50"/>
      <c r="AD389" s="50"/>
      <c r="AE389" s="50"/>
      <c r="AF389" s="50"/>
      <c r="AG389" s="50"/>
      <c r="AH389" s="50"/>
      <c r="AI389" s="50"/>
      <c r="AJ389" s="50"/>
      <c r="AK389" s="50"/>
      <c r="AL389" s="50"/>
      <c r="AM389" s="50"/>
      <c r="AN389" s="50"/>
    </row>
    <row r="390" spans="1:40" s="16" customFormat="1" ht="19" customHeight="1" x14ac:dyDescent="0.25">
      <c r="A390" s="4"/>
      <c r="B390" s="150" t="s">
        <v>297</v>
      </c>
      <c r="C390" s="177"/>
      <c r="D390" s="84"/>
      <c r="E390" s="53"/>
      <c r="F390" s="28"/>
      <c r="G390" s="27"/>
      <c r="H390" s="14"/>
    </row>
    <row r="391" spans="1:40" ht="19" x14ac:dyDescent="0.25">
      <c r="B391" s="165" t="s">
        <v>320</v>
      </c>
      <c r="C391" s="166"/>
      <c r="D391" s="39"/>
      <c r="E391" s="54" t="s">
        <v>14</v>
      </c>
      <c r="F391" s="26"/>
      <c r="G391" s="25"/>
      <c r="H391" s="20" t="b">
        <f>IF(D393="x",H$2,H$1)</f>
        <v>0</v>
      </c>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row>
    <row r="392" spans="1:40" ht="19" x14ac:dyDescent="0.25">
      <c r="B392" s="165" t="s">
        <v>321</v>
      </c>
      <c r="C392" s="166"/>
      <c r="D392" s="39"/>
      <c r="E392" s="54" t="s">
        <v>15</v>
      </c>
      <c r="F392" s="21" t="str">
        <f>IF(H393=1,IF(H391=H$2,H391,""),"")</f>
        <v/>
      </c>
      <c r="G392" s="25"/>
      <c r="H392" s="20" t="str">
        <f>IF(E$396="comprobar",COUNTIF(D391:D395,"x"),"")</f>
        <v/>
      </c>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row>
    <row r="393" spans="1:40" ht="19" x14ac:dyDescent="0.25">
      <c r="B393" s="165" t="s">
        <v>330</v>
      </c>
      <c r="C393" s="166"/>
      <c r="D393" s="39"/>
      <c r="E393" s="54" t="s">
        <v>16</v>
      </c>
      <c r="F393" s="22" t="str">
        <f>IF(H393=-0.33,IF(H391=H$1,H391,""),"")</f>
        <v/>
      </c>
      <c r="G393" s="25"/>
      <c r="H393" s="23">
        <f t="shared" ref="H393" si="38">IF(H392=1,IF(H391=H$2,1,-0.33),0)</f>
        <v>0</v>
      </c>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row>
    <row r="394" spans="1:40" ht="19" x14ac:dyDescent="0.25">
      <c r="B394" s="165" t="s">
        <v>260</v>
      </c>
      <c r="C394" s="166"/>
      <c r="D394" s="39"/>
      <c r="E394" s="54" t="s">
        <v>17</v>
      </c>
      <c r="F394" s="26"/>
      <c r="G394" s="25"/>
      <c r="H394" s="23"/>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row>
    <row r="395" spans="1:40" ht="19" x14ac:dyDescent="0.25">
      <c r="B395" s="171"/>
      <c r="C395" s="172"/>
      <c r="D395" s="39"/>
      <c r="E395" s="54" t="s">
        <v>18</v>
      </c>
      <c r="F395" s="19"/>
      <c r="G395" s="25"/>
      <c r="H395" s="23"/>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row>
    <row r="396" spans="1:40" x14ac:dyDescent="0.2">
      <c r="B396" s="45"/>
      <c r="C396" s="42"/>
      <c r="D396" s="49"/>
      <c r="E396" s="55"/>
      <c r="F396" s="19"/>
      <c r="G396" s="18"/>
      <c r="H396" s="18"/>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row>
    <row r="397" spans="1:40" x14ac:dyDescent="0.2">
      <c r="B397" s="45"/>
      <c r="C397" s="17"/>
      <c r="D397" s="49"/>
      <c r="E397" s="58"/>
      <c r="F397" s="29" t="s">
        <v>8</v>
      </c>
      <c r="G397" s="18" t="s">
        <v>6</v>
      </c>
      <c r="H397" s="18" t="s">
        <v>7</v>
      </c>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row>
    <row r="398" spans="1:40" ht="20" x14ac:dyDescent="0.2">
      <c r="B398" s="45"/>
      <c r="C398" s="17"/>
      <c r="D398" s="87"/>
      <c r="E398" s="52"/>
      <c r="F398" s="30" t="str">
        <f>IF(E396="comprobar",H393+H387+H381+H375+H369+H363+H357+H351+H345+H339,"")</f>
        <v/>
      </c>
      <c r="G398" s="18">
        <f>10/2</f>
        <v>5</v>
      </c>
      <c r="H398" s="18"/>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row>
    <row r="399" spans="1:40" ht="17" thickBot="1" x14ac:dyDescent="0.25">
      <c r="B399" s="46"/>
      <c r="C399" s="31"/>
      <c r="D399" s="32"/>
      <c r="E399" s="56"/>
      <c r="F399" s="33" t="str">
        <f>IF(F398&gt;G398,G397,H397)</f>
        <v>APROBADO</v>
      </c>
      <c r="G399" s="18"/>
      <c r="H399" s="18"/>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row>
    <row r="400" spans="1:40" ht="29" x14ac:dyDescent="0.35">
      <c r="B400" s="62" t="s">
        <v>191</v>
      </c>
      <c r="C400" s="149" t="s">
        <v>13</v>
      </c>
      <c r="D400" s="88"/>
      <c r="E400" s="88"/>
      <c r="F400" s="89"/>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row>
    <row r="401" spans="1:40" s="16" customFormat="1" ht="19" customHeight="1" x14ac:dyDescent="0.2">
      <c r="A401" s="4"/>
      <c r="B401" s="82" t="s">
        <v>228</v>
      </c>
      <c r="C401" s="97"/>
      <c r="D401" s="40"/>
      <c r="E401" s="53"/>
      <c r="F401" s="28"/>
      <c r="G401" s="14"/>
      <c r="H401" s="14"/>
    </row>
    <row r="402" spans="1:40" x14ac:dyDescent="0.2">
      <c r="B402" s="83" t="s">
        <v>233</v>
      </c>
      <c r="C402" s="64"/>
      <c r="D402" s="39"/>
      <c r="E402" s="54" t="s">
        <v>14</v>
      </c>
      <c r="F402" s="26"/>
      <c r="G402" s="18"/>
      <c r="H402" s="20" t="b">
        <f>IF(D403="x",H$2,H$1)</f>
        <v>0</v>
      </c>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row>
    <row r="403" spans="1:40" x14ac:dyDescent="0.2">
      <c r="B403" s="83" t="s">
        <v>234</v>
      </c>
      <c r="C403" s="96"/>
      <c r="D403" s="39"/>
      <c r="E403" s="54" t="s">
        <v>15</v>
      </c>
      <c r="F403" s="21" t="str">
        <f>IF(H404=1,IF(H402=H$2,H402,""),"")</f>
        <v/>
      </c>
      <c r="G403" s="18"/>
      <c r="H403" s="20" t="str">
        <f>IF(E$433="comprobar",COUNTIF(D402:D406,"x"),"")</f>
        <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row>
    <row r="404" spans="1:40" x14ac:dyDescent="0.2">
      <c r="B404" s="83" t="s">
        <v>235</v>
      </c>
      <c r="C404" s="96"/>
      <c r="D404" s="39"/>
      <c r="E404" s="54" t="s">
        <v>16</v>
      </c>
      <c r="F404" s="22" t="str">
        <f>IF(H404=-0.33,IF(H402=H$1,H402,""),"")</f>
        <v/>
      </c>
      <c r="G404" s="18"/>
      <c r="H404" s="23">
        <f>IF(H403=1,IF(H402=H$2,1,-0.33),0)</f>
        <v>0</v>
      </c>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row>
    <row r="405" spans="1:40" x14ac:dyDescent="0.2">
      <c r="B405" s="83" t="s">
        <v>236</v>
      </c>
      <c r="C405" s="96"/>
      <c r="D405" s="39"/>
      <c r="E405" s="54" t="s">
        <v>17</v>
      </c>
      <c r="F405" s="26"/>
      <c r="G405" s="18"/>
      <c r="H405" s="23"/>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row>
    <row r="406" spans="1:40" x14ac:dyDescent="0.2">
      <c r="B406" s="65"/>
      <c r="C406" s="66"/>
      <c r="D406" s="39"/>
      <c r="E406" s="54" t="s">
        <v>18</v>
      </c>
      <c r="F406" s="19"/>
      <c r="G406" s="18"/>
      <c r="H406" s="23"/>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row>
    <row r="407" spans="1:40" s="16" customFormat="1" ht="19" customHeight="1" x14ac:dyDescent="0.2">
      <c r="A407" s="4"/>
      <c r="B407" s="82" t="s">
        <v>229</v>
      </c>
      <c r="C407" s="95"/>
      <c r="D407" s="40"/>
      <c r="E407" s="53"/>
      <c r="F407" s="81"/>
      <c r="G407" s="14"/>
      <c r="H407" s="14"/>
    </row>
    <row r="408" spans="1:40" x14ac:dyDescent="0.2">
      <c r="B408" s="83" t="s">
        <v>237</v>
      </c>
      <c r="C408" s="144"/>
      <c r="D408" s="39"/>
      <c r="E408" s="54" t="s">
        <v>14</v>
      </c>
      <c r="F408" s="26"/>
      <c r="G408" s="18"/>
      <c r="H408" s="20" t="b">
        <f>IF(D408="x",H$2,H$1)</f>
        <v>0</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row>
    <row r="409" spans="1:40" x14ac:dyDescent="0.2">
      <c r="B409" s="83" t="s">
        <v>238</v>
      </c>
      <c r="C409" s="116"/>
      <c r="D409" s="39"/>
      <c r="E409" s="54" t="s">
        <v>15</v>
      </c>
      <c r="F409" s="21" t="str">
        <f>IF(H410=1,IF(H408=H$2,H408,""),"")</f>
        <v/>
      </c>
      <c r="G409" s="18"/>
      <c r="H409" s="20" t="str">
        <f>IF(E$433="comprobar",COUNTIF(D408:D412,"x"),"")</f>
        <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row>
    <row r="410" spans="1:40" x14ac:dyDescent="0.2">
      <c r="B410" s="83" t="s">
        <v>239</v>
      </c>
      <c r="C410" s="96"/>
      <c r="D410" s="39"/>
      <c r="E410" s="54" t="s">
        <v>16</v>
      </c>
      <c r="F410" s="22" t="str">
        <f>IF(H410=-0.33,IF(H408=H$1,H408,""),"")</f>
        <v/>
      </c>
      <c r="G410" s="18"/>
      <c r="H410" s="23">
        <f t="shared" ref="H410" si="39">IF(H409=1,IF(H408=H$2,1,-0.33),0)</f>
        <v>0</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row>
    <row r="411" spans="1:40" x14ac:dyDescent="0.2">
      <c r="B411" s="83" t="s">
        <v>240</v>
      </c>
      <c r="C411" s="96"/>
      <c r="D411" s="39"/>
      <c r="E411" s="54" t="s">
        <v>17</v>
      </c>
      <c r="F411" s="26"/>
      <c r="G411" s="18"/>
      <c r="H411" s="23"/>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row>
    <row r="412" spans="1:40" x14ac:dyDescent="0.2">
      <c r="B412" s="65"/>
      <c r="C412" s="66"/>
      <c r="D412" s="39"/>
      <c r="E412" s="54" t="s">
        <v>18</v>
      </c>
      <c r="F412" s="19"/>
      <c r="G412" s="18"/>
      <c r="H412" s="23"/>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row>
    <row r="413" spans="1:40" s="16" customFormat="1" ht="19" customHeight="1" x14ac:dyDescent="0.2">
      <c r="A413" s="4"/>
      <c r="B413" s="82" t="s">
        <v>230</v>
      </c>
      <c r="C413" s="145"/>
      <c r="D413" s="84"/>
      <c r="E413" s="53"/>
      <c r="F413" s="28"/>
      <c r="G413" s="14"/>
      <c r="H413" s="14"/>
    </row>
    <row r="414" spans="1:40" x14ac:dyDescent="0.2">
      <c r="B414" s="83" t="s">
        <v>241</v>
      </c>
      <c r="C414" s="146"/>
      <c r="D414" s="39"/>
      <c r="E414" s="54" t="s">
        <v>14</v>
      </c>
      <c r="F414" s="26"/>
      <c r="G414" s="18"/>
      <c r="H414" s="20" t="b">
        <f>IF(D417="x",H$2,H$1)</f>
        <v>0</v>
      </c>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row>
    <row r="415" spans="1:40" x14ac:dyDescent="0.2">
      <c r="B415" s="83" t="s">
        <v>242</v>
      </c>
      <c r="C415" s="147"/>
      <c r="D415" s="39"/>
      <c r="E415" s="54" t="s">
        <v>15</v>
      </c>
      <c r="F415" s="21" t="str">
        <f>IF(H416=1,IF(H414=H$2,H414,""),"")</f>
        <v/>
      </c>
      <c r="G415" s="18"/>
      <c r="H415" s="20" t="str">
        <f>IF(E$433="comprobar",COUNTIF(D414:D418,"x"),"")</f>
        <v/>
      </c>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row>
    <row r="416" spans="1:40" x14ac:dyDescent="0.2">
      <c r="B416" s="83" t="s">
        <v>243</v>
      </c>
      <c r="C416" s="116"/>
      <c r="D416" s="39"/>
      <c r="E416" s="54" t="s">
        <v>16</v>
      </c>
      <c r="F416" s="22" t="str">
        <f>IF(H416=-0.33,IF(H414=H$1,H414,""),"")</f>
        <v/>
      </c>
      <c r="G416" s="18"/>
      <c r="H416" s="23">
        <f t="shared" ref="H416" si="40">IF(H415=1,IF(H414=H$2,1,-0.33),0)</f>
        <v>0</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row>
    <row r="417" spans="1:40" x14ac:dyDescent="0.2">
      <c r="B417" s="83" t="s">
        <v>244</v>
      </c>
      <c r="C417" s="96"/>
      <c r="D417" s="39"/>
      <c r="E417" s="54" t="s">
        <v>17</v>
      </c>
      <c r="F417" s="26"/>
      <c r="G417" s="18"/>
      <c r="H417" s="23"/>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row>
    <row r="418" spans="1:40" x14ac:dyDescent="0.2">
      <c r="B418" s="65"/>
      <c r="C418" s="148"/>
      <c r="D418" s="39"/>
      <c r="E418" s="54" t="s">
        <v>18</v>
      </c>
      <c r="F418" s="19"/>
      <c r="G418" s="18"/>
      <c r="H418" s="23"/>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row>
    <row r="419" spans="1:40" s="16" customFormat="1" ht="19" customHeight="1" x14ac:dyDescent="0.2">
      <c r="A419" s="4"/>
      <c r="B419" s="82" t="s">
        <v>231</v>
      </c>
      <c r="C419" s="95"/>
      <c r="D419" s="84"/>
      <c r="E419" s="53"/>
      <c r="F419" s="28"/>
      <c r="G419" s="14"/>
      <c r="H419" s="14"/>
    </row>
    <row r="420" spans="1:40" x14ac:dyDescent="0.2">
      <c r="B420" s="83" t="s">
        <v>245</v>
      </c>
      <c r="C420" s="146"/>
      <c r="D420" s="39"/>
      <c r="E420" s="54" t="s">
        <v>14</v>
      </c>
      <c r="F420" s="26"/>
      <c r="G420" s="18"/>
      <c r="H420" s="20" t="b">
        <f>IF(D420="x",H$2,H$1)</f>
        <v>0</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row>
    <row r="421" spans="1:40" x14ac:dyDescent="0.2">
      <c r="B421" s="83" t="s">
        <v>246</v>
      </c>
      <c r="C421" s="96"/>
      <c r="D421" s="39"/>
      <c r="E421" s="54" t="s">
        <v>15</v>
      </c>
      <c r="F421" s="21" t="str">
        <f>IF(H422=1,IF(H420=H$2,H420,""),"")</f>
        <v/>
      </c>
      <c r="G421" s="18"/>
      <c r="H421" s="20" t="str">
        <f>IF(E$433="comprobar",COUNTIF(D420:D424,"x"),"")</f>
        <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row>
    <row r="422" spans="1:40" x14ac:dyDescent="0.2">
      <c r="B422" s="83" t="s">
        <v>247</v>
      </c>
      <c r="C422" s="147"/>
      <c r="D422" s="39"/>
      <c r="E422" s="54" t="s">
        <v>16</v>
      </c>
      <c r="F422" s="22" t="str">
        <f>IF(H422=-0.33,IF(H420=H$1,H420,""),"")</f>
        <v/>
      </c>
      <c r="G422" s="18"/>
      <c r="H422" s="23">
        <f t="shared" ref="H422" si="41">IF(H421=1,IF(H420=H$2,1,-0.33),0)</f>
        <v>0</v>
      </c>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row>
    <row r="423" spans="1:40" x14ac:dyDescent="0.2">
      <c r="B423" s="83" t="s">
        <v>119</v>
      </c>
      <c r="C423" s="116"/>
      <c r="D423" s="39"/>
      <c r="E423" s="54" t="s">
        <v>17</v>
      </c>
      <c r="F423" s="26"/>
      <c r="G423" s="18"/>
      <c r="H423" s="23"/>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row>
    <row r="424" spans="1:40" x14ac:dyDescent="0.2">
      <c r="B424" s="65"/>
      <c r="C424" s="66"/>
      <c r="D424" s="39"/>
      <c r="E424" s="54" t="s">
        <v>18</v>
      </c>
      <c r="F424" s="19"/>
      <c r="G424" s="18"/>
      <c r="H424" s="23"/>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row>
    <row r="425" spans="1:40" x14ac:dyDescent="0.2">
      <c r="B425" s="65"/>
      <c r="C425" s="66"/>
      <c r="D425" s="49"/>
      <c r="E425" s="54"/>
      <c r="F425" s="26"/>
      <c r="G425" s="18"/>
      <c r="H425" s="23"/>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row>
    <row r="426" spans="1:40" x14ac:dyDescent="0.2">
      <c r="B426" s="65"/>
      <c r="C426" s="66"/>
      <c r="D426" s="49"/>
      <c r="E426" s="54"/>
      <c r="F426" s="19"/>
      <c r="G426" s="18"/>
      <c r="H426" s="23"/>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row>
    <row r="427" spans="1:40" s="16" customFormat="1" x14ac:dyDescent="0.2">
      <c r="A427" s="4"/>
      <c r="B427" s="82" t="s">
        <v>232</v>
      </c>
      <c r="C427" s="95"/>
      <c r="D427" s="120"/>
      <c r="E427" s="53"/>
      <c r="F427" s="28"/>
      <c r="G427" s="14"/>
      <c r="H427" s="14"/>
    </row>
    <row r="428" spans="1:40" x14ac:dyDescent="0.2">
      <c r="B428" s="160" t="s">
        <v>248</v>
      </c>
      <c r="C428" s="64"/>
      <c r="D428" s="39"/>
      <c r="E428" s="54" t="s">
        <v>14</v>
      </c>
      <c r="F428" s="26"/>
      <c r="G428" s="18"/>
      <c r="H428" s="20" t="b">
        <f>IF(D428="x",H$2,H$1)</f>
        <v>0</v>
      </c>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row>
    <row r="429" spans="1:40" x14ac:dyDescent="0.2">
      <c r="B429" s="161" t="s">
        <v>249</v>
      </c>
      <c r="C429" s="116"/>
      <c r="D429" s="39"/>
      <c r="E429" s="54" t="s">
        <v>15</v>
      </c>
      <c r="F429" s="21" t="str">
        <f>IF(H430=1,IF(H428=H$2,H428,""),"")</f>
        <v/>
      </c>
      <c r="G429" s="18"/>
      <c r="H429" s="20" t="str">
        <f>IF(E$433="comprobar",COUNTIF(D428:D432,"x"),"")</f>
        <v/>
      </c>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row>
    <row r="430" spans="1:40" x14ac:dyDescent="0.2">
      <c r="B430" s="161" t="s">
        <v>250</v>
      </c>
      <c r="C430" s="116"/>
      <c r="D430" s="39"/>
      <c r="E430" s="54" t="s">
        <v>16</v>
      </c>
      <c r="F430" s="22" t="str">
        <f>IF(H430=-0.33,IF(H428=H$1,H428,""),"")</f>
        <v/>
      </c>
      <c r="G430" s="18"/>
      <c r="H430" s="23">
        <f t="shared" ref="H430" si="42">IF(H429=1,IF(H428=H$2,1,-0.33),0)</f>
        <v>0</v>
      </c>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row>
    <row r="431" spans="1:40" x14ac:dyDescent="0.2">
      <c r="B431" s="161" t="s">
        <v>179</v>
      </c>
      <c r="C431" s="116"/>
      <c r="D431" s="39"/>
      <c r="E431" s="54" t="s">
        <v>17</v>
      </c>
      <c r="F431" s="26"/>
      <c r="G431" s="18"/>
      <c r="H431" s="23"/>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row>
    <row r="432" spans="1:40" x14ac:dyDescent="0.2">
      <c r="B432" s="65"/>
      <c r="C432" s="66"/>
      <c r="D432" s="39"/>
      <c r="E432" s="54" t="s">
        <v>18</v>
      </c>
      <c r="F432" s="19"/>
      <c r="G432" s="18"/>
      <c r="H432" s="23"/>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row>
    <row r="433" spans="1:40" x14ac:dyDescent="0.2">
      <c r="B433" s="45"/>
      <c r="C433" s="41"/>
      <c r="D433" s="49"/>
      <c r="E433" s="55"/>
      <c r="F433" s="19"/>
      <c r="H433" s="18"/>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row>
    <row r="434" spans="1:40" x14ac:dyDescent="0.2">
      <c r="B434" s="45"/>
      <c r="C434" s="17"/>
      <c r="D434" s="49"/>
      <c r="E434" s="58"/>
      <c r="F434" s="29" t="s">
        <v>8</v>
      </c>
      <c r="G434" s="18" t="s">
        <v>6</v>
      </c>
      <c r="H434" s="18" t="s">
        <v>7</v>
      </c>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row>
    <row r="435" spans="1:40" ht="20" x14ac:dyDescent="0.2">
      <c r="B435" s="45"/>
      <c r="C435" s="17"/>
      <c r="D435" s="87"/>
      <c r="E435" s="52"/>
      <c r="F435" s="30" t="str">
        <f>IF(E433="comprobar",H430+H422+H416+H410+H404,"")</f>
        <v/>
      </c>
      <c r="G435" s="18">
        <f>5/2</f>
        <v>2.5</v>
      </c>
      <c r="H435" s="18"/>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row>
    <row r="436" spans="1:40" ht="17" thickBot="1" x14ac:dyDescent="0.25">
      <c r="B436" s="46"/>
      <c r="C436" s="31"/>
      <c r="D436" s="32"/>
      <c r="E436" s="56"/>
      <c r="F436" s="33" t="str">
        <f>IF(F435&gt;G435,G434,H434)</f>
        <v>APROBADO</v>
      </c>
      <c r="G436" s="18"/>
      <c r="H436" s="18"/>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row>
    <row r="437" spans="1:40" ht="29" x14ac:dyDescent="0.35">
      <c r="B437" s="62" t="s">
        <v>191</v>
      </c>
      <c r="C437" s="88" t="s">
        <v>251</v>
      </c>
      <c r="D437" s="88"/>
      <c r="E437" s="88"/>
      <c r="F437" s="89"/>
    </row>
    <row r="438" spans="1:40" s="16" customFormat="1" x14ac:dyDescent="0.2">
      <c r="A438" s="4"/>
      <c r="B438" s="157" t="s">
        <v>252</v>
      </c>
      <c r="C438" s="151"/>
      <c r="D438" s="13"/>
      <c r="E438" s="13"/>
      <c r="F438" s="15"/>
      <c r="G438" s="27"/>
      <c r="H438" s="14"/>
    </row>
    <row r="439" spans="1:40" x14ac:dyDescent="0.2">
      <c r="B439" s="158" t="s">
        <v>262</v>
      </c>
      <c r="C439" s="153"/>
      <c r="D439" s="39"/>
      <c r="E439" s="87" t="s">
        <v>14</v>
      </c>
      <c r="F439" s="19"/>
      <c r="G439" s="25"/>
      <c r="H439" s="20" t="b">
        <f>IF(D439="x",H$2,H$1)</f>
        <v>0</v>
      </c>
    </row>
    <row r="440" spans="1:40" x14ac:dyDescent="0.2">
      <c r="B440" s="158" t="s">
        <v>263</v>
      </c>
      <c r="C440" s="154"/>
      <c r="D440" s="39"/>
      <c r="E440" s="87" t="s">
        <v>15</v>
      </c>
      <c r="F440" s="21" t="str">
        <f>IF(H441=1,IF(H439=H$2,H439,""),"")</f>
        <v/>
      </c>
      <c r="G440" s="25"/>
      <c r="H440" s="20" t="str">
        <f>IF(E$487="comprobar",COUNTIF(D439:D443,"x"),"")</f>
        <v/>
      </c>
    </row>
    <row r="441" spans="1:40" x14ac:dyDescent="0.2">
      <c r="B441" s="158" t="s">
        <v>264</v>
      </c>
      <c r="C441" s="154"/>
      <c r="D441" s="39"/>
      <c r="E441" s="87" t="s">
        <v>16</v>
      </c>
      <c r="F441" s="22" t="str">
        <f>IF(H441=-0.33,IF(H439=H$1,H439,""),"")</f>
        <v/>
      </c>
      <c r="G441" s="25"/>
      <c r="H441" s="23">
        <f>IF(H440=1,IF(H439=H$2,1,-0.33),0)</f>
        <v>0</v>
      </c>
    </row>
    <row r="442" spans="1:40" x14ac:dyDescent="0.2">
      <c r="B442" s="158" t="s">
        <v>265</v>
      </c>
      <c r="C442" s="154"/>
      <c r="D442" s="39"/>
      <c r="E442" s="87" t="s">
        <v>17</v>
      </c>
      <c r="F442" s="19"/>
      <c r="G442" s="25"/>
      <c r="H442" s="23"/>
    </row>
    <row r="443" spans="1:40" x14ac:dyDescent="0.2">
      <c r="B443" s="43"/>
      <c r="C443" s="17"/>
      <c r="D443" s="39"/>
      <c r="E443" s="87" t="s">
        <v>18</v>
      </c>
      <c r="F443" s="19"/>
      <c r="G443" s="18"/>
      <c r="H443" s="23"/>
    </row>
    <row r="444" spans="1:40" s="16" customFormat="1" x14ac:dyDescent="0.2">
      <c r="A444" s="4"/>
      <c r="B444" s="157" t="s">
        <v>253</v>
      </c>
      <c r="C444" s="12"/>
      <c r="D444" s="40"/>
      <c r="E444" s="13"/>
      <c r="F444" s="15"/>
      <c r="G444" s="27"/>
      <c r="H444" s="14"/>
    </row>
    <row r="445" spans="1:40" x14ac:dyDescent="0.2">
      <c r="B445" s="158" t="s">
        <v>266</v>
      </c>
      <c r="C445" s="155"/>
      <c r="D445" s="39"/>
      <c r="E445" s="87" t="s">
        <v>14</v>
      </c>
      <c r="F445" s="19"/>
      <c r="G445" s="25"/>
      <c r="H445" s="20" t="b">
        <f>IF(D447="x",H$2,H$1)</f>
        <v>0</v>
      </c>
    </row>
    <row r="446" spans="1:40" x14ac:dyDescent="0.2">
      <c r="B446" s="158" t="s">
        <v>267</v>
      </c>
      <c r="C446" s="153"/>
      <c r="D446" s="39"/>
      <c r="E446" s="87" t="s">
        <v>15</v>
      </c>
      <c r="F446" s="21" t="str">
        <f>IF(H447=1,IF(H445=H$2,H445,""),"")</f>
        <v/>
      </c>
      <c r="G446" s="25"/>
      <c r="H446" s="20" t="str">
        <f>IF(E$487="comprobar",COUNTIF(D445:D449,"x"),"")</f>
        <v/>
      </c>
    </row>
    <row r="447" spans="1:40" x14ac:dyDescent="0.2">
      <c r="B447" s="158" t="s">
        <v>268</v>
      </c>
      <c r="C447" s="154"/>
      <c r="D447" s="39"/>
      <c r="E447" s="87" t="s">
        <v>16</v>
      </c>
      <c r="F447" s="22" t="str">
        <f>IF(H447=-0.33,IF(H445=H$1,H445,""),"")</f>
        <v/>
      </c>
      <c r="G447" s="25"/>
      <c r="H447" s="23">
        <f t="shared" ref="H447" si="43">IF(H446=1,IF(H445=H$2,1,-0.33),0)</f>
        <v>0</v>
      </c>
    </row>
    <row r="448" spans="1:40" x14ac:dyDescent="0.2">
      <c r="B448" s="158" t="s">
        <v>265</v>
      </c>
      <c r="C448" s="154"/>
      <c r="D448" s="39"/>
      <c r="E448" s="87" t="s">
        <v>17</v>
      </c>
      <c r="F448" s="19"/>
      <c r="G448" s="25"/>
      <c r="H448" s="23"/>
    </row>
    <row r="449" spans="1:8" x14ac:dyDescent="0.2">
      <c r="B449" s="43"/>
      <c r="C449" s="17"/>
      <c r="D449" s="39"/>
      <c r="E449" s="87" t="s">
        <v>18</v>
      </c>
      <c r="F449" s="19"/>
      <c r="G449" s="18"/>
      <c r="H449" s="23"/>
    </row>
    <row r="450" spans="1:8" s="16" customFormat="1" x14ac:dyDescent="0.2">
      <c r="A450" s="4"/>
      <c r="B450" s="157" t="s">
        <v>254</v>
      </c>
      <c r="C450" s="156"/>
      <c r="D450" s="40"/>
      <c r="E450" s="13"/>
      <c r="F450" s="15"/>
      <c r="G450" s="27"/>
      <c r="H450" s="14"/>
    </row>
    <row r="451" spans="1:8" x14ac:dyDescent="0.2">
      <c r="B451" s="158" t="s">
        <v>269</v>
      </c>
      <c r="C451" s="17"/>
      <c r="D451" s="39"/>
      <c r="E451" s="87" t="s">
        <v>14</v>
      </c>
      <c r="F451" s="19"/>
      <c r="G451" s="25"/>
      <c r="H451" s="20" t="b">
        <f>IF(D453="x",H$2,H$1)</f>
        <v>0</v>
      </c>
    </row>
    <row r="452" spans="1:8" x14ac:dyDescent="0.2">
      <c r="B452" s="158" t="s">
        <v>270</v>
      </c>
      <c r="C452" s="155"/>
      <c r="D452" s="39"/>
      <c r="E452" s="87" t="s">
        <v>15</v>
      </c>
      <c r="F452" s="21" t="str">
        <f>IF(H453=1,IF(H451=H$2,H451,""),"")</f>
        <v/>
      </c>
      <c r="G452" s="25"/>
      <c r="H452" s="20" t="str">
        <f>IF(E$487="comprobar",COUNTIF(D451:D455,"x"),"")</f>
        <v/>
      </c>
    </row>
    <row r="453" spans="1:8" x14ac:dyDescent="0.2">
      <c r="B453" s="158" t="s">
        <v>271</v>
      </c>
      <c r="C453" s="153"/>
      <c r="D453" s="39"/>
      <c r="E453" s="87" t="s">
        <v>16</v>
      </c>
      <c r="F453" s="22" t="str">
        <f>IF(H453=-0.33,IF(H451=H$1,H451,""),"")</f>
        <v/>
      </c>
      <c r="G453" s="25"/>
      <c r="H453" s="23">
        <f t="shared" ref="H453" si="44">IF(H452=1,IF(H451=H$2,1,-0.33),0)</f>
        <v>0</v>
      </c>
    </row>
    <row r="454" spans="1:8" x14ac:dyDescent="0.2">
      <c r="B454" s="158" t="s">
        <v>265</v>
      </c>
      <c r="C454" s="154"/>
      <c r="D454" s="39"/>
      <c r="E454" s="87" t="s">
        <v>17</v>
      </c>
      <c r="F454" s="19"/>
      <c r="G454" s="25"/>
      <c r="H454" s="23"/>
    </row>
    <row r="455" spans="1:8" x14ac:dyDescent="0.2">
      <c r="B455" s="137"/>
      <c r="C455" s="17"/>
      <c r="D455" s="39"/>
      <c r="E455" s="87" t="s">
        <v>18</v>
      </c>
      <c r="F455" s="19"/>
      <c r="G455" s="18"/>
      <c r="H455" s="23"/>
    </row>
    <row r="456" spans="1:8" s="16" customFormat="1" x14ac:dyDescent="0.2">
      <c r="A456" s="4"/>
      <c r="B456" s="157" t="s">
        <v>255</v>
      </c>
      <c r="C456" s="151"/>
      <c r="D456" s="40"/>
      <c r="E456" s="13"/>
      <c r="F456" s="15"/>
      <c r="G456" s="27"/>
      <c r="H456" s="14"/>
    </row>
    <row r="457" spans="1:8" x14ac:dyDescent="0.2">
      <c r="B457" s="158" t="s">
        <v>272</v>
      </c>
      <c r="C457" s="153"/>
      <c r="D457" s="39"/>
      <c r="E457" s="87" t="s">
        <v>14</v>
      </c>
      <c r="F457" s="19"/>
      <c r="G457" s="25"/>
      <c r="H457" s="20" t="b">
        <f>IF(D460="x",H$2,H$1)</f>
        <v>0</v>
      </c>
    </row>
    <row r="458" spans="1:8" x14ac:dyDescent="0.2">
      <c r="B458" s="158" t="s">
        <v>273</v>
      </c>
      <c r="C458" s="154"/>
      <c r="D458" s="39"/>
      <c r="E458" s="87" t="s">
        <v>15</v>
      </c>
      <c r="F458" s="21" t="str">
        <f>IF(H459=1,IF(H457=H$2,H457,""),"")</f>
        <v/>
      </c>
      <c r="G458" s="25"/>
      <c r="H458" s="20" t="str">
        <f>IF(E$487="comprobar",COUNTIF(D457:D461,"x"),"")</f>
        <v/>
      </c>
    </row>
    <row r="459" spans="1:8" x14ac:dyDescent="0.2">
      <c r="B459" s="158" t="s">
        <v>274</v>
      </c>
      <c r="C459" s="154"/>
      <c r="D459" s="39"/>
      <c r="E459" s="87" t="s">
        <v>16</v>
      </c>
      <c r="F459" s="22" t="str">
        <f>IF(H459=-0.33,IF(H457=H$1,H457,""),"")</f>
        <v/>
      </c>
      <c r="G459" s="25"/>
      <c r="H459" s="23">
        <f t="shared" ref="H459" si="45">IF(H458=1,IF(H457=H$2,1,-0.33),0)</f>
        <v>0</v>
      </c>
    </row>
    <row r="460" spans="1:8" x14ac:dyDescent="0.2">
      <c r="B460" s="158" t="s">
        <v>265</v>
      </c>
      <c r="C460" s="154"/>
      <c r="D460" s="39"/>
      <c r="E460" s="87" t="s">
        <v>17</v>
      </c>
      <c r="F460" s="19"/>
      <c r="G460" s="25"/>
      <c r="H460" s="23"/>
    </row>
    <row r="461" spans="1:8" x14ac:dyDescent="0.2">
      <c r="B461" s="43"/>
      <c r="C461" s="17"/>
      <c r="D461" s="39"/>
      <c r="E461" s="87" t="s">
        <v>18</v>
      </c>
      <c r="F461" s="19"/>
      <c r="G461" s="18"/>
      <c r="H461" s="23"/>
    </row>
    <row r="462" spans="1:8" s="16" customFormat="1" x14ac:dyDescent="0.2">
      <c r="A462" s="4"/>
      <c r="B462" s="157" t="s">
        <v>256</v>
      </c>
      <c r="C462" s="12"/>
      <c r="D462" s="40"/>
      <c r="E462" s="13"/>
      <c r="F462" s="15"/>
      <c r="G462" s="27"/>
      <c r="H462" s="14"/>
    </row>
    <row r="463" spans="1:8" x14ac:dyDescent="0.2">
      <c r="B463" s="158" t="s">
        <v>275</v>
      </c>
      <c r="C463" s="155"/>
      <c r="D463" s="39"/>
      <c r="E463" s="87" t="s">
        <v>14</v>
      </c>
      <c r="F463" s="19"/>
      <c r="G463" s="25"/>
      <c r="H463" s="20" t="b">
        <f>IF(D465="x",H$2,H$1)</f>
        <v>0</v>
      </c>
    </row>
    <row r="464" spans="1:8" x14ac:dyDescent="0.2">
      <c r="B464" s="158" t="s">
        <v>276</v>
      </c>
      <c r="C464" s="153"/>
      <c r="D464" s="39"/>
      <c r="E464" s="87" t="s">
        <v>15</v>
      </c>
      <c r="F464" s="21" t="str">
        <f>IF(H465=1,IF(H463=H$2,H463,""),"")</f>
        <v/>
      </c>
      <c r="G464" s="25"/>
      <c r="H464" s="20" t="str">
        <f>IF(E$487="comprobar",COUNTIF(D463:D467,"x"),"")</f>
        <v/>
      </c>
    </row>
    <row r="465" spans="1:8" x14ac:dyDescent="0.2">
      <c r="B465" s="158" t="s">
        <v>277</v>
      </c>
      <c r="C465" s="154"/>
      <c r="D465" s="39"/>
      <c r="E465" s="87" t="s">
        <v>16</v>
      </c>
      <c r="F465" s="22" t="str">
        <f>IF(H465=-0.33,IF(H463=H$1,H463,""),"")</f>
        <v/>
      </c>
      <c r="G465" s="25"/>
      <c r="H465" s="23">
        <f t="shared" ref="H465" si="46">IF(H464=1,IF(H463=H$2,1,-0.33),0)</f>
        <v>0</v>
      </c>
    </row>
    <row r="466" spans="1:8" x14ac:dyDescent="0.2">
      <c r="B466" s="158" t="s">
        <v>265</v>
      </c>
      <c r="C466" s="154"/>
      <c r="D466" s="39"/>
      <c r="E466" s="87" t="s">
        <v>17</v>
      </c>
      <c r="F466" s="19"/>
      <c r="G466" s="25"/>
      <c r="H466" s="23"/>
    </row>
    <row r="467" spans="1:8" x14ac:dyDescent="0.2">
      <c r="B467" s="43"/>
      <c r="C467" s="17"/>
      <c r="D467" s="39"/>
      <c r="E467" s="87" t="s">
        <v>18</v>
      </c>
      <c r="F467" s="19"/>
      <c r="G467" s="18"/>
      <c r="H467" s="23"/>
    </row>
    <row r="468" spans="1:8" s="16" customFormat="1" x14ac:dyDescent="0.2">
      <c r="A468" s="4"/>
      <c r="B468" s="157" t="s">
        <v>257</v>
      </c>
      <c r="C468" s="156"/>
      <c r="D468" s="40"/>
      <c r="E468" s="13"/>
      <c r="F468" s="15"/>
      <c r="G468" s="27"/>
      <c r="H468" s="14"/>
    </row>
    <row r="469" spans="1:8" x14ac:dyDescent="0.2">
      <c r="B469" s="159" t="s">
        <v>286</v>
      </c>
      <c r="C469" s="17"/>
      <c r="D469" s="39"/>
      <c r="E469" s="87" t="s">
        <v>14</v>
      </c>
      <c r="F469" s="19"/>
      <c r="G469" s="25"/>
      <c r="H469" s="20" t="b">
        <f>IF(D469="x",H$2,H$1)</f>
        <v>0</v>
      </c>
    </row>
    <row r="470" spans="1:8" x14ac:dyDescent="0.2">
      <c r="B470" s="158" t="s">
        <v>278</v>
      </c>
      <c r="C470" s="155"/>
      <c r="D470" s="39"/>
      <c r="E470" s="87" t="s">
        <v>15</v>
      </c>
      <c r="F470" s="21" t="str">
        <f>IF(H471=1,IF(H469=H$2,H469,""),"")</f>
        <v/>
      </c>
      <c r="G470" s="25"/>
      <c r="H470" s="20" t="str">
        <f>IF(E$487="comprobar",COUNTIF(D469:D473,"x"),"")</f>
        <v/>
      </c>
    </row>
    <row r="471" spans="1:8" x14ac:dyDescent="0.2">
      <c r="B471" s="158" t="s">
        <v>279</v>
      </c>
      <c r="C471" s="153"/>
      <c r="D471" s="39"/>
      <c r="E471" s="87" t="s">
        <v>16</v>
      </c>
      <c r="F471" s="22" t="str">
        <f>IF(H471=-0.33,IF(H469=H$1,H469,""),"")</f>
        <v/>
      </c>
      <c r="G471" s="25"/>
      <c r="H471" s="23">
        <f t="shared" ref="H471" si="47">IF(H470=1,IF(H469=H$2,1,-0.33),0)</f>
        <v>0</v>
      </c>
    </row>
    <row r="472" spans="1:8" x14ac:dyDescent="0.2">
      <c r="B472" s="158" t="s">
        <v>265</v>
      </c>
      <c r="C472" s="154"/>
      <c r="D472" s="39"/>
      <c r="E472" s="87" t="s">
        <v>17</v>
      </c>
      <c r="F472" s="19"/>
      <c r="G472" s="25"/>
      <c r="H472" s="23"/>
    </row>
    <row r="473" spans="1:8" x14ac:dyDescent="0.2">
      <c r="B473" s="43"/>
      <c r="C473" s="17"/>
      <c r="D473" s="39"/>
      <c r="E473" s="87" t="s">
        <v>18</v>
      </c>
      <c r="F473" s="19"/>
      <c r="G473" s="18"/>
      <c r="H473" s="23"/>
    </row>
    <row r="474" spans="1:8" s="16" customFormat="1" x14ac:dyDescent="0.2">
      <c r="A474" s="4"/>
      <c r="B474" s="157" t="s">
        <v>258</v>
      </c>
      <c r="C474" s="156"/>
      <c r="D474" s="40"/>
      <c r="E474" s="13"/>
      <c r="F474" s="15"/>
      <c r="G474" s="27"/>
      <c r="H474" s="14"/>
    </row>
    <row r="475" spans="1:8" x14ac:dyDescent="0.2">
      <c r="B475" s="158" t="s">
        <v>280</v>
      </c>
      <c r="C475" s="154"/>
      <c r="D475" s="39"/>
      <c r="E475" s="87" t="s">
        <v>14</v>
      </c>
      <c r="F475" s="19"/>
      <c r="G475" s="25"/>
      <c r="H475" s="20" t="b">
        <f>IF(D477="x",H$2,H$1)</f>
        <v>0</v>
      </c>
    </row>
    <row r="476" spans="1:8" x14ac:dyDescent="0.2">
      <c r="B476" s="158" t="s">
        <v>281</v>
      </c>
      <c r="C476" s="17"/>
      <c r="D476" s="39"/>
      <c r="E476" s="87" t="s">
        <v>15</v>
      </c>
      <c r="F476" s="21" t="str">
        <f>IF(H477=1,IF(H475=H$2,H475,""),"")</f>
        <v/>
      </c>
      <c r="G476" s="25"/>
      <c r="H476" s="20" t="str">
        <f>IF(E$487="comprobar",COUNTIF(D475:D479,"x"),"")</f>
        <v/>
      </c>
    </row>
    <row r="477" spans="1:8" x14ac:dyDescent="0.2">
      <c r="B477" s="152" t="s">
        <v>285</v>
      </c>
      <c r="C477" s="155"/>
      <c r="D477" s="39"/>
      <c r="E477" s="87" t="s">
        <v>16</v>
      </c>
      <c r="F477" s="22" t="str">
        <f>IF(H477=-0.33,IF(H475=H$1,H475,""),"")</f>
        <v/>
      </c>
      <c r="G477" s="25"/>
      <c r="H477" s="23">
        <f t="shared" ref="H477" si="48">IF(H476=1,IF(H475=H$2,1,-0.33),0)</f>
        <v>0</v>
      </c>
    </row>
    <row r="478" spans="1:8" x14ac:dyDescent="0.2">
      <c r="B478" s="158" t="s">
        <v>265</v>
      </c>
      <c r="C478" s="153"/>
      <c r="D478" s="39"/>
      <c r="E478" s="87" t="s">
        <v>17</v>
      </c>
      <c r="F478" s="19"/>
      <c r="G478" s="25"/>
      <c r="H478" s="23"/>
    </row>
    <row r="479" spans="1:8" x14ac:dyDescent="0.2">
      <c r="B479" s="43"/>
      <c r="C479" s="17"/>
      <c r="D479" s="39"/>
      <c r="E479" s="87" t="s">
        <v>18</v>
      </c>
      <c r="F479" s="19"/>
      <c r="G479" s="18"/>
      <c r="H479" s="23"/>
    </row>
    <row r="480" spans="1:8" s="16" customFormat="1" x14ac:dyDescent="0.2">
      <c r="A480" s="4"/>
      <c r="B480" s="157" t="s">
        <v>259</v>
      </c>
      <c r="C480" s="156"/>
      <c r="D480" s="40"/>
      <c r="E480" s="13"/>
      <c r="F480" s="15"/>
      <c r="G480" s="27"/>
      <c r="H480" s="14"/>
    </row>
    <row r="481" spans="1:8" x14ac:dyDescent="0.2">
      <c r="B481" s="158" t="s">
        <v>282</v>
      </c>
      <c r="C481" s="154"/>
      <c r="D481" s="39"/>
      <c r="E481" s="87" t="s">
        <v>14</v>
      </c>
      <c r="F481" s="19"/>
      <c r="G481" s="25"/>
      <c r="H481" s="20" t="b">
        <f>IF(D483="x",H$2,H$1)</f>
        <v>0</v>
      </c>
    </row>
    <row r="482" spans="1:8" x14ac:dyDescent="0.2">
      <c r="B482" s="158" t="s">
        <v>283</v>
      </c>
      <c r="C482" s="154"/>
      <c r="D482" s="39"/>
      <c r="E482" s="87" t="s">
        <v>15</v>
      </c>
      <c r="F482" s="21" t="str">
        <f>IF(H483=1,IF(H481=H$2,H481,""),"")</f>
        <v/>
      </c>
      <c r="G482" s="25"/>
      <c r="H482" s="20" t="str">
        <f>IF(E$487="comprobar",COUNTIF(D481:D485,"x"),"")</f>
        <v/>
      </c>
    </row>
    <row r="483" spans="1:8" x14ac:dyDescent="0.2">
      <c r="B483" s="158" t="s">
        <v>284</v>
      </c>
      <c r="C483" s="189"/>
      <c r="D483" s="39"/>
      <c r="E483" s="87" t="s">
        <v>16</v>
      </c>
      <c r="F483" s="22" t="str">
        <f>IF(H483=-0.33,IF(H481=H$1,H481,""),"")</f>
        <v/>
      </c>
      <c r="G483" s="25"/>
      <c r="H483" s="23">
        <f t="shared" ref="H483" si="49">IF(H482=1,IF(H481=H$2,1,-0.33),0)</f>
        <v>0</v>
      </c>
    </row>
    <row r="484" spans="1:8" x14ac:dyDescent="0.2">
      <c r="B484" s="158" t="s">
        <v>265</v>
      </c>
      <c r="C484" s="153"/>
      <c r="D484" s="39"/>
      <c r="E484" s="87" t="s">
        <v>17</v>
      </c>
      <c r="F484" s="19"/>
      <c r="G484" s="25"/>
      <c r="H484" s="23"/>
    </row>
    <row r="485" spans="1:8" x14ac:dyDescent="0.2">
      <c r="B485" s="137"/>
      <c r="C485" s="17"/>
      <c r="D485" s="39"/>
      <c r="E485" s="87" t="s">
        <v>18</v>
      </c>
      <c r="F485" s="19"/>
      <c r="G485" s="18"/>
      <c r="H485" s="23"/>
    </row>
    <row r="486" spans="1:8" x14ac:dyDescent="0.2">
      <c r="B486" s="137"/>
      <c r="C486" s="8"/>
      <c r="D486" s="39"/>
      <c r="E486" s="87" t="s">
        <v>18</v>
      </c>
      <c r="F486" s="26"/>
      <c r="G486" s="18"/>
      <c r="H486" s="23"/>
    </row>
    <row r="487" spans="1:8" x14ac:dyDescent="0.2">
      <c r="B487" s="43"/>
      <c r="C487" s="8"/>
      <c r="D487" s="49"/>
      <c r="E487" s="60"/>
      <c r="F487" s="19"/>
      <c r="G487" s="18"/>
      <c r="H487" s="23"/>
    </row>
    <row r="488" spans="1:8" x14ac:dyDescent="0.2">
      <c r="B488" s="43"/>
      <c r="C488" s="8"/>
      <c r="D488" s="49"/>
      <c r="E488" s="60"/>
      <c r="F488" s="29" t="s">
        <v>8</v>
      </c>
      <c r="G488" s="18" t="s">
        <v>6</v>
      </c>
      <c r="H488" s="18" t="s">
        <v>7</v>
      </c>
    </row>
    <row r="489" spans="1:8" ht="20" x14ac:dyDescent="0.2">
      <c r="B489" s="43"/>
      <c r="C489" s="8"/>
      <c r="D489" s="183"/>
      <c r="E489" s="183"/>
      <c r="F489" s="30" t="str">
        <f>IF(E487="comprobar",H483+H477+H471+H465+H459+H453+H447+H441,"")</f>
        <v/>
      </c>
      <c r="G489" s="18">
        <f>8/2</f>
        <v>4</v>
      </c>
      <c r="H489" s="18"/>
    </row>
    <row r="490" spans="1:8" ht="17" thickBot="1" x14ac:dyDescent="0.25">
      <c r="B490" s="67"/>
      <c r="C490" s="68"/>
      <c r="D490" s="32"/>
      <c r="E490" s="9"/>
      <c r="F490" s="33"/>
      <c r="G490" s="18"/>
      <c r="H490" s="18"/>
    </row>
    <row r="491" spans="1:8" ht="29" x14ac:dyDescent="0.35">
      <c r="B491" s="62" t="s">
        <v>191</v>
      </c>
      <c r="C491" s="88" t="s">
        <v>331</v>
      </c>
      <c r="D491" s="88"/>
      <c r="E491" s="88"/>
      <c r="F491" s="89"/>
    </row>
    <row r="492" spans="1:8" s="16" customFormat="1" x14ac:dyDescent="0.2">
      <c r="A492" s="4"/>
      <c r="B492" s="150" t="s">
        <v>332</v>
      </c>
      <c r="C492" s="151"/>
      <c r="D492" s="13"/>
      <c r="E492" s="13"/>
      <c r="F492" s="15"/>
      <c r="G492" s="175"/>
      <c r="H492" s="14"/>
    </row>
    <row r="493" spans="1:8" x14ac:dyDescent="0.2">
      <c r="B493" s="152" t="s">
        <v>340</v>
      </c>
      <c r="C493" s="153"/>
      <c r="D493" s="39"/>
      <c r="E493" s="87" t="s">
        <v>14</v>
      </c>
      <c r="F493" s="19"/>
      <c r="G493" s="25"/>
      <c r="H493" s="20" t="b">
        <f>IF(D496="x",H$2,H$1)</f>
        <v>0</v>
      </c>
    </row>
    <row r="494" spans="1:8" x14ac:dyDescent="0.2">
      <c r="B494" s="152" t="s">
        <v>341</v>
      </c>
      <c r="C494" s="154"/>
      <c r="D494" s="39"/>
      <c r="E494" s="87" t="s">
        <v>15</v>
      </c>
      <c r="F494" s="21" t="str">
        <f>IF(H495=1,IF(H493=H$2,H493,""),"")</f>
        <v/>
      </c>
      <c r="G494" s="25"/>
      <c r="H494" s="20" t="str">
        <f>IF(E$541="comprobar",COUNTIF(D493:D497,"x"),"")</f>
        <v/>
      </c>
    </row>
    <row r="495" spans="1:8" x14ac:dyDescent="0.2">
      <c r="B495" s="152" t="s">
        <v>342</v>
      </c>
      <c r="C495" s="154"/>
      <c r="D495" s="39"/>
      <c r="E495" s="87" t="s">
        <v>16</v>
      </c>
      <c r="F495" s="22" t="str">
        <f>IF(H495=-0.33,IF(H493=H$1,H493,""),"")</f>
        <v/>
      </c>
      <c r="G495" s="25"/>
      <c r="H495" s="23">
        <f>IF(H494=1,IF(H493=H$2,1,-0.33),0)</f>
        <v>0</v>
      </c>
    </row>
    <row r="496" spans="1:8" x14ac:dyDescent="0.2">
      <c r="B496" s="152" t="s">
        <v>362</v>
      </c>
      <c r="C496" s="154"/>
      <c r="D496" s="39"/>
      <c r="E496" s="87" t="s">
        <v>17</v>
      </c>
      <c r="F496" s="19"/>
      <c r="G496" s="25"/>
      <c r="H496" s="23"/>
    </row>
    <row r="497" spans="1:8" x14ac:dyDescent="0.2">
      <c r="B497" s="152" t="s">
        <v>260</v>
      </c>
      <c r="C497" s="17"/>
      <c r="D497" s="39"/>
      <c r="E497" s="87" t="s">
        <v>18</v>
      </c>
      <c r="F497" s="19"/>
      <c r="G497" s="18"/>
      <c r="H497" s="23"/>
    </row>
    <row r="498" spans="1:8" s="16" customFormat="1" x14ac:dyDescent="0.2">
      <c r="A498" s="4"/>
      <c r="B498" s="150" t="s">
        <v>333</v>
      </c>
      <c r="C498" s="12"/>
      <c r="D498" s="40"/>
      <c r="E498" s="13"/>
      <c r="F498" s="15"/>
      <c r="G498" s="175"/>
      <c r="H498" s="14"/>
    </row>
    <row r="499" spans="1:8" x14ac:dyDescent="0.2">
      <c r="B499" s="152" t="s">
        <v>343</v>
      </c>
      <c r="C499" s="155"/>
      <c r="D499" s="39"/>
      <c r="E499" s="87" t="s">
        <v>14</v>
      </c>
      <c r="F499" s="19"/>
      <c r="G499" s="25"/>
      <c r="H499" s="20" t="b">
        <f>IF(D501="x",H$2,H$1)</f>
        <v>0</v>
      </c>
    </row>
    <row r="500" spans="1:8" x14ac:dyDescent="0.2">
      <c r="B500" s="152" t="s">
        <v>344</v>
      </c>
      <c r="C500" s="153"/>
      <c r="D500" s="39"/>
      <c r="E500" s="87" t="s">
        <v>15</v>
      </c>
      <c r="F500" s="21" t="str">
        <f>IF(H501=1,IF(H499=H$2,H499,""),"")</f>
        <v/>
      </c>
      <c r="G500" s="25"/>
      <c r="H500" s="20" t="str">
        <f>IF(E$541="comprobar",COUNTIF(D499:D503,"x"),"")</f>
        <v/>
      </c>
    </row>
    <row r="501" spans="1:8" x14ac:dyDescent="0.2">
      <c r="B501" s="152" t="s">
        <v>363</v>
      </c>
      <c r="C501" s="154"/>
      <c r="D501" s="39"/>
      <c r="E501" s="87" t="s">
        <v>16</v>
      </c>
      <c r="F501" s="22" t="str">
        <f>IF(H501=-0.33,IF(H499=H$1,H499,""),"")</f>
        <v/>
      </c>
      <c r="G501" s="25"/>
      <c r="H501" s="23">
        <f>IF(H500=1,IF(H499=H$2,1,-0.33),0)</f>
        <v>0</v>
      </c>
    </row>
    <row r="502" spans="1:8" x14ac:dyDescent="0.2">
      <c r="B502" s="152" t="s">
        <v>345</v>
      </c>
      <c r="C502" s="154"/>
      <c r="D502" s="39"/>
      <c r="E502" s="87" t="s">
        <v>17</v>
      </c>
      <c r="F502" s="19"/>
      <c r="G502" s="25"/>
      <c r="H502" s="23"/>
    </row>
    <row r="503" spans="1:8" x14ac:dyDescent="0.2">
      <c r="B503" s="152" t="s">
        <v>260</v>
      </c>
      <c r="C503" s="17"/>
      <c r="D503" s="39"/>
      <c r="E503" s="87" t="s">
        <v>18</v>
      </c>
      <c r="F503" s="19"/>
      <c r="G503" s="18"/>
      <c r="H503" s="23"/>
    </row>
    <row r="504" spans="1:8" s="16" customFormat="1" x14ac:dyDescent="0.2">
      <c r="A504" s="4"/>
      <c r="B504" s="150" t="s">
        <v>334</v>
      </c>
      <c r="C504" s="156"/>
      <c r="D504" s="40"/>
      <c r="E504" s="13"/>
      <c r="F504" s="15"/>
      <c r="G504" s="27"/>
      <c r="H504" s="14"/>
    </row>
    <row r="505" spans="1:8" x14ac:dyDescent="0.2">
      <c r="B505" s="152" t="s">
        <v>364</v>
      </c>
      <c r="C505" s="17"/>
      <c r="D505" s="39"/>
      <c r="E505" s="87" t="s">
        <v>14</v>
      </c>
      <c r="F505" s="19"/>
      <c r="G505" s="25"/>
      <c r="H505" s="20" t="b">
        <f>IF(D505="x",H$2,H$1)</f>
        <v>0</v>
      </c>
    </row>
    <row r="506" spans="1:8" x14ac:dyDescent="0.2">
      <c r="B506" s="152" t="s">
        <v>346</v>
      </c>
      <c r="C506" s="155"/>
      <c r="D506" s="39"/>
      <c r="E506" s="87" t="s">
        <v>15</v>
      </c>
      <c r="F506" s="21" t="str">
        <f>IF(H507=1,IF(H505=H$2,H505,""),"")</f>
        <v/>
      </c>
      <c r="G506" s="25"/>
      <c r="H506" s="20" t="str">
        <f>IF(E$541="comprobar",COUNTIF(D505:D509,"x"),"")</f>
        <v/>
      </c>
    </row>
    <row r="507" spans="1:8" x14ac:dyDescent="0.2">
      <c r="B507" s="152" t="s">
        <v>347</v>
      </c>
      <c r="C507" s="153"/>
      <c r="D507" s="39"/>
      <c r="E507" s="87" t="s">
        <v>16</v>
      </c>
      <c r="F507" s="22" t="str">
        <f>IF(H507=-0.33,IF(H505=H$1,H505,""),"")</f>
        <v/>
      </c>
      <c r="G507" s="25"/>
      <c r="H507" s="23">
        <f>IF(H506=1,IF(H505=H$2,1,-0.33),0)</f>
        <v>0</v>
      </c>
    </row>
    <row r="508" spans="1:8" x14ac:dyDescent="0.2">
      <c r="B508" s="152" t="s">
        <v>260</v>
      </c>
      <c r="C508" s="154"/>
      <c r="D508" s="39"/>
      <c r="E508" s="87" t="s">
        <v>17</v>
      </c>
      <c r="F508" s="19"/>
      <c r="G508" s="25"/>
      <c r="H508" s="23"/>
    </row>
    <row r="509" spans="1:8" x14ac:dyDescent="0.2">
      <c r="B509" s="137"/>
      <c r="C509" s="8"/>
      <c r="D509" s="39"/>
      <c r="E509" s="87" t="s">
        <v>18</v>
      </c>
      <c r="F509" s="19"/>
      <c r="G509" s="18"/>
      <c r="H509" s="23"/>
    </row>
    <row r="510" spans="1:8" s="16" customFormat="1" x14ac:dyDescent="0.2">
      <c r="A510" s="4"/>
      <c r="B510" s="150" t="s">
        <v>335</v>
      </c>
      <c r="C510" s="12"/>
      <c r="D510" s="40"/>
      <c r="E510" s="13"/>
      <c r="F510" s="15"/>
      <c r="G510" s="27"/>
      <c r="H510" s="14"/>
    </row>
    <row r="511" spans="1:8" x14ac:dyDescent="0.2">
      <c r="B511" s="152" t="s">
        <v>348</v>
      </c>
      <c r="C511" s="155"/>
      <c r="D511" s="39"/>
      <c r="E511" s="87" t="s">
        <v>14</v>
      </c>
      <c r="F511" s="19"/>
      <c r="G511" s="25"/>
      <c r="H511" s="20" t="b">
        <f>IF(D512="x",H$2,H$1)</f>
        <v>0</v>
      </c>
    </row>
    <row r="512" spans="1:8" x14ac:dyDescent="0.2">
      <c r="B512" s="152" t="s">
        <v>365</v>
      </c>
      <c r="C512" s="153"/>
      <c r="D512" s="39"/>
      <c r="E512" s="87" t="s">
        <v>15</v>
      </c>
      <c r="F512" s="21" t="str">
        <f>IF(H513=1,IF(H511=H$2,H511,""),"")</f>
        <v/>
      </c>
      <c r="G512" s="25"/>
      <c r="H512" s="20" t="str">
        <f>IF(E$541="comprobar",COUNTIF(D511:D515,"x"),"")</f>
        <v/>
      </c>
    </row>
    <row r="513" spans="1:8" x14ac:dyDescent="0.2">
      <c r="B513" s="152" t="s">
        <v>349</v>
      </c>
      <c r="C513" s="154"/>
      <c r="D513" s="39"/>
      <c r="E513" s="87" t="s">
        <v>16</v>
      </c>
      <c r="F513" s="22" t="str">
        <f>IF(H513=-0.33,IF(H511=H$1,H511,""),"")</f>
        <v/>
      </c>
      <c r="G513" s="25"/>
      <c r="H513" s="23">
        <f>IF(H512=1,IF(H511=H$2,1,-0.33),0)</f>
        <v>0</v>
      </c>
    </row>
    <row r="514" spans="1:8" x14ac:dyDescent="0.2">
      <c r="B514" s="152" t="s">
        <v>260</v>
      </c>
      <c r="C514" s="154"/>
      <c r="D514" s="39"/>
      <c r="E514" s="87" t="s">
        <v>17</v>
      </c>
      <c r="F514" s="19"/>
      <c r="G514" s="25"/>
      <c r="H514" s="23"/>
    </row>
    <row r="515" spans="1:8" x14ac:dyDescent="0.2">
      <c r="B515" s="137"/>
      <c r="C515" s="17"/>
      <c r="D515" s="39"/>
      <c r="E515" s="87" t="s">
        <v>18</v>
      </c>
      <c r="F515" s="19"/>
      <c r="G515" s="18"/>
      <c r="H515" s="23"/>
    </row>
    <row r="516" spans="1:8" s="16" customFormat="1" x14ac:dyDescent="0.2">
      <c r="A516" s="4"/>
      <c r="B516" s="150" t="s">
        <v>336</v>
      </c>
      <c r="C516" s="156"/>
      <c r="D516" s="40"/>
      <c r="E516" s="13"/>
      <c r="F516" s="15"/>
      <c r="G516" s="27"/>
      <c r="H516" s="14"/>
    </row>
    <row r="517" spans="1:8" x14ac:dyDescent="0.2">
      <c r="B517" s="152" t="s">
        <v>366</v>
      </c>
      <c r="C517" s="17"/>
      <c r="D517" s="39"/>
      <c r="E517" s="87" t="s">
        <v>14</v>
      </c>
      <c r="F517" s="19"/>
      <c r="G517" s="25"/>
      <c r="H517" s="20" t="b">
        <f>IF(D517="x",H$2,H$1)</f>
        <v>0</v>
      </c>
    </row>
    <row r="518" spans="1:8" x14ac:dyDescent="0.2">
      <c r="B518" s="152" t="s">
        <v>350</v>
      </c>
      <c r="C518" s="17"/>
      <c r="D518" s="39"/>
      <c r="E518" s="87" t="s">
        <v>15</v>
      </c>
      <c r="F518" s="21" t="str">
        <f>IF(H519=1,IF(H517=H$2,H517,""),"")</f>
        <v/>
      </c>
      <c r="G518" s="25"/>
      <c r="H518" s="20" t="str">
        <f>IF(E$541="comprobar",COUNTIF(D517:D521,"x"),"")</f>
        <v/>
      </c>
    </row>
    <row r="519" spans="1:8" x14ac:dyDescent="0.2">
      <c r="B519" s="152" t="s">
        <v>351</v>
      </c>
      <c r="C519" s="155"/>
      <c r="D519" s="39"/>
      <c r="E519" s="87" t="s">
        <v>16</v>
      </c>
      <c r="F519" s="22" t="str">
        <f>IF(H519=-0.33,IF(H517=H$1,H517,""),"")</f>
        <v/>
      </c>
      <c r="G519" s="25"/>
      <c r="H519" s="23">
        <f>IF(H518=1,IF(H517=H$2,1,-0.33),0)</f>
        <v>0</v>
      </c>
    </row>
    <row r="520" spans="1:8" x14ac:dyDescent="0.2">
      <c r="B520" s="152" t="s">
        <v>352</v>
      </c>
      <c r="C520" s="153"/>
      <c r="D520" s="39"/>
      <c r="E520" s="87" t="s">
        <v>17</v>
      </c>
      <c r="F520" s="19"/>
      <c r="G520" s="25"/>
      <c r="H520" s="23"/>
    </row>
    <row r="521" spans="1:8" x14ac:dyDescent="0.2">
      <c r="B521" s="137"/>
      <c r="C521" s="17"/>
      <c r="D521" s="39"/>
      <c r="E521" s="87" t="s">
        <v>18</v>
      </c>
      <c r="F521" s="19"/>
      <c r="G521" s="18"/>
      <c r="H521" s="23"/>
    </row>
    <row r="522" spans="1:8" s="16" customFormat="1" x14ac:dyDescent="0.2">
      <c r="A522" s="4"/>
      <c r="B522" s="150" t="s">
        <v>337</v>
      </c>
      <c r="C522" s="156"/>
      <c r="D522" s="40"/>
      <c r="E522" s="13"/>
      <c r="F522" s="15"/>
      <c r="G522" s="27"/>
      <c r="H522" s="14"/>
    </row>
    <row r="523" spans="1:8" x14ac:dyDescent="0.2">
      <c r="B523" s="152" t="s">
        <v>353</v>
      </c>
      <c r="C523" s="154"/>
      <c r="D523" s="39"/>
      <c r="E523" s="87" t="s">
        <v>14</v>
      </c>
      <c r="F523" s="19"/>
      <c r="G523" s="25"/>
      <c r="H523" s="20" t="b">
        <f>IF(D526="x",H$2,H$1)</f>
        <v>0</v>
      </c>
    </row>
    <row r="524" spans="1:8" x14ac:dyDescent="0.2">
      <c r="B524" s="152" t="s">
        <v>354</v>
      </c>
      <c r="C524" s="17"/>
      <c r="D524" s="39"/>
      <c r="E524" s="87" t="s">
        <v>15</v>
      </c>
      <c r="F524" s="21" t="str">
        <f>IF(H525=1,IF(H523=H$2,H523,""),"")</f>
        <v/>
      </c>
      <c r="G524" s="25"/>
      <c r="H524" s="20" t="str">
        <f>IF(E$541="comprobar",COUNTIF(D523:D527,"x"),"")</f>
        <v/>
      </c>
    </row>
    <row r="525" spans="1:8" x14ac:dyDescent="0.2">
      <c r="B525" s="152" t="s">
        <v>355</v>
      </c>
      <c r="C525" s="154"/>
      <c r="D525" s="39"/>
      <c r="E525" s="87" t="s">
        <v>16</v>
      </c>
      <c r="F525" s="22" t="str">
        <f>IF(H525=-0.33,IF(H523=H$1,H523,""),"")</f>
        <v/>
      </c>
      <c r="G525" s="25"/>
      <c r="H525" s="23">
        <f>IF(H524=1,IF(H523=H$2,1,-0.33),0)</f>
        <v>0</v>
      </c>
    </row>
    <row r="526" spans="1:8" x14ac:dyDescent="0.2">
      <c r="B526" s="152" t="s">
        <v>260</v>
      </c>
      <c r="C526" s="17"/>
      <c r="D526" s="39"/>
      <c r="E526" s="87" t="s">
        <v>17</v>
      </c>
      <c r="F526" s="19"/>
      <c r="G526" s="25"/>
      <c r="H526" s="23"/>
    </row>
    <row r="527" spans="1:8" x14ac:dyDescent="0.2">
      <c r="B527" s="137"/>
      <c r="C527" s="17"/>
      <c r="D527" s="39"/>
      <c r="E527" s="87" t="s">
        <v>18</v>
      </c>
      <c r="F527" s="19"/>
      <c r="G527" s="18"/>
      <c r="H527" s="23"/>
    </row>
    <row r="528" spans="1:8" s="16" customFormat="1" x14ac:dyDescent="0.2">
      <c r="A528" s="4"/>
      <c r="B528" s="150" t="s">
        <v>338</v>
      </c>
      <c r="C528" s="151"/>
      <c r="D528" s="40"/>
      <c r="E528" s="13"/>
      <c r="F528" s="15"/>
      <c r="G528" s="27"/>
      <c r="H528" s="14"/>
    </row>
    <row r="529" spans="1:8" x14ac:dyDescent="0.2">
      <c r="B529" s="152" t="s">
        <v>367</v>
      </c>
      <c r="C529" s="153"/>
      <c r="D529" s="39"/>
      <c r="E529" s="87" t="s">
        <v>14</v>
      </c>
      <c r="F529" s="19"/>
      <c r="G529" s="25"/>
      <c r="H529" s="20" t="b">
        <f>IF(D529="x",H$2,H$1)</f>
        <v>0</v>
      </c>
    </row>
    <row r="530" spans="1:8" x14ac:dyDescent="0.2">
      <c r="B530" s="152" t="s">
        <v>356</v>
      </c>
      <c r="C530" s="154"/>
      <c r="D530" s="39"/>
      <c r="E530" s="87" t="s">
        <v>15</v>
      </c>
      <c r="F530" s="21" t="str">
        <f>IF(H531=1,IF(H529=H$2,H529,""),"")</f>
        <v/>
      </c>
      <c r="G530" s="25"/>
      <c r="H530" s="20" t="str">
        <f>IF(E$541="comprobar",COUNTIF(D529:D533,"x"),"")</f>
        <v/>
      </c>
    </row>
    <row r="531" spans="1:8" x14ac:dyDescent="0.2">
      <c r="B531" s="152" t="s">
        <v>357</v>
      </c>
      <c r="C531" s="17"/>
      <c r="D531" s="39"/>
      <c r="E531" s="87" t="s">
        <v>16</v>
      </c>
      <c r="F531" s="22" t="str">
        <f>IF(H531=-0.33,IF(H529=H$1,H529,""),"")</f>
        <v/>
      </c>
      <c r="G531" s="25"/>
      <c r="H531" s="23">
        <f>IF(H530=1,IF(H529=H$2,1,-0.33),0)</f>
        <v>0</v>
      </c>
    </row>
    <row r="532" spans="1:8" x14ac:dyDescent="0.2">
      <c r="B532" s="152" t="s">
        <v>260</v>
      </c>
      <c r="C532" s="154"/>
      <c r="D532" s="39"/>
      <c r="E532" s="87" t="s">
        <v>17</v>
      </c>
      <c r="F532" s="19"/>
      <c r="G532" s="25"/>
      <c r="H532" s="23"/>
    </row>
    <row r="533" spans="1:8" x14ac:dyDescent="0.2">
      <c r="B533" s="137"/>
      <c r="C533" s="17"/>
      <c r="D533" s="39"/>
      <c r="E533" s="87" t="s">
        <v>18</v>
      </c>
      <c r="F533" s="19"/>
      <c r="G533" s="18"/>
      <c r="H533" s="23"/>
    </row>
    <row r="534" spans="1:8" s="16" customFormat="1" x14ac:dyDescent="0.2">
      <c r="A534" s="4"/>
      <c r="B534" s="150" t="s">
        <v>339</v>
      </c>
      <c r="C534" s="12"/>
      <c r="D534" s="40"/>
      <c r="E534" s="13"/>
      <c r="F534" s="15"/>
      <c r="G534" s="27"/>
      <c r="H534" s="14"/>
    </row>
    <row r="535" spans="1:8" x14ac:dyDescent="0.2">
      <c r="B535" s="152" t="s">
        <v>358</v>
      </c>
      <c r="C535" s="155"/>
      <c r="D535" s="39"/>
      <c r="E535" s="87" t="s">
        <v>14</v>
      </c>
      <c r="F535" s="19"/>
      <c r="G535" s="25"/>
      <c r="H535" s="20" t="b">
        <f>IF(D538="x",H$2,H$1)</f>
        <v>0</v>
      </c>
    </row>
    <row r="536" spans="1:8" x14ac:dyDescent="0.2">
      <c r="B536" s="152" t="s">
        <v>359</v>
      </c>
      <c r="C536" s="153"/>
      <c r="D536" s="39"/>
      <c r="E536" s="87" t="s">
        <v>15</v>
      </c>
      <c r="F536" s="21" t="str">
        <f>IF(H537=1,IF(H535=H$2,H535,""),"")</f>
        <v/>
      </c>
      <c r="G536" s="25"/>
      <c r="H536" s="20" t="str">
        <f>IF(E$541="comprobar",COUNTIF(D535:D539,"x"),"")</f>
        <v/>
      </c>
    </row>
    <row r="537" spans="1:8" x14ac:dyDescent="0.2">
      <c r="B537" s="152" t="s">
        <v>360</v>
      </c>
      <c r="C537" s="17"/>
      <c r="D537" s="39"/>
      <c r="E537" s="87" t="s">
        <v>16</v>
      </c>
      <c r="F537" s="22" t="str">
        <f>IF(H537=-0.33,IF(H535=H$1,H535,""),"")</f>
        <v/>
      </c>
      <c r="G537" s="25"/>
      <c r="H537" s="23">
        <f>IF(H536=1,IF(H535=H$2,1,-0.33),0)</f>
        <v>0</v>
      </c>
    </row>
    <row r="538" spans="1:8" x14ac:dyDescent="0.2">
      <c r="B538" s="152" t="s">
        <v>261</v>
      </c>
      <c r="C538" s="154"/>
      <c r="D538" s="39"/>
      <c r="E538" s="87" t="s">
        <v>17</v>
      </c>
      <c r="F538" s="19"/>
      <c r="G538" s="25"/>
      <c r="H538" s="23"/>
    </row>
    <row r="539" spans="1:8" x14ac:dyDescent="0.2">
      <c r="B539" s="152" t="s">
        <v>361</v>
      </c>
      <c r="C539" s="154"/>
      <c r="D539" s="39"/>
      <c r="E539" s="87" t="s">
        <v>18</v>
      </c>
      <c r="F539" s="19"/>
      <c r="G539" s="18"/>
      <c r="H539" s="23"/>
    </row>
    <row r="540" spans="1:8" x14ac:dyDescent="0.2">
      <c r="B540" s="152" t="s">
        <v>260</v>
      </c>
      <c r="C540" s="154"/>
      <c r="D540" s="39"/>
      <c r="E540" s="87" t="s">
        <v>18</v>
      </c>
      <c r="F540" s="26"/>
      <c r="G540" s="18"/>
      <c r="H540" s="23"/>
    </row>
    <row r="541" spans="1:8" x14ac:dyDescent="0.2">
      <c r="B541" s="43"/>
      <c r="C541" s="8"/>
      <c r="D541" s="49"/>
      <c r="E541" s="60"/>
      <c r="F541" s="19"/>
      <c r="G541" s="18"/>
      <c r="H541" s="23"/>
    </row>
    <row r="542" spans="1:8" x14ac:dyDescent="0.2">
      <c r="B542" s="43"/>
      <c r="C542" s="8"/>
      <c r="D542" s="49"/>
      <c r="E542" s="60"/>
      <c r="F542" s="29" t="s">
        <v>8</v>
      </c>
      <c r="G542" s="18" t="s">
        <v>6</v>
      </c>
      <c r="H542" s="18" t="s">
        <v>7</v>
      </c>
    </row>
    <row r="543" spans="1:8" ht="20" x14ac:dyDescent="0.2">
      <c r="B543" s="43"/>
      <c r="C543" s="8"/>
      <c r="D543" s="183"/>
      <c r="E543" s="183"/>
      <c r="F543" s="30" t="str">
        <f>IF(E541="comprobar",H537+H531+H525+H519+H513+H507+H501+H495,"")</f>
        <v/>
      </c>
      <c r="G543" s="18">
        <f>8/2</f>
        <v>4</v>
      </c>
      <c r="H543" s="18"/>
    </row>
    <row r="544" spans="1:8" ht="17" thickBot="1" x14ac:dyDescent="0.25">
      <c r="B544" s="67"/>
      <c r="C544" s="68"/>
      <c r="D544" s="32"/>
      <c r="E544" s="9"/>
      <c r="F544" s="33"/>
      <c r="G544" s="18"/>
      <c r="H544" s="18"/>
    </row>
    <row r="545" spans="2:8" ht="29" x14ac:dyDescent="0.35">
      <c r="B545" s="62" t="s">
        <v>191</v>
      </c>
      <c r="C545" s="179" t="s">
        <v>424</v>
      </c>
      <c r="D545" s="179"/>
      <c r="E545" s="179"/>
      <c r="F545" s="180"/>
    </row>
    <row r="546" spans="2:8" x14ac:dyDescent="0.2">
      <c r="B546" s="150" t="s">
        <v>368</v>
      </c>
      <c r="C546" s="151" t="s">
        <v>369</v>
      </c>
      <c r="D546" s="40"/>
      <c r="E546" s="53"/>
      <c r="F546" s="28"/>
      <c r="G546" s="14"/>
      <c r="H546" s="14"/>
    </row>
    <row r="547" spans="2:8" x14ac:dyDescent="0.2">
      <c r="B547" s="152"/>
      <c r="C547" s="153" t="s">
        <v>370</v>
      </c>
      <c r="D547" s="39"/>
      <c r="E547" s="54" t="s">
        <v>14</v>
      </c>
      <c r="F547" s="26"/>
      <c r="G547" s="18"/>
      <c r="H547" s="20" t="b">
        <f>IF(D549="x",H$2,H$1)</f>
        <v>0</v>
      </c>
    </row>
    <row r="548" spans="2:8" x14ac:dyDescent="0.2">
      <c r="B548" s="152"/>
      <c r="C548" s="154" t="s">
        <v>371</v>
      </c>
      <c r="D548" s="39"/>
      <c r="E548" s="54" t="s">
        <v>15</v>
      </c>
      <c r="F548" s="21" t="str">
        <f>IF(H549=1,IF(H547=H$2,H547,""),"")</f>
        <v/>
      </c>
      <c r="G548" s="18"/>
      <c r="H548" s="20" t="str">
        <f>IF(E$606="comprobar",COUNTIF(D547:D551,"x"),"")</f>
        <v/>
      </c>
    </row>
    <row r="549" spans="2:8" x14ac:dyDescent="0.2">
      <c r="B549" s="152"/>
      <c r="C549" s="17" t="s">
        <v>372</v>
      </c>
      <c r="D549" s="39"/>
      <c r="E549" s="54" t="s">
        <v>16</v>
      </c>
      <c r="F549" s="22" t="str">
        <f>IF(H549=-0.33,IF(H547=H$1,H547,""),"")</f>
        <v/>
      </c>
      <c r="G549" s="18"/>
      <c r="H549" s="23">
        <f>IF(H548=1,IF(H547=H$2,1,-0.33),0)</f>
        <v>0</v>
      </c>
    </row>
    <row r="550" spans="2:8" x14ac:dyDescent="0.2">
      <c r="B550" s="152"/>
      <c r="C550" s="154"/>
      <c r="D550" s="39"/>
      <c r="E550" s="54" t="s">
        <v>17</v>
      </c>
      <c r="F550" s="26"/>
      <c r="G550" s="18"/>
      <c r="H550" s="23"/>
    </row>
    <row r="551" spans="2:8" x14ac:dyDescent="0.2">
      <c r="B551" s="137"/>
      <c r="C551" s="17"/>
      <c r="D551" s="39"/>
      <c r="E551" s="54" t="s">
        <v>18</v>
      </c>
      <c r="F551" s="19"/>
      <c r="G551" s="18"/>
      <c r="H551" s="23"/>
    </row>
    <row r="552" spans="2:8" x14ac:dyDescent="0.2">
      <c r="B552" s="150" t="s">
        <v>373</v>
      </c>
      <c r="C552" s="151" t="s">
        <v>374</v>
      </c>
      <c r="D552" s="40"/>
      <c r="E552" s="53"/>
      <c r="F552" s="81"/>
      <c r="G552" s="14"/>
      <c r="H552" s="14"/>
    </row>
    <row r="553" spans="2:8" x14ac:dyDescent="0.2">
      <c r="B553" s="152"/>
      <c r="C553" s="153" t="s">
        <v>375</v>
      </c>
      <c r="D553" s="39"/>
      <c r="E553" s="54" t="s">
        <v>14</v>
      </c>
      <c r="F553" s="26"/>
      <c r="G553" s="18"/>
      <c r="H553" s="20" t="b">
        <f>IF(D553="x",H$2,H$1)</f>
        <v>0</v>
      </c>
    </row>
    <row r="554" spans="2:8" x14ac:dyDescent="0.2">
      <c r="B554" s="152"/>
      <c r="C554" s="154" t="s">
        <v>376</v>
      </c>
      <c r="D554" s="39"/>
      <c r="E554" s="54" t="s">
        <v>15</v>
      </c>
      <c r="F554" s="21" t="str">
        <f>IF(H555=1,IF(H553=H$2,H553,""),"")</f>
        <v/>
      </c>
      <c r="G554" s="18"/>
      <c r="H554" s="20" t="str">
        <f>IF(E$606="comprobar",COUNTIF(D553:D557,"x"),"")</f>
        <v/>
      </c>
    </row>
    <row r="555" spans="2:8" x14ac:dyDescent="0.2">
      <c r="B555" s="152"/>
      <c r="C555" s="17" t="s">
        <v>36</v>
      </c>
      <c r="D555" s="39"/>
      <c r="E555" s="54" t="s">
        <v>16</v>
      </c>
      <c r="F555" s="22" t="str">
        <f>IF(H555=-0.33,IF(H553=H$1,H553,""),"")</f>
        <v/>
      </c>
      <c r="G555" s="18"/>
      <c r="H555" s="23">
        <f>IF(H554=1,IF(H553=H$2,1,-0.33),0)</f>
        <v>0</v>
      </c>
    </row>
    <row r="556" spans="2:8" x14ac:dyDescent="0.2">
      <c r="B556" s="152"/>
      <c r="C556" s="154"/>
      <c r="D556" s="39"/>
      <c r="E556" s="54" t="s">
        <v>17</v>
      </c>
      <c r="F556" s="26"/>
      <c r="G556" s="18"/>
      <c r="H556" s="23"/>
    </row>
    <row r="557" spans="2:8" x14ac:dyDescent="0.2">
      <c r="B557" s="137"/>
      <c r="C557" s="17"/>
      <c r="D557" s="39"/>
      <c r="E557" s="54" t="s">
        <v>18</v>
      </c>
      <c r="F557" s="19"/>
      <c r="G557" s="18"/>
      <c r="H557" s="23"/>
    </row>
    <row r="558" spans="2:8" x14ac:dyDescent="0.2">
      <c r="B558" s="150" t="s">
        <v>377</v>
      </c>
      <c r="C558" s="151" t="s">
        <v>423</v>
      </c>
      <c r="D558" s="84"/>
      <c r="E558" s="53"/>
      <c r="F558" s="28"/>
      <c r="G558" s="14"/>
      <c r="H558" s="14"/>
    </row>
    <row r="559" spans="2:8" x14ac:dyDescent="0.2">
      <c r="B559" s="152"/>
      <c r="C559" s="153" t="s">
        <v>378</v>
      </c>
      <c r="D559" s="39"/>
      <c r="E559" s="54" t="s">
        <v>14</v>
      </c>
      <c r="F559" s="26"/>
      <c r="G559" s="18"/>
      <c r="H559" s="20" t="b">
        <f>IF(D559="x",H$2,H$1)</f>
        <v>0</v>
      </c>
    </row>
    <row r="560" spans="2:8" x14ac:dyDescent="0.2">
      <c r="B560" s="152"/>
      <c r="C560" s="154" t="s">
        <v>379</v>
      </c>
      <c r="D560" s="39"/>
      <c r="E560" s="54" t="s">
        <v>15</v>
      </c>
      <c r="F560" s="21" t="str">
        <f>IF(H561=1,IF(H559=H$2,H559,""),"")</f>
        <v/>
      </c>
      <c r="G560" s="18"/>
      <c r="H560" s="20" t="str">
        <f>IF(E$606="comprobar",COUNTIF(D559:D563,"x"),"")</f>
        <v/>
      </c>
    </row>
    <row r="561" spans="2:8" x14ac:dyDescent="0.2">
      <c r="B561" s="152"/>
      <c r="C561" s="17" t="s">
        <v>380</v>
      </c>
      <c r="D561" s="39"/>
      <c r="E561" s="54" t="s">
        <v>16</v>
      </c>
      <c r="F561" s="22" t="str">
        <f>IF(H561=-0.33,IF(H559=H$1,H559,""),"")</f>
        <v/>
      </c>
      <c r="G561" s="18"/>
      <c r="H561" s="23">
        <f>IF(H560=1,IF(H559=H$2,1,-0.33),0)</f>
        <v>0</v>
      </c>
    </row>
    <row r="562" spans="2:8" x14ac:dyDescent="0.2">
      <c r="B562" s="152"/>
      <c r="C562" s="154" t="s">
        <v>381</v>
      </c>
      <c r="D562" s="39"/>
      <c r="E562" s="54" t="s">
        <v>17</v>
      </c>
      <c r="F562" s="26"/>
      <c r="G562" s="18"/>
      <c r="H562" s="23"/>
    </row>
    <row r="563" spans="2:8" x14ac:dyDescent="0.2">
      <c r="B563" s="137"/>
      <c r="C563" s="17"/>
      <c r="D563" s="39"/>
      <c r="E563" s="54" t="s">
        <v>18</v>
      </c>
      <c r="F563" s="19"/>
      <c r="G563" s="18"/>
      <c r="H563" s="23"/>
    </row>
    <row r="564" spans="2:8" x14ac:dyDescent="0.2">
      <c r="B564" s="150" t="s">
        <v>382</v>
      </c>
      <c r="C564" s="151" t="s">
        <v>383</v>
      </c>
      <c r="D564" s="84"/>
      <c r="E564" s="53"/>
      <c r="F564" s="28"/>
      <c r="G564" s="14"/>
      <c r="H564" s="14"/>
    </row>
    <row r="565" spans="2:8" x14ac:dyDescent="0.2">
      <c r="B565" s="152"/>
      <c r="C565" s="153" t="s">
        <v>384</v>
      </c>
      <c r="D565" s="39"/>
      <c r="E565" s="54" t="s">
        <v>14</v>
      </c>
      <c r="F565" s="26"/>
      <c r="G565" s="18"/>
      <c r="H565" s="20" t="b">
        <f>IF(D567="x",H$2,H$1)</f>
        <v>0</v>
      </c>
    </row>
    <row r="566" spans="2:8" x14ac:dyDescent="0.2">
      <c r="B566" s="152"/>
      <c r="C566" s="154" t="s">
        <v>385</v>
      </c>
      <c r="D566" s="39"/>
      <c r="E566" s="54" t="s">
        <v>15</v>
      </c>
      <c r="F566" s="21" t="str">
        <f>IF(H567=1,IF(H565=H$2,H565,""),"")</f>
        <v/>
      </c>
      <c r="G566" s="18"/>
      <c r="H566" s="20" t="str">
        <f>IF(E$606="comprobar",COUNTIF(D565:D569,"x"),"")</f>
        <v/>
      </c>
    </row>
    <row r="567" spans="2:8" x14ac:dyDescent="0.2">
      <c r="B567" s="152"/>
      <c r="C567" s="17" t="s">
        <v>386</v>
      </c>
      <c r="D567" s="39"/>
      <c r="E567" s="54" t="s">
        <v>16</v>
      </c>
      <c r="F567" s="22" t="str">
        <f>IF(H567=-0.33,IF(H565=H$1,H565,""),"")</f>
        <v/>
      </c>
      <c r="G567" s="18"/>
      <c r="H567" s="23">
        <f>IF(H566=1,IF(H565=H$2,1,-0.33),0)</f>
        <v>0</v>
      </c>
    </row>
    <row r="568" spans="2:8" x14ac:dyDescent="0.2">
      <c r="B568" s="152"/>
      <c r="C568" s="154"/>
      <c r="D568" s="39"/>
      <c r="E568" s="54" t="s">
        <v>17</v>
      </c>
      <c r="F568" s="26"/>
      <c r="G568" s="18"/>
      <c r="H568" s="23"/>
    </row>
    <row r="569" spans="2:8" x14ac:dyDescent="0.2">
      <c r="B569" s="137"/>
      <c r="C569" s="17"/>
      <c r="D569" s="39"/>
      <c r="E569" s="54" t="s">
        <v>18</v>
      </c>
      <c r="F569" s="19"/>
      <c r="G569" s="18"/>
      <c r="H569" s="23"/>
    </row>
    <row r="570" spans="2:8" x14ac:dyDescent="0.2">
      <c r="B570" s="150" t="s">
        <v>387</v>
      </c>
      <c r="C570" s="151" t="s">
        <v>388</v>
      </c>
      <c r="D570" s="120"/>
      <c r="E570" s="53"/>
      <c r="F570" s="28"/>
      <c r="G570" s="14"/>
      <c r="H570" s="14"/>
    </row>
    <row r="571" spans="2:8" x14ac:dyDescent="0.2">
      <c r="B571" s="152"/>
      <c r="C571" s="153" t="s">
        <v>389</v>
      </c>
      <c r="D571" s="39"/>
      <c r="E571" s="54" t="s">
        <v>14</v>
      </c>
      <c r="F571" s="26"/>
      <c r="G571" s="18"/>
      <c r="H571" s="20" t="b">
        <f>IF(D573="x",H$2,H$1)</f>
        <v>0</v>
      </c>
    </row>
    <row r="572" spans="2:8" x14ac:dyDescent="0.2">
      <c r="B572" s="152"/>
      <c r="C572" s="154" t="s">
        <v>390</v>
      </c>
      <c r="D572" s="39"/>
      <c r="E572" s="54" t="s">
        <v>15</v>
      </c>
      <c r="F572" s="21" t="str">
        <f>IF(H573=1,IF(H571=H$2,H571,""),"")</f>
        <v/>
      </c>
      <c r="G572" s="18"/>
      <c r="H572" s="20" t="str">
        <f>IF(E$606="comprobar",COUNTIF(D571:D575,"x"),"")</f>
        <v/>
      </c>
    </row>
    <row r="573" spans="2:8" x14ac:dyDescent="0.2">
      <c r="B573" s="152"/>
      <c r="C573" s="17" t="s">
        <v>391</v>
      </c>
      <c r="D573" s="39"/>
      <c r="E573" s="54" t="s">
        <v>16</v>
      </c>
      <c r="F573" s="22" t="str">
        <f>IF(H573=-0.33,IF(H571=H$1,H571,""),"")</f>
        <v/>
      </c>
      <c r="G573" s="18"/>
      <c r="H573" s="23">
        <f>IF(H572=1,IF(H571=H$2,1,-0.33),0)</f>
        <v>0</v>
      </c>
    </row>
    <row r="574" spans="2:8" x14ac:dyDescent="0.2">
      <c r="B574" s="152"/>
      <c r="C574" s="154" t="s">
        <v>392</v>
      </c>
      <c r="D574" s="39"/>
      <c r="E574" s="54" t="s">
        <v>17</v>
      </c>
      <c r="F574" s="26"/>
      <c r="G574" s="18"/>
      <c r="H574" s="23"/>
    </row>
    <row r="575" spans="2:8" x14ac:dyDescent="0.2">
      <c r="B575" s="137"/>
      <c r="C575" s="17"/>
      <c r="D575" s="39"/>
      <c r="E575" s="54" t="s">
        <v>18</v>
      </c>
      <c r="F575" s="19"/>
      <c r="G575" s="18"/>
      <c r="H575" s="23"/>
    </row>
    <row r="576" spans="2:8" x14ac:dyDescent="0.2">
      <c r="B576" s="150" t="s">
        <v>393</v>
      </c>
      <c r="C576" s="151" t="s">
        <v>394</v>
      </c>
      <c r="D576" s="40"/>
      <c r="E576" s="53"/>
      <c r="F576" s="28"/>
      <c r="G576" s="14"/>
      <c r="H576" s="14"/>
    </row>
    <row r="577" spans="2:8" x14ac:dyDescent="0.2">
      <c r="B577" s="152"/>
      <c r="C577" s="153" t="s">
        <v>395</v>
      </c>
      <c r="D577" s="39"/>
      <c r="E577" s="54" t="s">
        <v>14</v>
      </c>
      <c r="F577" s="26"/>
      <c r="G577" s="18"/>
      <c r="H577" s="20" t="b">
        <f>IF(D580="x",H$2,H$1)</f>
        <v>0</v>
      </c>
    </row>
    <row r="578" spans="2:8" x14ac:dyDescent="0.2">
      <c r="B578" s="152"/>
      <c r="C578" s="154" t="s">
        <v>396</v>
      </c>
      <c r="D578" s="39"/>
      <c r="E578" s="54" t="s">
        <v>15</v>
      </c>
      <c r="F578" s="21" t="str">
        <f>IF(H579=1,IF(H577=H$2,H577,""),"")</f>
        <v/>
      </c>
      <c r="G578" s="18"/>
      <c r="H578" s="20" t="str">
        <f>IF(E$606="comprobar",COUNTIF(D577:D581,"x"),"")</f>
        <v/>
      </c>
    </row>
    <row r="579" spans="2:8" x14ac:dyDescent="0.2">
      <c r="B579" s="152"/>
      <c r="C579" s="17" t="s">
        <v>397</v>
      </c>
      <c r="D579" s="39"/>
      <c r="E579" s="54" t="s">
        <v>16</v>
      </c>
      <c r="F579" s="22" t="str">
        <f>IF(H579=-0.33,IF(H577=H$1,H577,""),"")</f>
        <v/>
      </c>
      <c r="G579" s="18"/>
      <c r="H579" s="23">
        <f>IF(H578=1,IF(H577=H$2,1,-0.33),0)</f>
        <v>0</v>
      </c>
    </row>
    <row r="580" spans="2:8" x14ac:dyDescent="0.2">
      <c r="B580" s="152"/>
      <c r="C580" s="154" t="s">
        <v>398</v>
      </c>
      <c r="D580" s="39"/>
      <c r="E580" s="54" t="s">
        <v>17</v>
      </c>
      <c r="F580" s="26"/>
      <c r="G580" s="18"/>
      <c r="H580" s="23"/>
    </row>
    <row r="581" spans="2:8" x14ac:dyDescent="0.2">
      <c r="B581" s="137"/>
      <c r="C581" s="17"/>
      <c r="D581" s="39"/>
      <c r="E581" s="54" t="s">
        <v>18</v>
      </c>
      <c r="F581" s="19"/>
      <c r="G581" s="18"/>
      <c r="H581" s="23"/>
    </row>
    <row r="582" spans="2:8" x14ac:dyDescent="0.2">
      <c r="B582" s="150" t="s">
        <v>399</v>
      </c>
      <c r="C582" s="151" t="s">
        <v>400</v>
      </c>
      <c r="D582" s="40"/>
      <c r="E582" s="53"/>
      <c r="F582" s="81"/>
      <c r="G582" s="14"/>
      <c r="H582" s="14"/>
    </row>
    <row r="583" spans="2:8" x14ac:dyDescent="0.2">
      <c r="B583" s="152"/>
      <c r="C583" s="153" t="s">
        <v>401</v>
      </c>
      <c r="D583" s="39"/>
      <c r="E583" s="54" t="s">
        <v>14</v>
      </c>
      <c r="F583" s="26"/>
      <c r="G583" s="18"/>
      <c r="H583" s="20" t="b">
        <f>IF(D584="x",H$2,H$1)</f>
        <v>0</v>
      </c>
    </row>
    <row r="584" spans="2:8" x14ac:dyDescent="0.2">
      <c r="B584" s="152"/>
      <c r="C584" s="154" t="s">
        <v>402</v>
      </c>
      <c r="D584" s="39"/>
      <c r="E584" s="54" t="s">
        <v>15</v>
      </c>
      <c r="F584" s="21" t="str">
        <f>IF(H585=1,IF(H583=H$2,H583,""),"")</f>
        <v/>
      </c>
      <c r="G584" s="18"/>
      <c r="H584" s="20" t="str">
        <f>IF(E$606="comprobar",COUNTIF(D583:D587,"x"),"")</f>
        <v/>
      </c>
    </row>
    <row r="585" spans="2:8" x14ac:dyDescent="0.2">
      <c r="B585" s="152"/>
      <c r="C585" s="17" t="s">
        <v>403</v>
      </c>
      <c r="D585" s="39"/>
      <c r="E585" s="54" t="s">
        <v>16</v>
      </c>
      <c r="F585" s="22" t="str">
        <f>IF(H585=-0.33,IF(H583=H$1,H583,""),"")</f>
        <v/>
      </c>
      <c r="G585" s="18"/>
      <c r="H585" s="23">
        <f>IF(H584=1,IF(H583=H$2,1,-0.33),0)</f>
        <v>0</v>
      </c>
    </row>
    <row r="586" spans="2:8" x14ac:dyDescent="0.2">
      <c r="B586" s="152"/>
      <c r="C586" s="154" t="s">
        <v>404</v>
      </c>
      <c r="D586" s="39"/>
      <c r="E586" s="54" t="s">
        <v>17</v>
      </c>
      <c r="F586" s="26"/>
      <c r="G586" s="18"/>
      <c r="H586" s="23"/>
    </row>
    <row r="587" spans="2:8" x14ac:dyDescent="0.2">
      <c r="B587" s="137"/>
      <c r="C587" s="17"/>
      <c r="D587" s="39"/>
      <c r="E587" s="54" t="s">
        <v>18</v>
      </c>
      <c r="F587" s="19"/>
      <c r="G587" s="18"/>
      <c r="H587" s="23"/>
    </row>
    <row r="588" spans="2:8" x14ac:dyDescent="0.2">
      <c r="B588" s="150" t="s">
        <v>405</v>
      </c>
      <c r="C588" s="151" t="s">
        <v>406</v>
      </c>
      <c r="D588" s="84"/>
      <c r="E588" s="53"/>
      <c r="F588" s="28"/>
      <c r="G588" s="14"/>
      <c r="H588" s="14"/>
    </row>
    <row r="589" spans="2:8" x14ac:dyDescent="0.2">
      <c r="B589" s="152"/>
      <c r="C589" s="153" t="s">
        <v>407</v>
      </c>
      <c r="D589" s="39"/>
      <c r="E589" s="54" t="s">
        <v>14</v>
      </c>
      <c r="F589" s="26"/>
      <c r="G589" s="18"/>
      <c r="H589" s="20" t="b">
        <f>IF(D591="x",H$2,H$1)</f>
        <v>0</v>
      </c>
    </row>
    <row r="590" spans="2:8" x14ac:dyDescent="0.2">
      <c r="B590" s="152"/>
      <c r="C590" s="154" t="s">
        <v>408</v>
      </c>
      <c r="D590" s="39"/>
      <c r="E590" s="54" t="s">
        <v>15</v>
      </c>
      <c r="F590" s="21" t="str">
        <f>IF(H591=1,IF(H589=H$2,H589,""),"")</f>
        <v/>
      </c>
      <c r="G590" s="18"/>
      <c r="H590" s="20" t="str">
        <f>IF(E$606="comprobar",COUNTIF(D589:D593,"x"),"")</f>
        <v/>
      </c>
    </row>
    <row r="591" spans="2:8" x14ac:dyDescent="0.2">
      <c r="B591" s="152"/>
      <c r="C591" s="17" t="s">
        <v>409</v>
      </c>
      <c r="D591" s="39"/>
      <c r="E591" s="54" t="s">
        <v>16</v>
      </c>
      <c r="F591" s="22" t="str">
        <f>IF(H591=-0.33,IF(H589=H$1,H589,""),"")</f>
        <v/>
      </c>
      <c r="G591" s="18"/>
      <c r="H591" s="23">
        <f>IF(H590=1,IF(H589=H$2,1,-0.33),0)</f>
        <v>0</v>
      </c>
    </row>
    <row r="592" spans="2:8" x14ac:dyDescent="0.2">
      <c r="B592" s="152"/>
      <c r="C592" s="154" t="s">
        <v>410</v>
      </c>
      <c r="D592" s="39"/>
      <c r="E592" s="54" t="s">
        <v>17</v>
      </c>
      <c r="F592" s="26"/>
      <c r="G592" s="18"/>
      <c r="H592" s="23"/>
    </row>
    <row r="593" spans="2:8" x14ac:dyDescent="0.2">
      <c r="B593" s="137"/>
      <c r="C593" s="17"/>
      <c r="D593" s="39"/>
      <c r="E593" s="54" t="s">
        <v>18</v>
      </c>
      <c r="F593" s="19"/>
      <c r="G593" s="18"/>
      <c r="H593" s="23"/>
    </row>
    <row r="594" spans="2:8" x14ac:dyDescent="0.2">
      <c r="B594" s="150" t="s">
        <v>411</v>
      </c>
      <c r="C594" s="151" t="s">
        <v>412</v>
      </c>
      <c r="D594" s="84"/>
      <c r="E594" s="53"/>
      <c r="F594" s="28"/>
      <c r="G594" s="14"/>
      <c r="H594" s="14"/>
    </row>
    <row r="595" spans="2:8" x14ac:dyDescent="0.2">
      <c r="B595" s="152"/>
      <c r="C595" s="153" t="s">
        <v>413</v>
      </c>
      <c r="D595" s="39"/>
      <c r="E595" s="54" t="s">
        <v>14</v>
      </c>
      <c r="F595" s="26"/>
      <c r="G595" s="18"/>
      <c r="H595" s="20" t="b">
        <f>IF(D598="x",H$2,H$1)</f>
        <v>0</v>
      </c>
    </row>
    <row r="596" spans="2:8" x14ac:dyDescent="0.2">
      <c r="B596" s="152"/>
      <c r="C596" s="154" t="s">
        <v>414</v>
      </c>
      <c r="D596" s="39"/>
      <c r="E596" s="54" t="s">
        <v>15</v>
      </c>
      <c r="F596" s="21" t="str">
        <f>IF(H597=1,IF(H595=H$2,H595,""),"")</f>
        <v/>
      </c>
      <c r="G596" s="18"/>
      <c r="H596" s="20" t="str">
        <f>IF(E$606="comprobar",COUNTIF(D595:D599,"x"),"")</f>
        <v/>
      </c>
    </row>
    <row r="597" spans="2:8" x14ac:dyDescent="0.2">
      <c r="B597" s="152"/>
      <c r="C597" s="17" t="s">
        <v>415</v>
      </c>
      <c r="D597" s="39"/>
      <c r="E597" s="54" t="s">
        <v>16</v>
      </c>
      <c r="F597" s="22" t="str">
        <f>IF(H597=-0.33,IF(H595=H$1,H595,""),"")</f>
        <v/>
      </c>
      <c r="G597" s="18"/>
      <c r="H597" s="23">
        <f>IF(H596=1,IF(H595=H$2,1,-0.33),0)</f>
        <v>0</v>
      </c>
    </row>
    <row r="598" spans="2:8" x14ac:dyDescent="0.2">
      <c r="B598" s="152"/>
      <c r="C598" s="154" t="s">
        <v>416</v>
      </c>
      <c r="D598" s="39"/>
      <c r="E598" s="54" t="s">
        <v>17</v>
      </c>
      <c r="F598" s="26"/>
      <c r="G598" s="18"/>
      <c r="H598" s="23"/>
    </row>
    <row r="599" spans="2:8" x14ac:dyDescent="0.2">
      <c r="B599" s="137"/>
      <c r="C599" s="17"/>
      <c r="D599" s="39"/>
      <c r="E599" s="54" t="s">
        <v>18</v>
      </c>
      <c r="F599" s="19"/>
      <c r="G599" s="18"/>
      <c r="H599" s="23"/>
    </row>
    <row r="600" spans="2:8" x14ac:dyDescent="0.2">
      <c r="B600" s="150" t="s">
        <v>417</v>
      </c>
      <c r="C600" s="151" t="s">
        <v>418</v>
      </c>
      <c r="D600" s="120"/>
      <c r="E600" s="53"/>
      <c r="F600" s="28"/>
      <c r="G600" s="14"/>
      <c r="H600" s="14"/>
    </row>
    <row r="601" spans="2:8" x14ac:dyDescent="0.2">
      <c r="B601" s="152"/>
      <c r="C601" s="153" t="s">
        <v>419</v>
      </c>
      <c r="D601" s="39"/>
      <c r="E601" s="54" t="s">
        <v>14</v>
      </c>
      <c r="F601" s="26"/>
      <c r="G601" s="18"/>
      <c r="H601" s="20" t="b">
        <f>IF(D603="x",H$2,H$1)</f>
        <v>0</v>
      </c>
    </row>
    <row r="602" spans="2:8" x14ac:dyDescent="0.2">
      <c r="B602" s="152"/>
      <c r="C602" s="154" t="s">
        <v>420</v>
      </c>
      <c r="D602" s="39"/>
      <c r="E602" s="54" t="s">
        <v>15</v>
      </c>
      <c r="F602" s="21" t="str">
        <f>IF(H603=1,IF(H601=H$2,H601,""),"")</f>
        <v/>
      </c>
      <c r="G602" s="18"/>
      <c r="H602" s="20" t="str">
        <f>IF(E$606="comprobar",COUNTIF(D601:D605,"x"),"")</f>
        <v/>
      </c>
    </row>
    <row r="603" spans="2:8" x14ac:dyDescent="0.2">
      <c r="B603" s="152"/>
      <c r="C603" s="17" t="s">
        <v>421</v>
      </c>
      <c r="D603" s="39"/>
      <c r="E603" s="54" t="s">
        <v>16</v>
      </c>
      <c r="F603" s="22" t="str">
        <f>IF(H603=-0.33,IF(H601=H$1,H601,""),"")</f>
        <v/>
      </c>
      <c r="G603" s="18"/>
      <c r="H603" s="23">
        <f>IF(H602=1,IF(H601=H$2,1,-0.33),0)</f>
        <v>0</v>
      </c>
    </row>
    <row r="604" spans="2:8" x14ac:dyDescent="0.2">
      <c r="B604" s="152"/>
      <c r="C604" s="154" t="s">
        <v>422</v>
      </c>
      <c r="D604" s="39"/>
      <c r="E604" s="54" t="s">
        <v>17</v>
      </c>
      <c r="F604" s="26"/>
      <c r="G604" s="18"/>
      <c r="H604" s="23"/>
    </row>
    <row r="605" spans="2:8" x14ac:dyDescent="0.2">
      <c r="B605" s="137"/>
      <c r="C605" s="17"/>
      <c r="D605" s="39"/>
      <c r="E605" s="54" t="s">
        <v>18</v>
      </c>
      <c r="F605" s="19"/>
      <c r="G605" s="18"/>
      <c r="H605" s="23"/>
    </row>
    <row r="606" spans="2:8" x14ac:dyDescent="0.2">
      <c r="B606" s="43"/>
      <c r="C606" s="8"/>
      <c r="D606" s="49"/>
      <c r="E606" s="60"/>
      <c r="F606" s="19"/>
      <c r="G606" s="18"/>
      <c r="H606" s="23"/>
    </row>
    <row r="607" spans="2:8" x14ac:dyDescent="0.2">
      <c r="B607" s="43"/>
      <c r="C607" s="8"/>
      <c r="D607" s="49"/>
      <c r="E607" s="60"/>
      <c r="F607" s="29" t="s">
        <v>8</v>
      </c>
      <c r="G607" s="18" t="s">
        <v>6</v>
      </c>
      <c r="H607" s="18" t="s">
        <v>7</v>
      </c>
    </row>
    <row r="608" spans="2:8" ht="20" x14ac:dyDescent="0.2">
      <c r="B608" s="43"/>
      <c r="C608" s="8"/>
      <c r="D608" s="183"/>
      <c r="E608" s="183"/>
      <c r="F608" s="30" t="str">
        <f>IF(E606="comprobar",H602+H596+H590+H584+H578+H572+H566+H560+H554+H548,"")</f>
        <v/>
      </c>
      <c r="G608" s="18">
        <f>10/2</f>
        <v>5</v>
      </c>
      <c r="H608" s="18"/>
    </row>
    <row r="609" spans="2:8" ht="17" thickBot="1" x14ac:dyDescent="0.25">
      <c r="B609" s="67"/>
      <c r="C609" s="68"/>
      <c r="D609" s="32"/>
      <c r="E609" s="9"/>
      <c r="F609" s="33"/>
      <c r="G609" s="18"/>
      <c r="H609" s="18"/>
    </row>
    <row r="610" spans="2:8" ht="29" x14ac:dyDescent="0.35">
      <c r="B610" s="62" t="s">
        <v>191</v>
      </c>
      <c r="C610" s="179" t="s">
        <v>468</v>
      </c>
      <c r="D610" s="179"/>
      <c r="E610" s="179"/>
      <c r="F610" s="180"/>
    </row>
    <row r="611" spans="2:8" x14ac:dyDescent="0.2">
      <c r="B611" s="150" t="s">
        <v>368</v>
      </c>
      <c r="C611" s="151" t="s">
        <v>425</v>
      </c>
      <c r="D611" s="40"/>
      <c r="E611" s="53"/>
      <c r="F611" s="28"/>
      <c r="G611" s="14"/>
      <c r="H611" s="14"/>
    </row>
    <row r="612" spans="2:8" x14ac:dyDescent="0.2">
      <c r="B612" s="152"/>
      <c r="C612" s="153" t="s">
        <v>426</v>
      </c>
      <c r="D612" s="39"/>
      <c r="E612" s="54" t="s">
        <v>14</v>
      </c>
      <c r="F612" s="26"/>
      <c r="G612" s="18"/>
      <c r="H612" s="20" t="b">
        <f>IF(D614="x",H$2,H$1)</f>
        <v>0</v>
      </c>
    </row>
    <row r="613" spans="2:8" x14ac:dyDescent="0.2">
      <c r="B613" s="152"/>
      <c r="C613" s="154" t="s">
        <v>427</v>
      </c>
      <c r="D613" s="39"/>
      <c r="E613" s="54" t="s">
        <v>15</v>
      </c>
      <c r="F613" s="21" t="str">
        <f>IF(H614=1,IF(H612=H$2,H612,""),"")</f>
        <v/>
      </c>
      <c r="G613" s="18"/>
      <c r="H613" s="20" t="str">
        <f>IF(E$671="comprobar",COUNTIF(D612:D616,"x"),"")</f>
        <v/>
      </c>
    </row>
    <row r="614" spans="2:8" x14ac:dyDescent="0.2">
      <c r="B614" s="152"/>
      <c r="C614" s="17" t="s">
        <v>428</v>
      </c>
      <c r="D614" s="39"/>
      <c r="E614" s="54" t="s">
        <v>16</v>
      </c>
      <c r="F614" s="22" t="str">
        <f>IF(H614=-0.33,IF(H612=H$1,H612,""),"")</f>
        <v/>
      </c>
      <c r="G614" s="18"/>
      <c r="H614" s="23">
        <f>IF(H613=1,IF(H612=H$2,1,-0.33),0)</f>
        <v>0</v>
      </c>
    </row>
    <row r="615" spans="2:8" x14ac:dyDescent="0.2">
      <c r="B615" s="152"/>
      <c r="C615" s="154"/>
      <c r="D615" s="39"/>
      <c r="E615" s="54" t="s">
        <v>17</v>
      </c>
      <c r="F615" s="26"/>
      <c r="G615" s="18"/>
      <c r="H615" s="23"/>
    </row>
    <row r="616" spans="2:8" x14ac:dyDescent="0.2">
      <c r="B616" s="137"/>
      <c r="C616" s="17"/>
      <c r="D616" s="39"/>
      <c r="E616" s="54" t="s">
        <v>18</v>
      </c>
      <c r="F616" s="19"/>
      <c r="G616" s="18"/>
      <c r="H616" s="23"/>
    </row>
    <row r="617" spans="2:8" x14ac:dyDescent="0.2">
      <c r="B617" s="150" t="s">
        <v>373</v>
      </c>
      <c r="C617" s="151" t="s">
        <v>429</v>
      </c>
      <c r="D617" s="40"/>
      <c r="E617" s="53"/>
      <c r="F617" s="81"/>
      <c r="G617" s="14"/>
      <c r="H617" s="14"/>
    </row>
    <row r="618" spans="2:8" x14ac:dyDescent="0.2">
      <c r="B618" s="152"/>
      <c r="C618" s="153" t="s">
        <v>430</v>
      </c>
      <c r="D618" s="39"/>
      <c r="E618" s="54" t="s">
        <v>14</v>
      </c>
      <c r="F618" s="26"/>
      <c r="G618" s="18"/>
      <c r="H618" s="20" t="b">
        <f>IF(D619="x",H$2,H$1)</f>
        <v>0</v>
      </c>
    </row>
    <row r="619" spans="2:8" x14ac:dyDescent="0.2">
      <c r="B619" s="152"/>
      <c r="C619" s="154" t="s">
        <v>431</v>
      </c>
      <c r="D619" s="39"/>
      <c r="E619" s="54" t="s">
        <v>15</v>
      </c>
      <c r="F619" s="21" t="str">
        <f>IF(H620=1,IF(H618=H$2,H618,""),"")</f>
        <v/>
      </c>
      <c r="G619" s="18"/>
      <c r="H619" s="20" t="str">
        <f>IF(E$671="comprobar",COUNTIF(D618:D622,"x"),"")</f>
        <v/>
      </c>
    </row>
    <row r="620" spans="2:8" x14ac:dyDescent="0.2">
      <c r="B620" s="152"/>
      <c r="C620" s="17" t="s">
        <v>432</v>
      </c>
      <c r="D620" s="39"/>
      <c r="E620" s="54" t="s">
        <v>16</v>
      </c>
      <c r="F620" s="22" t="str">
        <f>IF(H620=-0.33,IF(H618=H$1,H618,""),"")</f>
        <v/>
      </c>
      <c r="G620" s="18"/>
      <c r="H620" s="23">
        <f>IF(H619=1,IF(H618=H$2,1,-0.33),0)</f>
        <v>0</v>
      </c>
    </row>
    <row r="621" spans="2:8" x14ac:dyDescent="0.2">
      <c r="B621" s="152"/>
      <c r="C621" s="154" t="s">
        <v>433</v>
      </c>
      <c r="D621" s="39"/>
      <c r="E621" s="54" t="s">
        <v>17</v>
      </c>
      <c r="F621" s="26"/>
      <c r="G621" s="18"/>
      <c r="H621" s="23"/>
    </row>
    <row r="622" spans="2:8" x14ac:dyDescent="0.2">
      <c r="B622" s="137"/>
      <c r="C622" s="17"/>
      <c r="D622" s="39"/>
      <c r="E622" s="54" t="s">
        <v>18</v>
      </c>
      <c r="F622" s="19"/>
      <c r="G622" s="18"/>
      <c r="H622" s="23"/>
    </row>
    <row r="623" spans="2:8" x14ac:dyDescent="0.2">
      <c r="B623" s="150" t="s">
        <v>377</v>
      </c>
      <c r="C623" s="151" t="s">
        <v>434</v>
      </c>
      <c r="D623" s="84"/>
      <c r="E623" s="53"/>
      <c r="F623" s="28"/>
      <c r="G623" s="14"/>
      <c r="H623" s="14"/>
    </row>
    <row r="624" spans="2:8" x14ac:dyDescent="0.2">
      <c r="B624" s="152"/>
      <c r="C624" s="153" t="s">
        <v>435</v>
      </c>
      <c r="D624" s="39"/>
      <c r="E624" s="54" t="s">
        <v>14</v>
      </c>
      <c r="F624" s="26"/>
      <c r="G624" s="18"/>
      <c r="H624" s="20" t="b">
        <f>IF(D625="x",H$2,H$1)</f>
        <v>0</v>
      </c>
    </row>
    <row r="625" spans="2:8" x14ac:dyDescent="0.2">
      <c r="B625" s="152"/>
      <c r="C625" s="154" t="s">
        <v>436</v>
      </c>
      <c r="D625" s="39"/>
      <c r="E625" s="54" t="s">
        <v>15</v>
      </c>
      <c r="F625" s="21" t="str">
        <f>IF(H626=1,IF(H624=H$2,H624,""),"")</f>
        <v/>
      </c>
      <c r="G625" s="18"/>
      <c r="H625" s="20" t="str">
        <f>IF(E$671="comprobar",COUNTIF(D624:D628,"x"),"")</f>
        <v/>
      </c>
    </row>
    <row r="626" spans="2:8" x14ac:dyDescent="0.2">
      <c r="B626" s="152"/>
      <c r="C626" s="17" t="s">
        <v>437</v>
      </c>
      <c r="D626" s="39"/>
      <c r="E626" s="54" t="s">
        <v>16</v>
      </c>
      <c r="F626" s="22" t="str">
        <f>IF(H626=-0.33,IF(H624=H$1,H624,""),"")</f>
        <v/>
      </c>
      <c r="G626" s="18"/>
      <c r="H626" s="23">
        <f>IF(H625=1,IF(H624=H$2,1,-0.33),0)</f>
        <v>0</v>
      </c>
    </row>
    <row r="627" spans="2:8" x14ac:dyDescent="0.2">
      <c r="B627" s="152"/>
      <c r="C627" s="154" t="s">
        <v>438</v>
      </c>
      <c r="D627" s="39"/>
      <c r="E627" s="54" t="s">
        <v>17</v>
      </c>
      <c r="F627" s="26"/>
      <c r="G627" s="18"/>
      <c r="H627" s="23"/>
    </row>
    <row r="628" spans="2:8" x14ac:dyDescent="0.2">
      <c r="B628" s="137"/>
      <c r="C628" s="17"/>
      <c r="D628" s="39"/>
      <c r="E628" s="54" t="s">
        <v>18</v>
      </c>
      <c r="F628" s="19"/>
      <c r="G628" s="18"/>
      <c r="H628" s="23"/>
    </row>
    <row r="629" spans="2:8" x14ac:dyDescent="0.2">
      <c r="B629" s="150" t="s">
        <v>382</v>
      </c>
      <c r="C629" s="151" t="s">
        <v>439</v>
      </c>
      <c r="D629" s="84"/>
      <c r="E629" s="53"/>
      <c r="F629" s="28"/>
      <c r="G629" s="14"/>
      <c r="H629" s="14"/>
    </row>
    <row r="630" spans="2:8" x14ac:dyDescent="0.2">
      <c r="B630" s="152"/>
      <c r="C630" s="153" t="s">
        <v>440</v>
      </c>
      <c r="D630" s="39"/>
      <c r="E630" s="54" t="s">
        <v>14</v>
      </c>
      <c r="F630" s="26"/>
      <c r="G630" s="18"/>
      <c r="H630" s="20" t="b">
        <f>IF(D631="x",H$2,H$1)</f>
        <v>0</v>
      </c>
    </row>
    <row r="631" spans="2:8" x14ac:dyDescent="0.2">
      <c r="B631" s="152"/>
      <c r="C631" s="154" t="s">
        <v>441</v>
      </c>
      <c r="D631" s="39"/>
      <c r="E631" s="54" t="s">
        <v>15</v>
      </c>
      <c r="F631" s="21" t="str">
        <f>IF(H632=1,IF(H630=H$2,H630,""),"")</f>
        <v/>
      </c>
      <c r="G631" s="18"/>
      <c r="H631" s="20" t="str">
        <f>IF(E$671="comprobar",COUNTIF(D630:D634,"x"),"")</f>
        <v/>
      </c>
    </row>
    <row r="632" spans="2:8" x14ac:dyDescent="0.2">
      <c r="B632" s="152"/>
      <c r="C632" s="17" t="s">
        <v>442</v>
      </c>
      <c r="D632" s="39"/>
      <c r="E632" s="54" t="s">
        <v>16</v>
      </c>
      <c r="F632" s="22" t="str">
        <f>IF(H632=-0.33,IF(H630=H$1,H630,""),"")</f>
        <v/>
      </c>
      <c r="G632" s="18"/>
      <c r="H632" s="23">
        <f>IF(H631=1,IF(H630=H$2,1,-0.33),0)</f>
        <v>0</v>
      </c>
    </row>
    <row r="633" spans="2:8" x14ac:dyDescent="0.2">
      <c r="B633" s="152"/>
      <c r="C633" s="154" t="s">
        <v>438</v>
      </c>
      <c r="D633" s="39"/>
      <c r="E633" s="54" t="s">
        <v>17</v>
      </c>
      <c r="F633" s="26"/>
      <c r="G633" s="18"/>
      <c r="H633" s="23"/>
    </row>
    <row r="634" spans="2:8" x14ac:dyDescent="0.2">
      <c r="B634" s="137"/>
      <c r="C634" s="17"/>
      <c r="D634" s="39"/>
      <c r="E634" s="54" t="s">
        <v>18</v>
      </c>
      <c r="F634" s="19"/>
      <c r="G634" s="18"/>
      <c r="H634" s="23"/>
    </row>
    <row r="635" spans="2:8" x14ac:dyDescent="0.2">
      <c r="B635" s="150" t="s">
        <v>387</v>
      </c>
      <c r="C635" s="151" t="s">
        <v>443</v>
      </c>
      <c r="D635" s="120"/>
      <c r="E635" s="53"/>
      <c r="F635" s="28"/>
      <c r="G635" s="14"/>
      <c r="H635" s="14"/>
    </row>
    <row r="636" spans="2:8" x14ac:dyDescent="0.2">
      <c r="B636" s="152"/>
      <c r="C636" s="153" t="s">
        <v>465</v>
      </c>
      <c r="D636" s="39"/>
      <c r="E636" s="54" t="s">
        <v>14</v>
      </c>
      <c r="F636" s="26"/>
      <c r="G636" s="18"/>
      <c r="H636" s="20" t="b">
        <f>IF(D636="x",H$2,H$1)</f>
        <v>0</v>
      </c>
    </row>
    <row r="637" spans="2:8" x14ac:dyDescent="0.2">
      <c r="B637" s="152"/>
      <c r="C637" s="154" t="s">
        <v>444</v>
      </c>
      <c r="D637" s="39"/>
      <c r="E637" s="54" t="s">
        <v>15</v>
      </c>
      <c r="F637" s="21" t="str">
        <f>IF(H638=1,IF(H636=H$2,H636,""),"")</f>
        <v/>
      </c>
      <c r="G637" s="18"/>
      <c r="H637" s="20" t="str">
        <f>IF(E$671="comprobar",COUNTIF(D636:D640,"x"),"")</f>
        <v/>
      </c>
    </row>
    <row r="638" spans="2:8" x14ac:dyDescent="0.2">
      <c r="B638" s="152"/>
      <c r="C638" s="17" t="s">
        <v>445</v>
      </c>
      <c r="D638" s="39"/>
      <c r="E638" s="54" t="s">
        <v>16</v>
      </c>
      <c r="F638" s="22" t="str">
        <f>IF(H638=-0.33,IF(H636=H$1,H636,""),"")</f>
        <v/>
      </c>
      <c r="G638" s="18"/>
      <c r="H638" s="23">
        <f>IF(H637=1,IF(H636=H$2,1,-0.33),0)</f>
        <v>0</v>
      </c>
    </row>
    <row r="639" spans="2:8" x14ac:dyDescent="0.2">
      <c r="B639" s="152"/>
      <c r="C639" s="154" t="s">
        <v>438</v>
      </c>
      <c r="D639" s="39"/>
      <c r="E639" s="54" t="s">
        <v>17</v>
      </c>
      <c r="F639" s="26"/>
      <c r="G639" s="18"/>
      <c r="H639" s="23"/>
    </row>
    <row r="640" spans="2:8" x14ac:dyDescent="0.2">
      <c r="B640" s="137"/>
      <c r="C640" s="17"/>
      <c r="D640" s="39"/>
      <c r="E640" s="54" t="s">
        <v>18</v>
      </c>
      <c r="F640" s="19"/>
      <c r="G640" s="18"/>
      <c r="H640" s="23"/>
    </row>
    <row r="641" spans="2:8" x14ac:dyDescent="0.2">
      <c r="B641" s="150" t="s">
        <v>393</v>
      </c>
      <c r="C641" s="151" t="s">
        <v>446</v>
      </c>
      <c r="D641" s="40"/>
      <c r="E641" s="53"/>
      <c r="F641" s="28"/>
      <c r="G641" s="14"/>
      <c r="H641" s="14"/>
    </row>
    <row r="642" spans="2:8" x14ac:dyDescent="0.2">
      <c r="B642" s="152"/>
      <c r="C642" s="153" t="s">
        <v>447</v>
      </c>
      <c r="D642" s="39"/>
      <c r="E642" s="54" t="s">
        <v>14</v>
      </c>
      <c r="F642" s="26"/>
      <c r="G642" s="18"/>
      <c r="H642" s="20" t="b">
        <f>IF(D645="x",H$2,H$1)</f>
        <v>0</v>
      </c>
    </row>
    <row r="643" spans="2:8" x14ac:dyDescent="0.2">
      <c r="B643" s="152"/>
      <c r="C643" s="154" t="s">
        <v>448</v>
      </c>
      <c r="D643" s="39"/>
      <c r="E643" s="54" t="s">
        <v>15</v>
      </c>
      <c r="F643" s="21" t="str">
        <f>IF(H644=1,IF(H642=H$2,H642,""),"")</f>
        <v/>
      </c>
      <c r="G643" s="18"/>
      <c r="H643" s="20" t="str">
        <f>IF(E$671="comprobar",COUNTIF(D642:D646,"x"),"")</f>
        <v/>
      </c>
    </row>
    <row r="644" spans="2:8" x14ac:dyDescent="0.2">
      <c r="B644" s="152"/>
      <c r="C644" s="17" t="s">
        <v>449</v>
      </c>
      <c r="D644" s="39"/>
      <c r="E644" s="54" t="s">
        <v>16</v>
      </c>
      <c r="F644" s="22" t="str">
        <f>IF(H644=-0.33,IF(H642=H$1,H642,""),"")</f>
        <v/>
      </c>
      <c r="G644" s="18"/>
      <c r="H644" s="23">
        <f>IF(H643=1,IF(H642=H$2,1,-0.33),0)</f>
        <v>0</v>
      </c>
    </row>
    <row r="645" spans="2:8" x14ac:dyDescent="0.2">
      <c r="B645" s="152"/>
      <c r="C645" s="154" t="s">
        <v>438</v>
      </c>
      <c r="D645" s="39"/>
      <c r="E645" s="54" t="s">
        <v>17</v>
      </c>
      <c r="F645" s="26"/>
      <c r="G645" s="18"/>
      <c r="H645" s="23"/>
    </row>
    <row r="646" spans="2:8" x14ac:dyDescent="0.2">
      <c r="B646" s="137"/>
      <c r="C646" s="17"/>
      <c r="D646" s="39"/>
      <c r="E646" s="54" t="s">
        <v>18</v>
      </c>
      <c r="F646" s="19"/>
      <c r="G646" s="18"/>
      <c r="H646" s="23"/>
    </row>
    <row r="647" spans="2:8" x14ac:dyDescent="0.2">
      <c r="B647" s="150" t="s">
        <v>399</v>
      </c>
      <c r="C647" s="151" t="s">
        <v>450</v>
      </c>
      <c r="D647" s="40"/>
      <c r="E647" s="53"/>
      <c r="F647" s="81"/>
      <c r="G647" s="14"/>
      <c r="H647" s="14"/>
    </row>
    <row r="648" spans="2:8" x14ac:dyDescent="0.2">
      <c r="B648" s="152"/>
      <c r="C648" s="153" t="s">
        <v>451</v>
      </c>
      <c r="D648" s="39"/>
      <c r="E648" s="54" t="s">
        <v>14</v>
      </c>
      <c r="F648" s="26"/>
      <c r="G648" s="18"/>
      <c r="H648" s="20" t="b">
        <f>IF(D651="x",H$2,H$1)</f>
        <v>0</v>
      </c>
    </row>
    <row r="649" spans="2:8" x14ac:dyDescent="0.2">
      <c r="B649" s="152"/>
      <c r="C649" s="154" t="s">
        <v>452</v>
      </c>
      <c r="D649" s="39"/>
      <c r="E649" s="54" t="s">
        <v>15</v>
      </c>
      <c r="F649" s="21" t="str">
        <f>IF(H650=1,IF(H648=H$2,H648,""),"")</f>
        <v/>
      </c>
      <c r="G649" s="18"/>
      <c r="H649" s="20" t="str">
        <f>IF(E$671="comprobar",COUNTIF(D648:D652,"x"),"")</f>
        <v/>
      </c>
    </row>
    <row r="650" spans="2:8" x14ac:dyDescent="0.2">
      <c r="B650" s="152"/>
      <c r="C650" s="17" t="s">
        <v>453</v>
      </c>
      <c r="D650" s="39"/>
      <c r="E650" s="54" t="s">
        <v>16</v>
      </c>
      <c r="F650" s="22" t="str">
        <f>IF(H650=-0.33,IF(H648=H$1,H648,""),"")</f>
        <v/>
      </c>
      <c r="G650" s="18"/>
      <c r="H650" s="23">
        <f>IF(H649=1,IF(H648=H$2,1,-0.33),0)</f>
        <v>0</v>
      </c>
    </row>
    <row r="651" spans="2:8" x14ac:dyDescent="0.2">
      <c r="B651" s="152"/>
      <c r="C651" s="154" t="s">
        <v>454</v>
      </c>
      <c r="D651" s="39"/>
      <c r="E651" s="54" t="s">
        <v>17</v>
      </c>
      <c r="F651" s="26"/>
      <c r="G651" s="18"/>
      <c r="H651" s="23"/>
    </row>
    <row r="652" spans="2:8" x14ac:dyDescent="0.2">
      <c r="B652" s="137"/>
      <c r="C652" s="17"/>
      <c r="D652" s="39"/>
      <c r="E652" s="54" t="s">
        <v>18</v>
      </c>
      <c r="F652" s="19"/>
      <c r="G652" s="18"/>
      <c r="H652" s="23"/>
    </row>
    <row r="653" spans="2:8" x14ac:dyDescent="0.2">
      <c r="B653" s="150" t="s">
        <v>405</v>
      </c>
      <c r="C653" s="151" t="s">
        <v>455</v>
      </c>
      <c r="D653" s="84"/>
      <c r="E653" s="53"/>
      <c r="F653" s="28"/>
      <c r="G653" s="14"/>
      <c r="H653" s="14"/>
    </row>
    <row r="654" spans="2:8" x14ac:dyDescent="0.2">
      <c r="B654" s="152"/>
      <c r="C654" s="153" t="s">
        <v>456</v>
      </c>
      <c r="D654" s="39"/>
      <c r="E654" s="54" t="s">
        <v>14</v>
      </c>
      <c r="F654" s="26"/>
      <c r="G654" s="18"/>
      <c r="H654" s="20" t="b">
        <f>IF(D656="x",H$2,H$1)</f>
        <v>0</v>
      </c>
    </row>
    <row r="655" spans="2:8" x14ac:dyDescent="0.2">
      <c r="B655" s="152"/>
      <c r="C655" s="154" t="s">
        <v>457</v>
      </c>
      <c r="D655" s="39"/>
      <c r="E655" s="54" t="s">
        <v>15</v>
      </c>
      <c r="F655" s="21" t="str">
        <f>IF(H656=1,IF(H654=H$2,H654,""),"")</f>
        <v/>
      </c>
      <c r="G655" s="18"/>
      <c r="H655" s="20" t="str">
        <f>IF(E$671="comprobar",COUNTIF(D654:D658,"x"),"")</f>
        <v/>
      </c>
    </row>
    <row r="656" spans="2:8" x14ac:dyDescent="0.2">
      <c r="B656" s="152"/>
      <c r="C656" s="17" t="s">
        <v>458</v>
      </c>
      <c r="D656" s="39"/>
      <c r="E656" s="54" t="s">
        <v>16</v>
      </c>
      <c r="F656" s="22" t="str">
        <f>IF(H656=-0.33,IF(H654=H$1,H654,""),"")</f>
        <v/>
      </c>
      <c r="G656" s="18"/>
      <c r="H656" s="23">
        <f>IF(H655=1,IF(H654=H$2,1,-0.33),0)</f>
        <v>0</v>
      </c>
    </row>
    <row r="657" spans="2:8" x14ac:dyDescent="0.2">
      <c r="B657" s="152"/>
      <c r="C657" s="154" t="s">
        <v>433</v>
      </c>
      <c r="D657" s="39"/>
      <c r="E657" s="54" t="s">
        <v>17</v>
      </c>
      <c r="F657" s="26"/>
      <c r="G657" s="18"/>
      <c r="H657" s="23"/>
    </row>
    <row r="658" spans="2:8" x14ac:dyDescent="0.2">
      <c r="B658" s="137"/>
      <c r="C658" s="17"/>
      <c r="D658" s="39"/>
      <c r="E658" s="54" t="s">
        <v>18</v>
      </c>
      <c r="F658" s="19"/>
      <c r="G658" s="18"/>
      <c r="H658" s="23"/>
    </row>
    <row r="659" spans="2:8" x14ac:dyDescent="0.2">
      <c r="B659" s="150" t="s">
        <v>411</v>
      </c>
      <c r="C659" s="151" t="s">
        <v>459</v>
      </c>
      <c r="D659" s="84"/>
      <c r="E659" s="53"/>
      <c r="F659" s="28"/>
      <c r="G659" s="14"/>
      <c r="H659" s="14"/>
    </row>
    <row r="660" spans="2:8" x14ac:dyDescent="0.2">
      <c r="B660" s="152"/>
      <c r="C660" s="153" t="s">
        <v>460</v>
      </c>
      <c r="D660" s="39"/>
      <c r="E660" s="54" t="s">
        <v>14</v>
      </c>
      <c r="F660" s="26"/>
      <c r="G660" s="18"/>
      <c r="H660" s="20" t="b">
        <f>IF(D662="x",H$2,H$1)</f>
        <v>0</v>
      </c>
    </row>
    <row r="661" spans="2:8" x14ac:dyDescent="0.2">
      <c r="B661" s="152"/>
      <c r="C661" s="154" t="s">
        <v>461</v>
      </c>
      <c r="D661" s="39"/>
      <c r="E661" s="54" t="s">
        <v>15</v>
      </c>
      <c r="F661" s="21" t="str">
        <f>IF(H662=1,IF(H660=H$2,H660,""),"")</f>
        <v/>
      </c>
      <c r="G661" s="18"/>
      <c r="H661" s="20" t="str">
        <f>IF(E$671="comprobar",COUNTIF(D660:D664,"x"),"")</f>
        <v/>
      </c>
    </row>
    <row r="662" spans="2:8" x14ac:dyDescent="0.2">
      <c r="B662" s="152"/>
      <c r="C662" s="17" t="s">
        <v>462</v>
      </c>
      <c r="D662" s="39"/>
      <c r="E662" s="54" t="s">
        <v>16</v>
      </c>
      <c r="F662" s="22" t="str">
        <f>IF(H662=-0.33,IF(H660=H$1,H660,""),"")</f>
        <v/>
      </c>
      <c r="G662" s="18"/>
      <c r="H662" s="23">
        <f>IF(H661=1,IF(H660=H$2,1,-0.33),0)</f>
        <v>0</v>
      </c>
    </row>
    <row r="663" spans="2:8" x14ac:dyDescent="0.2">
      <c r="B663" s="152"/>
      <c r="C663" s="154" t="s">
        <v>433</v>
      </c>
      <c r="D663" s="39"/>
      <c r="E663" s="54" t="s">
        <v>17</v>
      </c>
      <c r="F663" s="26"/>
      <c r="G663" s="18"/>
      <c r="H663" s="23"/>
    </row>
    <row r="664" spans="2:8" x14ac:dyDescent="0.2">
      <c r="B664" s="137"/>
      <c r="C664" s="17"/>
      <c r="D664" s="39"/>
      <c r="E664" s="54" t="s">
        <v>18</v>
      </c>
      <c r="F664" s="19"/>
      <c r="G664" s="18"/>
      <c r="H664" s="23"/>
    </row>
    <row r="665" spans="2:8" x14ac:dyDescent="0.2">
      <c r="B665" s="150" t="s">
        <v>417</v>
      </c>
      <c r="C665" s="151" t="s">
        <v>466</v>
      </c>
      <c r="D665" s="120"/>
      <c r="E665" s="53"/>
      <c r="F665" s="28"/>
      <c r="G665" s="14"/>
      <c r="H665" s="14"/>
    </row>
    <row r="666" spans="2:8" x14ac:dyDescent="0.2">
      <c r="B666" s="152"/>
      <c r="C666" s="153" t="s">
        <v>467</v>
      </c>
      <c r="D666" s="39"/>
      <c r="E666" s="54" t="s">
        <v>14</v>
      </c>
      <c r="F666" s="26"/>
      <c r="G666" s="18"/>
      <c r="H666" s="20" t="b">
        <f>IF(D667="x",H$2,H$1)</f>
        <v>0</v>
      </c>
    </row>
    <row r="667" spans="2:8" x14ac:dyDescent="0.2">
      <c r="B667" s="152"/>
      <c r="C667" s="154" t="s">
        <v>463</v>
      </c>
      <c r="D667" s="39"/>
      <c r="E667" s="54" t="s">
        <v>15</v>
      </c>
      <c r="F667" s="21" t="str">
        <f>IF(H668=1,IF(H666=H$2,H666,""),"")</f>
        <v/>
      </c>
      <c r="G667" s="18"/>
      <c r="H667" s="20" t="str">
        <f>IF(E$671="comprobar",COUNTIF(D666:D670,"x"),"")</f>
        <v/>
      </c>
    </row>
    <row r="668" spans="2:8" x14ac:dyDescent="0.2">
      <c r="B668" s="152"/>
      <c r="C668" s="17" t="s">
        <v>464</v>
      </c>
      <c r="D668" s="39"/>
      <c r="E668" s="54" t="s">
        <v>16</v>
      </c>
      <c r="F668" s="22" t="str">
        <f>IF(H668=-0.33,IF(H666=H$1,H666,""),"")</f>
        <v/>
      </c>
      <c r="G668" s="18"/>
      <c r="H668" s="23">
        <f>IF(H667=1,IF(H666=H$2,1,-0.33),0)</f>
        <v>0</v>
      </c>
    </row>
    <row r="669" spans="2:8" x14ac:dyDescent="0.2">
      <c r="B669" s="152"/>
      <c r="C669" s="154" t="s">
        <v>438</v>
      </c>
      <c r="D669" s="39"/>
      <c r="E669" s="54" t="s">
        <v>17</v>
      </c>
      <c r="F669" s="26"/>
      <c r="G669" s="18"/>
      <c r="H669" s="23"/>
    </row>
    <row r="670" spans="2:8" x14ac:dyDescent="0.2">
      <c r="B670" s="137"/>
      <c r="C670" s="17"/>
      <c r="D670" s="39"/>
      <c r="E670" s="54" t="s">
        <v>18</v>
      </c>
      <c r="F670" s="19"/>
      <c r="G670" s="18"/>
      <c r="H670" s="23"/>
    </row>
    <row r="671" spans="2:8" x14ac:dyDescent="0.2">
      <c r="B671" s="43"/>
      <c r="C671" s="8"/>
      <c r="D671" s="49"/>
      <c r="E671" s="60"/>
      <c r="F671" s="19"/>
      <c r="G671" s="18"/>
      <c r="H671" s="23"/>
    </row>
    <row r="672" spans="2:8" x14ac:dyDescent="0.2">
      <c r="B672" s="43"/>
      <c r="C672" s="8"/>
      <c r="D672" s="49"/>
      <c r="E672" s="60"/>
      <c r="F672" s="29" t="s">
        <v>8</v>
      </c>
      <c r="G672" s="18" t="s">
        <v>6</v>
      </c>
      <c r="H672" s="18" t="s">
        <v>7</v>
      </c>
    </row>
    <row r="673" spans="2:8" ht="20" x14ac:dyDescent="0.2">
      <c r="B673" s="43"/>
      <c r="C673" s="8"/>
      <c r="D673" s="183"/>
      <c r="E673" s="183"/>
      <c r="F673" s="30" t="str">
        <f>IF(E671="comprobar",H667+H661+H655+H649+H643+H637+H631+H625+H619+H613,"")</f>
        <v/>
      </c>
      <c r="G673" s="18">
        <f>10/2</f>
        <v>5</v>
      </c>
      <c r="H673" s="18"/>
    </row>
    <row r="674" spans="2:8" ht="17" thickBot="1" x14ac:dyDescent="0.25">
      <c r="B674" s="67"/>
      <c r="C674" s="68"/>
      <c r="D674" s="32"/>
      <c r="E674" s="9"/>
      <c r="F674" s="33"/>
      <c r="G674" s="18"/>
      <c r="H674" s="18"/>
    </row>
    <row r="675" spans="2:8" ht="29" x14ac:dyDescent="0.35">
      <c r="B675" s="62" t="s">
        <v>191</v>
      </c>
      <c r="C675" s="181" t="s">
        <v>513</v>
      </c>
      <c r="D675" s="181"/>
      <c r="E675" s="181"/>
      <c r="F675" s="182"/>
    </row>
    <row r="676" spans="2:8" x14ac:dyDescent="0.2">
      <c r="B676" s="150"/>
      <c r="C676" s="151" t="s">
        <v>469</v>
      </c>
      <c r="D676" s="40"/>
      <c r="E676" s="53"/>
      <c r="F676" s="28"/>
      <c r="G676" s="14"/>
      <c r="H676" s="14"/>
    </row>
    <row r="677" spans="2:8" x14ac:dyDescent="0.2">
      <c r="B677" s="152"/>
      <c r="C677" s="153" t="s">
        <v>470</v>
      </c>
      <c r="D677" s="39"/>
      <c r="E677" s="54" t="s">
        <v>14</v>
      </c>
      <c r="F677" s="26"/>
      <c r="G677" s="18"/>
      <c r="H677" s="20" t="b">
        <f>IF(D678="x",H$2,H$1)</f>
        <v>0</v>
      </c>
    </row>
    <row r="678" spans="2:8" x14ac:dyDescent="0.2">
      <c r="B678" s="152"/>
      <c r="C678" s="154" t="s">
        <v>471</v>
      </c>
      <c r="D678" s="39"/>
      <c r="E678" s="54" t="s">
        <v>15</v>
      </c>
      <c r="F678" s="21" t="str">
        <f>IF(H679=1,IF(H677=H$2,H677,""),"")</f>
        <v/>
      </c>
      <c r="G678" s="18"/>
      <c r="H678" s="20" t="str">
        <f>IF(E$736="comprobar",COUNTIF(D677:D681,"x"),"")</f>
        <v/>
      </c>
    </row>
    <row r="679" spans="2:8" x14ac:dyDescent="0.2">
      <c r="B679" s="152"/>
      <c r="C679" s="17" t="s">
        <v>472</v>
      </c>
      <c r="D679" s="39"/>
      <c r="E679" s="54" t="s">
        <v>16</v>
      </c>
      <c r="F679" s="22" t="str">
        <f>IF(H679=-0.33,IF(H677=H$1,H677,""),"")</f>
        <v/>
      </c>
      <c r="G679" s="18"/>
      <c r="H679" s="23">
        <f>IF(H678=1,IF(H677=H$2,1,-0.33),0)</f>
        <v>0</v>
      </c>
    </row>
    <row r="680" spans="2:8" x14ac:dyDescent="0.2">
      <c r="B680" s="152"/>
      <c r="C680" s="154" t="s">
        <v>473</v>
      </c>
      <c r="D680" s="39"/>
      <c r="E680" s="54" t="s">
        <v>17</v>
      </c>
      <c r="F680" s="26"/>
      <c r="G680" s="18"/>
      <c r="H680" s="23"/>
    </row>
    <row r="681" spans="2:8" x14ac:dyDescent="0.2">
      <c r="B681" s="137"/>
      <c r="C681" s="17" t="s">
        <v>509</v>
      </c>
      <c r="D681" s="39"/>
      <c r="E681" s="54" t="s">
        <v>18</v>
      </c>
      <c r="F681" s="19"/>
      <c r="G681" s="18"/>
      <c r="H681" s="23"/>
    </row>
    <row r="682" spans="2:8" x14ac:dyDescent="0.2">
      <c r="B682" s="150"/>
      <c r="C682" s="151" t="s">
        <v>474</v>
      </c>
      <c r="D682" s="40"/>
      <c r="E682" s="53"/>
      <c r="F682" s="81"/>
      <c r="G682" s="14"/>
      <c r="H682" s="14"/>
    </row>
    <row r="683" spans="2:8" x14ac:dyDescent="0.2">
      <c r="B683" s="152"/>
      <c r="C683" s="153" t="s">
        <v>475</v>
      </c>
      <c r="D683" s="39"/>
      <c r="E683" s="54" t="s">
        <v>14</v>
      </c>
      <c r="F683" s="26"/>
      <c r="G683" s="18"/>
      <c r="H683" s="20" t="b">
        <f>IF(D683="x",H$2,H$1)</f>
        <v>0</v>
      </c>
    </row>
    <row r="684" spans="2:8" x14ac:dyDescent="0.2">
      <c r="B684" s="152"/>
      <c r="C684" s="154" t="s">
        <v>476</v>
      </c>
      <c r="D684" s="39"/>
      <c r="E684" s="54" t="s">
        <v>15</v>
      </c>
      <c r="F684" s="21" t="str">
        <f>IF(H685=1,IF(H683=H$2,H683,""),"")</f>
        <v/>
      </c>
      <c r="G684" s="18"/>
      <c r="H684" s="20" t="str">
        <f>IF(E$736="comprobar",COUNTIF(D683:D687,"x"),"")</f>
        <v/>
      </c>
    </row>
    <row r="685" spans="2:8" x14ac:dyDescent="0.2">
      <c r="B685" s="152"/>
      <c r="C685" s="17" t="s">
        <v>477</v>
      </c>
      <c r="D685" s="39"/>
      <c r="E685" s="54" t="s">
        <v>16</v>
      </c>
      <c r="F685" s="22" t="str">
        <f>IF(H685=-0.33,IF(H683=H$1,H683,""),"")</f>
        <v/>
      </c>
      <c r="G685" s="18"/>
      <c r="H685" s="23">
        <f>IF(H684=1,IF(H683=H$2,1,-0.33),0)</f>
        <v>0</v>
      </c>
    </row>
    <row r="686" spans="2:8" x14ac:dyDescent="0.2">
      <c r="B686" s="152"/>
      <c r="C686" s="154" t="s">
        <v>478</v>
      </c>
      <c r="D686" s="39"/>
      <c r="E686" s="54" t="s">
        <v>17</v>
      </c>
      <c r="F686" s="26"/>
      <c r="G686" s="18"/>
      <c r="H686" s="23"/>
    </row>
    <row r="687" spans="2:8" x14ac:dyDescent="0.2">
      <c r="B687" s="137"/>
      <c r="C687" s="17" t="s">
        <v>509</v>
      </c>
      <c r="D687" s="39"/>
      <c r="E687" s="54" t="s">
        <v>18</v>
      </c>
      <c r="F687" s="19"/>
      <c r="G687" s="18"/>
      <c r="H687" s="23"/>
    </row>
    <row r="688" spans="2:8" x14ac:dyDescent="0.2">
      <c r="B688" s="150"/>
      <c r="C688" s="151" t="s">
        <v>479</v>
      </c>
      <c r="D688" s="84"/>
      <c r="E688" s="53"/>
      <c r="F688" s="28"/>
      <c r="G688" s="14"/>
      <c r="H688" s="14"/>
    </row>
    <row r="689" spans="2:8" x14ac:dyDescent="0.2">
      <c r="B689" s="152"/>
      <c r="C689" s="153" t="s">
        <v>480</v>
      </c>
      <c r="D689" s="39"/>
      <c r="E689" s="54" t="s">
        <v>14</v>
      </c>
      <c r="F689" s="26"/>
      <c r="G689" s="18"/>
      <c r="H689" s="20" t="b">
        <f>IF(D691="x",H$2,H$1)</f>
        <v>0</v>
      </c>
    </row>
    <row r="690" spans="2:8" x14ac:dyDescent="0.2">
      <c r="B690" s="152"/>
      <c r="C690" s="154" t="s">
        <v>481</v>
      </c>
      <c r="D690" s="39"/>
      <c r="E690" s="54" t="s">
        <v>15</v>
      </c>
      <c r="F690" s="21" t="str">
        <f>IF(H691=1,IF(H689=H$2,H689,""),"")</f>
        <v/>
      </c>
      <c r="G690" s="18"/>
      <c r="H690" s="20" t="str">
        <f>IF(E$736="comprobar",COUNTIF(D689:D693,"x"),"")</f>
        <v/>
      </c>
    </row>
    <row r="691" spans="2:8" x14ac:dyDescent="0.2">
      <c r="B691" s="152"/>
      <c r="C691" s="17" t="s">
        <v>482</v>
      </c>
      <c r="D691" s="39"/>
      <c r="E691" s="54" t="s">
        <v>16</v>
      </c>
      <c r="F691" s="22" t="str">
        <f>IF(H691=-0.33,IF(H689=H$1,H689,""),"")</f>
        <v/>
      </c>
      <c r="G691" s="18"/>
      <c r="H691" s="23">
        <f>IF(H690=1,IF(H689=H$2,1,-0.33),0)</f>
        <v>0</v>
      </c>
    </row>
    <row r="692" spans="2:8" x14ac:dyDescent="0.2">
      <c r="B692" s="152"/>
      <c r="C692" s="154" t="s">
        <v>483</v>
      </c>
      <c r="D692" s="39"/>
      <c r="E692" s="54" t="s">
        <v>17</v>
      </c>
      <c r="F692" s="26"/>
      <c r="G692" s="18"/>
      <c r="H692" s="23"/>
    </row>
    <row r="693" spans="2:8" x14ac:dyDescent="0.2">
      <c r="B693" s="137"/>
      <c r="C693" s="17" t="s">
        <v>509</v>
      </c>
      <c r="D693" s="39"/>
      <c r="E693" s="54" t="s">
        <v>18</v>
      </c>
      <c r="F693" s="19"/>
      <c r="G693" s="18"/>
      <c r="H693" s="23"/>
    </row>
    <row r="694" spans="2:8" x14ac:dyDescent="0.2">
      <c r="B694" s="150"/>
      <c r="C694" s="151" t="s">
        <v>484</v>
      </c>
      <c r="D694" s="84"/>
      <c r="E694" s="53"/>
      <c r="F694" s="28"/>
      <c r="G694" s="14"/>
      <c r="H694" s="14"/>
    </row>
    <row r="695" spans="2:8" x14ac:dyDescent="0.2">
      <c r="B695" s="152"/>
      <c r="C695" s="153" t="s">
        <v>510</v>
      </c>
      <c r="D695" s="39"/>
      <c r="E695" s="54" t="s">
        <v>14</v>
      </c>
      <c r="F695" s="26"/>
      <c r="G695" s="18"/>
      <c r="H695" s="20" t="b">
        <f>IF(D695="x",H$2,H$1)</f>
        <v>0</v>
      </c>
    </row>
    <row r="696" spans="2:8" x14ac:dyDescent="0.2">
      <c r="B696" s="152"/>
      <c r="C696" s="154" t="s">
        <v>485</v>
      </c>
      <c r="D696" s="39"/>
      <c r="E696" s="54" t="s">
        <v>15</v>
      </c>
      <c r="F696" s="21" t="str">
        <f>IF(H697=1,IF(H695=H$2,H695,""),"")</f>
        <v/>
      </c>
      <c r="G696" s="18"/>
      <c r="H696" s="20" t="str">
        <f>IF(E$736="comprobar",COUNTIF(D695:D699,"x"),"")</f>
        <v/>
      </c>
    </row>
    <row r="697" spans="2:8" x14ac:dyDescent="0.2">
      <c r="B697" s="152"/>
      <c r="C697" s="17" t="s">
        <v>486</v>
      </c>
      <c r="D697" s="39"/>
      <c r="E697" s="54" t="s">
        <v>16</v>
      </c>
      <c r="F697" s="22" t="str">
        <f>IF(H697=-0.33,IF(H695=H$1,H695,""),"")</f>
        <v/>
      </c>
      <c r="G697" s="18"/>
      <c r="H697" s="23">
        <f>IF(H696=1,IF(H695=H$2,1,-0.33),0)</f>
        <v>0</v>
      </c>
    </row>
    <row r="698" spans="2:8" x14ac:dyDescent="0.2">
      <c r="B698" s="152"/>
      <c r="C698" s="154" t="s">
        <v>487</v>
      </c>
      <c r="D698" s="39"/>
      <c r="E698" s="54" t="s">
        <v>17</v>
      </c>
      <c r="F698" s="26"/>
      <c r="G698" s="18"/>
      <c r="H698" s="23"/>
    </row>
    <row r="699" spans="2:8" x14ac:dyDescent="0.2">
      <c r="B699" s="137"/>
      <c r="C699" s="17" t="s">
        <v>509</v>
      </c>
      <c r="D699" s="39"/>
      <c r="E699" s="54" t="s">
        <v>18</v>
      </c>
      <c r="F699" s="19"/>
      <c r="G699" s="18"/>
      <c r="H699" s="23"/>
    </row>
    <row r="700" spans="2:8" x14ac:dyDescent="0.2">
      <c r="B700" s="150"/>
      <c r="C700" s="151" t="s">
        <v>511</v>
      </c>
      <c r="D700" s="120"/>
      <c r="E700" s="53"/>
      <c r="F700" s="28"/>
      <c r="G700" s="14"/>
      <c r="H700" s="14"/>
    </row>
    <row r="701" spans="2:8" x14ac:dyDescent="0.2">
      <c r="B701" s="152"/>
      <c r="C701" s="153" t="s">
        <v>512</v>
      </c>
      <c r="D701" s="39"/>
      <c r="E701" s="54" t="s">
        <v>14</v>
      </c>
      <c r="F701" s="26"/>
      <c r="G701" s="18"/>
      <c r="H701" s="20" t="b">
        <f>IF(D701="x",H$2,H$1)</f>
        <v>0</v>
      </c>
    </row>
    <row r="702" spans="2:8" x14ac:dyDescent="0.2">
      <c r="B702" s="152"/>
      <c r="C702" s="154" t="s">
        <v>488</v>
      </c>
      <c r="D702" s="39"/>
      <c r="E702" s="54" t="s">
        <v>15</v>
      </c>
      <c r="F702" s="21" t="str">
        <f>IF(H703=1,IF(H701=H$2,H701,""),"")</f>
        <v/>
      </c>
      <c r="G702" s="18"/>
      <c r="H702" s="20" t="str">
        <f>IF(E$736="comprobar",COUNTIF(D701:D705,"x"),"")</f>
        <v/>
      </c>
    </row>
    <row r="703" spans="2:8" x14ac:dyDescent="0.2">
      <c r="B703" s="152"/>
      <c r="C703" s="17" t="s">
        <v>489</v>
      </c>
      <c r="D703" s="39"/>
      <c r="E703" s="54" t="s">
        <v>16</v>
      </c>
      <c r="F703" s="22" t="str">
        <f>IF(H703=-0.33,IF(H701=H$1,H701,""),"")</f>
        <v/>
      </c>
      <c r="G703" s="18"/>
      <c r="H703" s="23">
        <f>IF(H702=1,IF(H701=H$2,1,-0.33),0)</f>
        <v>0</v>
      </c>
    </row>
    <row r="704" spans="2:8" x14ac:dyDescent="0.2">
      <c r="B704" s="152"/>
      <c r="C704" s="154"/>
      <c r="D704" s="39"/>
      <c r="E704" s="54" t="s">
        <v>17</v>
      </c>
      <c r="F704" s="26"/>
      <c r="G704" s="18"/>
      <c r="H704" s="23"/>
    </row>
    <row r="705" spans="2:8" x14ac:dyDescent="0.2">
      <c r="B705" s="137"/>
      <c r="C705" s="17" t="s">
        <v>509</v>
      </c>
      <c r="D705" s="39"/>
      <c r="E705" s="54" t="s">
        <v>18</v>
      </c>
      <c r="F705" s="19"/>
      <c r="G705" s="18"/>
      <c r="H705" s="23"/>
    </row>
    <row r="706" spans="2:8" x14ac:dyDescent="0.2">
      <c r="B706" s="150"/>
      <c r="C706" s="151" t="s">
        <v>508</v>
      </c>
      <c r="D706" s="40"/>
      <c r="E706" s="53"/>
      <c r="F706" s="28"/>
      <c r="G706" s="14"/>
      <c r="H706" s="14"/>
    </row>
    <row r="707" spans="2:8" x14ac:dyDescent="0.2">
      <c r="B707" s="152"/>
      <c r="C707" s="153" t="s">
        <v>490</v>
      </c>
      <c r="D707" s="39"/>
      <c r="E707" s="54" t="s">
        <v>14</v>
      </c>
      <c r="F707" s="26"/>
      <c r="G707" s="18"/>
      <c r="H707" s="20" t="b">
        <f>IF(D709="x",H$2,H$1)</f>
        <v>0</v>
      </c>
    </row>
    <row r="708" spans="2:8" x14ac:dyDescent="0.2">
      <c r="B708" s="152"/>
      <c r="C708" s="154" t="s">
        <v>491</v>
      </c>
      <c r="D708" s="39"/>
      <c r="E708" s="54" t="s">
        <v>15</v>
      </c>
      <c r="F708" s="21" t="str">
        <f>IF(H709=1,IF(H707=H$2,H707,""),"")</f>
        <v/>
      </c>
      <c r="G708" s="18"/>
      <c r="H708" s="20" t="str">
        <f>IF(E$736="comprobar",COUNTIF(D707:D711,"x"),"")</f>
        <v/>
      </c>
    </row>
    <row r="709" spans="2:8" x14ac:dyDescent="0.2">
      <c r="B709" s="152"/>
      <c r="C709" s="17" t="s">
        <v>492</v>
      </c>
      <c r="D709" s="39"/>
      <c r="E709" s="54" t="s">
        <v>16</v>
      </c>
      <c r="F709" s="22" t="str">
        <f>IF(H709=-0.33,IF(H707=H$1,H707,""),"")</f>
        <v/>
      </c>
      <c r="G709" s="18"/>
      <c r="H709" s="23">
        <f>IF(H708=1,IF(H707=H$2,1,-0.33),0)</f>
        <v>0</v>
      </c>
    </row>
    <row r="710" spans="2:8" x14ac:dyDescent="0.2">
      <c r="B710" s="152"/>
      <c r="C710" s="154" t="s">
        <v>438</v>
      </c>
      <c r="D710" s="39"/>
      <c r="E710" s="54" t="s">
        <v>17</v>
      </c>
      <c r="F710" s="26"/>
      <c r="G710" s="18"/>
      <c r="H710" s="23"/>
    </row>
    <row r="711" spans="2:8" x14ac:dyDescent="0.2">
      <c r="B711" s="137"/>
      <c r="C711" s="17" t="s">
        <v>509</v>
      </c>
      <c r="D711" s="39"/>
      <c r="E711" s="54" t="s">
        <v>18</v>
      </c>
      <c r="F711" s="19"/>
      <c r="G711" s="18"/>
      <c r="H711" s="23"/>
    </row>
    <row r="712" spans="2:8" x14ac:dyDescent="0.2">
      <c r="B712" s="150"/>
      <c r="C712" s="151" t="s">
        <v>493</v>
      </c>
      <c r="D712" s="40"/>
      <c r="E712" s="53"/>
      <c r="F712" s="81"/>
      <c r="G712" s="14"/>
      <c r="H712" s="14"/>
    </row>
    <row r="713" spans="2:8" x14ac:dyDescent="0.2">
      <c r="B713" s="152"/>
      <c r="C713" s="153" t="s">
        <v>494</v>
      </c>
      <c r="D713" s="39"/>
      <c r="E713" s="54" t="s">
        <v>14</v>
      </c>
      <c r="F713" s="26"/>
      <c r="G713" s="18"/>
      <c r="H713" s="20" t="b">
        <f>IF(D716="x",H$2,H$1)</f>
        <v>0</v>
      </c>
    </row>
    <row r="714" spans="2:8" x14ac:dyDescent="0.2">
      <c r="B714" s="152"/>
      <c r="C714" s="154" t="s">
        <v>495</v>
      </c>
      <c r="D714" s="39"/>
      <c r="E714" s="54" t="s">
        <v>15</v>
      </c>
      <c r="F714" s="21" t="str">
        <f>IF(H715=1,IF(H713=H$2,H713,""),"")</f>
        <v/>
      </c>
      <c r="G714" s="18"/>
      <c r="H714" s="20" t="str">
        <f>IF(E$736="comprobar",COUNTIF(D713:D717,"x"),"")</f>
        <v/>
      </c>
    </row>
    <row r="715" spans="2:8" x14ac:dyDescent="0.2">
      <c r="B715" s="152"/>
      <c r="C715" s="17" t="s">
        <v>496</v>
      </c>
      <c r="D715" s="39"/>
      <c r="E715" s="54" t="s">
        <v>16</v>
      </c>
      <c r="F715" s="22" t="str">
        <f>IF(H715=-0.33,IF(H713=H$1,H713,""),"")</f>
        <v/>
      </c>
      <c r="G715" s="18"/>
      <c r="H715" s="23">
        <f>IF(H714=1,IF(H713=H$2,1,-0.33),0)</f>
        <v>0</v>
      </c>
    </row>
    <row r="716" spans="2:8" x14ac:dyDescent="0.2">
      <c r="B716" s="152"/>
      <c r="C716" s="154" t="s">
        <v>438</v>
      </c>
      <c r="D716" s="39"/>
      <c r="E716" s="54" t="s">
        <v>17</v>
      </c>
      <c r="F716" s="26"/>
      <c r="G716" s="18"/>
      <c r="H716" s="23"/>
    </row>
    <row r="717" spans="2:8" x14ac:dyDescent="0.2">
      <c r="B717" s="137"/>
      <c r="C717" s="17" t="s">
        <v>509</v>
      </c>
      <c r="D717" s="39"/>
      <c r="E717" s="54" t="s">
        <v>18</v>
      </c>
      <c r="F717" s="19"/>
      <c r="G717" s="18"/>
      <c r="H717" s="23"/>
    </row>
    <row r="718" spans="2:8" x14ac:dyDescent="0.2">
      <c r="B718" s="150"/>
      <c r="C718" s="151" t="s">
        <v>493</v>
      </c>
      <c r="D718" s="84"/>
      <c r="E718" s="53"/>
      <c r="F718" s="28"/>
      <c r="G718" s="14"/>
      <c r="H718" s="14"/>
    </row>
    <row r="719" spans="2:8" x14ac:dyDescent="0.2">
      <c r="B719" s="152"/>
      <c r="C719" s="153" t="s">
        <v>497</v>
      </c>
      <c r="D719" s="39"/>
      <c r="E719" s="54" t="s">
        <v>14</v>
      </c>
      <c r="F719" s="26"/>
      <c r="G719" s="18"/>
      <c r="H719" s="20" t="b">
        <f>IF(D721="x",H$2,H$1)</f>
        <v>0</v>
      </c>
    </row>
    <row r="720" spans="2:8" x14ac:dyDescent="0.2">
      <c r="B720" s="152"/>
      <c r="C720" s="154" t="s">
        <v>498</v>
      </c>
      <c r="D720" s="39"/>
      <c r="E720" s="54" t="s">
        <v>15</v>
      </c>
      <c r="F720" s="21" t="str">
        <f>IF(H721=1,IF(H719=H$2,H719,""),"")</f>
        <v/>
      </c>
      <c r="G720" s="18"/>
      <c r="H720" s="20" t="str">
        <f>IF(E$736="comprobar",COUNTIF(D719:D723,"x"),"")</f>
        <v/>
      </c>
    </row>
    <row r="721" spans="2:8" x14ac:dyDescent="0.2">
      <c r="B721" s="152"/>
      <c r="C721" s="17" t="s">
        <v>499</v>
      </c>
      <c r="D721" s="39"/>
      <c r="E721" s="54" t="s">
        <v>16</v>
      </c>
      <c r="F721" s="22" t="str">
        <f>IF(H721=-0.33,IF(H719=H$1,H719,""),"")</f>
        <v/>
      </c>
      <c r="G721" s="18"/>
      <c r="H721" s="23">
        <f>IF(H720=1,IF(H719=H$2,1,-0.33),0)</f>
        <v>0</v>
      </c>
    </row>
    <row r="722" spans="2:8" x14ac:dyDescent="0.2">
      <c r="B722" s="152"/>
      <c r="C722" s="154" t="s">
        <v>438</v>
      </c>
      <c r="D722" s="39"/>
      <c r="E722" s="54" t="s">
        <v>17</v>
      </c>
      <c r="F722" s="26"/>
      <c r="G722" s="18"/>
      <c r="H722" s="23"/>
    </row>
    <row r="723" spans="2:8" x14ac:dyDescent="0.2">
      <c r="B723" s="137"/>
      <c r="C723" s="17" t="s">
        <v>509</v>
      </c>
      <c r="D723" s="39"/>
      <c r="E723" s="54" t="s">
        <v>18</v>
      </c>
      <c r="F723" s="19"/>
      <c r="G723" s="18"/>
      <c r="H723" s="23"/>
    </row>
    <row r="724" spans="2:8" x14ac:dyDescent="0.2">
      <c r="B724" s="150"/>
      <c r="C724" s="151" t="s">
        <v>500</v>
      </c>
      <c r="D724" s="84"/>
      <c r="E724" s="53"/>
      <c r="F724" s="28"/>
      <c r="G724" s="14"/>
      <c r="H724" s="14"/>
    </row>
    <row r="725" spans="2:8" x14ac:dyDescent="0.2">
      <c r="B725" s="152"/>
      <c r="C725" s="153" t="s">
        <v>501</v>
      </c>
      <c r="D725" s="39"/>
      <c r="E725" s="54" t="s">
        <v>14</v>
      </c>
      <c r="F725" s="26"/>
      <c r="G725" s="18"/>
      <c r="H725" s="20" t="b">
        <f>IF(D727="x",H$2,H$1)</f>
        <v>0</v>
      </c>
    </row>
    <row r="726" spans="2:8" x14ac:dyDescent="0.2">
      <c r="B726" s="152"/>
      <c r="C726" s="154" t="s">
        <v>502</v>
      </c>
      <c r="D726" s="39"/>
      <c r="E726" s="54" t="s">
        <v>15</v>
      </c>
      <c r="F726" s="21" t="str">
        <f>IF(H727=1,IF(H725=H$2,H725,""),"")</f>
        <v/>
      </c>
      <c r="G726" s="18"/>
      <c r="H726" s="20" t="str">
        <f>IF(E$736="comprobar",COUNTIF(D725:D729,"x"),"")</f>
        <v/>
      </c>
    </row>
    <row r="727" spans="2:8" ht="32" x14ac:dyDescent="0.2">
      <c r="B727" s="152"/>
      <c r="C727" s="155" t="s">
        <v>503</v>
      </c>
      <c r="D727" s="39"/>
      <c r="E727" s="54" t="s">
        <v>16</v>
      </c>
      <c r="F727" s="22" t="str">
        <f>IF(H727=-0.33,IF(H725=H$1,H725,""),"")</f>
        <v/>
      </c>
      <c r="G727" s="18"/>
      <c r="H727" s="23">
        <f>IF(H726=1,IF(H725=H$2,1,-0.33),0)</f>
        <v>0</v>
      </c>
    </row>
    <row r="728" spans="2:8" x14ac:dyDescent="0.2">
      <c r="B728" s="152"/>
      <c r="C728" s="154" t="s">
        <v>438</v>
      </c>
      <c r="D728" s="39"/>
      <c r="E728" s="54" t="s">
        <v>17</v>
      </c>
      <c r="F728" s="26"/>
      <c r="G728" s="18"/>
      <c r="H728" s="23"/>
    </row>
    <row r="729" spans="2:8" x14ac:dyDescent="0.2">
      <c r="B729" s="137"/>
      <c r="C729" s="17" t="s">
        <v>509</v>
      </c>
      <c r="D729" s="39"/>
      <c r="E729" s="54" t="s">
        <v>18</v>
      </c>
      <c r="F729" s="19"/>
      <c r="G729" s="18"/>
      <c r="H729" s="23"/>
    </row>
    <row r="730" spans="2:8" x14ac:dyDescent="0.2">
      <c r="B730" s="150"/>
      <c r="C730" s="151" t="s">
        <v>504</v>
      </c>
      <c r="D730" s="120"/>
      <c r="E730" s="53"/>
      <c r="F730" s="28"/>
      <c r="G730" s="14"/>
      <c r="H730" s="14"/>
    </row>
    <row r="731" spans="2:8" x14ac:dyDescent="0.2">
      <c r="B731" s="152"/>
      <c r="C731" s="153" t="s">
        <v>505</v>
      </c>
      <c r="D731" s="39"/>
      <c r="E731" s="54" t="s">
        <v>14</v>
      </c>
      <c r="F731" s="26"/>
      <c r="G731" s="18"/>
      <c r="H731" s="20" t="b">
        <f>IF(D733="x",H$2,H$1)</f>
        <v>0</v>
      </c>
    </row>
    <row r="732" spans="2:8" x14ac:dyDescent="0.2">
      <c r="B732" s="152"/>
      <c r="C732" s="154" t="s">
        <v>506</v>
      </c>
      <c r="D732" s="39"/>
      <c r="E732" s="54" t="s">
        <v>15</v>
      </c>
      <c r="F732" s="21" t="str">
        <f>IF(H733=1,IF(H731=H$2,H731,""),"")</f>
        <v/>
      </c>
      <c r="G732" s="18"/>
      <c r="H732" s="20" t="str">
        <f>IF(E$736="comprobar",COUNTIF(D731:D735,"x"),"")</f>
        <v/>
      </c>
    </row>
    <row r="733" spans="2:8" x14ac:dyDescent="0.2">
      <c r="B733" s="152"/>
      <c r="C733" s="17" t="s">
        <v>507</v>
      </c>
      <c r="D733" s="39"/>
      <c r="E733" s="54" t="s">
        <v>16</v>
      </c>
      <c r="F733" s="22" t="str">
        <f>IF(H733=-0.33,IF(H731=H$1,H731,""),"")</f>
        <v/>
      </c>
      <c r="G733" s="18"/>
      <c r="H733" s="23">
        <f>IF(H732=1,IF(H731=H$2,1,-0.33),0)</f>
        <v>0</v>
      </c>
    </row>
    <row r="734" spans="2:8" x14ac:dyDescent="0.2">
      <c r="B734" s="152"/>
      <c r="C734" s="154" t="s">
        <v>438</v>
      </c>
      <c r="D734" s="39"/>
      <c r="E734" s="54" t="s">
        <v>17</v>
      </c>
      <c r="F734" s="26"/>
      <c r="G734" s="18"/>
      <c r="H734" s="23"/>
    </row>
    <row r="735" spans="2:8" x14ac:dyDescent="0.2">
      <c r="B735" s="152"/>
      <c r="C735" s="154"/>
      <c r="D735" s="39"/>
      <c r="E735" s="54" t="s">
        <v>18</v>
      </c>
      <c r="F735" s="19"/>
      <c r="G735" s="18"/>
      <c r="H735" s="23"/>
    </row>
    <row r="736" spans="2:8" x14ac:dyDescent="0.2">
      <c r="B736" s="43"/>
      <c r="C736" s="8"/>
      <c r="D736" s="49"/>
      <c r="E736" s="60"/>
      <c r="F736" s="19"/>
      <c r="G736" s="18"/>
      <c r="H736" s="23"/>
    </row>
    <row r="737" spans="2:8" x14ac:dyDescent="0.2">
      <c r="B737" s="43"/>
      <c r="C737" s="8"/>
      <c r="D737" s="49"/>
      <c r="E737" s="60"/>
      <c r="F737" s="29" t="s">
        <v>8</v>
      </c>
      <c r="G737" s="18" t="s">
        <v>6</v>
      </c>
      <c r="H737" s="18" t="s">
        <v>7</v>
      </c>
    </row>
    <row r="738" spans="2:8" ht="20" x14ac:dyDescent="0.2">
      <c r="B738" s="43"/>
      <c r="C738" s="8"/>
      <c r="D738" s="183"/>
      <c r="E738" s="183"/>
      <c r="F738" s="30" t="str">
        <f>IF(E736="comprobar",H732+H726+H720+H714+H708+H702+H696+H690+H684+H678,"")</f>
        <v/>
      </c>
      <c r="G738" s="18">
        <f>10/2</f>
        <v>5</v>
      </c>
      <c r="H738" s="18"/>
    </row>
    <row r="739" spans="2:8" ht="17" thickBot="1" x14ac:dyDescent="0.25">
      <c r="B739" s="67"/>
      <c r="C739" s="68"/>
      <c r="D739" s="32"/>
      <c r="E739" s="9"/>
      <c r="F739" s="33"/>
      <c r="G739" s="18"/>
      <c r="H739" s="18"/>
    </row>
  </sheetData>
  <sheetProtection password="CC41" sheet="1" objects="1" scenarios="1" selectLockedCells="1"/>
  <mergeCells count="9">
    <mergeCell ref="D69:E69"/>
    <mergeCell ref="C6:F6"/>
    <mergeCell ref="C71:F71"/>
    <mergeCell ref="D738:E738"/>
    <mergeCell ref="D608:E608"/>
    <mergeCell ref="D673:E673"/>
    <mergeCell ref="D543:E543"/>
    <mergeCell ref="B381:C381"/>
    <mergeCell ref="D489:E489"/>
  </mergeCells>
  <phoneticPr fontId="8" type="noConversion"/>
  <printOptions horizontalCentered="1" verticalCentered="1"/>
  <pageMargins left="0" right="0" top="0" bottom="0" header="0" footer="0"/>
  <pageSetup paperSize="9" scale="72" fitToHeight="2" orientation="portrait" horizontalDpi="4294967293" verticalDpi="1200" r:id="rId1"/>
  <headerFooter>
    <oddHeader>&amp;C&amp;"Calibri,Normal"&amp;K000000=A1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autoFill="0" autoPict="0" macro="[0]!tema1" altText="Borrar">
                <anchor moveWithCells="1" sizeWithCells="1">
                  <from>
                    <xdr:col>2</xdr:col>
                    <xdr:colOff>9309100</xdr:colOff>
                    <xdr:row>67</xdr:row>
                    <xdr:rowOff>152400</xdr:rowOff>
                  </from>
                  <to>
                    <xdr:col>2</xdr:col>
                    <xdr:colOff>9918700</xdr:colOff>
                    <xdr:row>68</xdr:row>
                    <xdr:rowOff>228600</xdr:rowOff>
                  </to>
                </anchor>
              </controlPr>
            </control>
          </mc:Choice>
          <mc:Fallback/>
        </mc:AlternateContent>
        <mc:AlternateContent xmlns:mc="http://schemas.openxmlformats.org/markup-compatibility/2006">
          <mc:Choice Requires="x14">
            <control shapeId="1031" r:id="rId5" name="Button 7">
              <controlPr defaultSize="0" autoFill="0" autoPict="0" macro="[0]!tema2" altText="Borrar">
                <anchor moveWithCells="1" sizeWithCells="1">
                  <from>
                    <xdr:col>2</xdr:col>
                    <xdr:colOff>9271000</xdr:colOff>
                    <xdr:row>133</xdr:row>
                    <xdr:rowOff>25400</xdr:rowOff>
                  </from>
                  <to>
                    <xdr:col>2</xdr:col>
                    <xdr:colOff>9855200</xdr:colOff>
                    <xdr:row>134</xdr:row>
                    <xdr:rowOff>101600</xdr:rowOff>
                  </to>
                </anchor>
              </controlPr>
            </control>
          </mc:Choice>
          <mc:Fallback/>
        </mc:AlternateContent>
        <mc:AlternateContent xmlns:mc="http://schemas.openxmlformats.org/markup-compatibility/2006">
          <mc:Choice Requires="x14">
            <control shapeId="1032" r:id="rId6" name="Button 8">
              <controlPr defaultSize="0" autoFill="0" autoPict="0" macro="[0]!tema3" altText="Borrar">
                <anchor moveWithCells="1" sizeWithCells="1">
                  <from>
                    <xdr:col>2</xdr:col>
                    <xdr:colOff>9194800</xdr:colOff>
                    <xdr:row>198</xdr:row>
                    <xdr:rowOff>12700</xdr:rowOff>
                  </from>
                  <to>
                    <xdr:col>2</xdr:col>
                    <xdr:colOff>9766300</xdr:colOff>
                    <xdr:row>199</xdr:row>
                    <xdr:rowOff>38100</xdr:rowOff>
                  </to>
                </anchor>
              </controlPr>
            </control>
          </mc:Choice>
          <mc:Fallback/>
        </mc:AlternateContent>
        <mc:AlternateContent xmlns:mc="http://schemas.openxmlformats.org/markup-compatibility/2006">
          <mc:Choice Requires="x14">
            <control shapeId="1034" r:id="rId7" name="Button 10">
              <controlPr defaultSize="0" autoFill="0" autoPict="0" macro="[0]!tema4" altText="Borrar">
                <anchor moveWithCells="1" sizeWithCells="1">
                  <from>
                    <xdr:col>2</xdr:col>
                    <xdr:colOff>9232900</xdr:colOff>
                    <xdr:row>262</xdr:row>
                    <xdr:rowOff>190500</xdr:rowOff>
                  </from>
                  <to>
                    <xdr:col>2</xdr:col>
                    <xdr:colOff>9804400</xdr:colOff>
                    <xdr:row>264</xdr:row>
                    <xdr:rowOff>76200</xdr:rowOff>
                  </to>
                </anchor>
              </controlPr>
            </control>
          </mc:Choice>
          <mc:Fallback/>
        </mc:AlternateContent>
        <mc:AlternateContent xmlns:mc="http://schemas.openxmlformats.org/markup-compatibility/2006">
          <mc:Choice Requires="x14">
            <control shapeId="1035" r:id="rId8" name="Button 11">
              <controlPr defaultSize="0" autoFill="0" autoPict="0" macro="[0]!tema5" altText="Borrar">
                <anchor moveWithCells="1" sizeWithCells="1">
                  <from>
                    <xdr:col>2</xdr:col>
                    <xdr:colOff>9410700</xdr:colOff>
                    <xdr:row>329</xdr:row>
                    <xdr:rowOff>50800</xdr:rowOff>
                  </from>
                  <to>
                    <xdr:col>2</xdr:col>
                    <xdr:colOff>9994900</xdr:colOff>
                    <xdr:row>330</xdr:row>
                    <xdr:rowOff>228600</xdr:rowOff>
                  </to>
                </anchor>
              </controlPr>
            </control>
          </mc:Choice>
          <mc:Fallback/>
        </mc:AlternateContent>
        <mc:AlternateContent xmlns:mc="http://schemas.openxmlformats.org/markup-compatibility/2006">
          <mc:Choice Requires="x14">
            <control shapeId="1036" r:id="rId9" name="Button 12">
              <controlPr defaultSize="0" autoFill="0" autoPict="0" macro="[0]!tema6" altText="Borrar">
                <anchor moveWithCells="1" sizeWithCells="1">
                  <from>
                    <xdr:col>2</xdr:col>
                    <xdr:colOff>9232900</xdr:colOff>
                    <xdr:row>397</xdr:row>
                    <xdr:rowOff>0</xdr:rowOff>
                  </from>
                  <to>
                    <xdr:col>2</xdr:col>
                    <xdr:colOff>9817100</xdr:colOff>
                    <xdr:row>398</xdr:row>
                    <xdr:rowOff>0</xdr:rowOff>
                  </to>
                </anchor>
              </controlPr>
            </control>
          </mc:Choice>
          <mc:Fallback/>
        </mc:AlternateContent>
        <mc:AlternateContent xmlns:mc="http://schemas.openxmlformats.org/markup-compatibility/2006">
          <mc:Choice Requires="x14">
            <control shapeId="1037" r:id="rId10" name="Button 13">
              <controlPr defaultSize="0" autoFill="0" autoPict="0" macro="[0]!tema7" altText="Borrar">
                <anchor moveWithCells="1" sizeWithCells="1">
                  <from>
                    <xdr:col>2</xdr:col>
                    <xdr:colOff>9169400</xdr:colOff>
                    <xdr:row>433</xdr:row>
                    <xdr:rowOff>190500</xdr:rowOff>
                  </from>
                  <to>
                    <xdr:col>2</xdr:col>
                    <xdr:colOff>9791700</xdr:colOff>
                    <xdr:row>434</xdr:row>
                    <xdr:rowOff>241300</xdr:rowOff>
                  </to>
                </anchor>
              </controlPr>
            </control>
          </mc:Choice>
          <mc:Fallback/>
        </mc:AlternateContent>
        <mc:AlternateContent xmlns:mc="http://schemas.openxmlformats.org/markup-compatibility/2006">
          <mc:Choice Requires="x14">
            <control shapeId="1038" r:id="rId11" name="Button 14">
              <controlPr defaultSize="0" autoFill="0" autoPict="0" macro="[0]!compro7">
                <anchor moveWithCells="1" sizeWithCells="1">
                  <from>
                    <xdr:col>2</xdr:col>
                    <xdr:colOff>7785100</xdr:colOff>
                    <xdr:row>433</xdr:row>
                    <xdr:rowOff>203200</xdr:rowOff>
                  </from>
                  <to>
                    <xdr:col>2</xdr:col>
                    <xdr:colOff>9093200</xdr:colOff>
                    <xdr:row>434</xdr:row>
                    <xdr:rowOff>241300</xdr:rowOff>
                  </to>
                </anchor>
              </controlPr>
            </control>
          </mc:Choice>
          <mc:Fallback/>
        </mc:AlternateContent>
        <mc:AlternateContent xmlns:mc="http://schemas.openxmlformats.org/markup-compatibility/2006">
          <mc:Choice Requires="x14">
            <control shapeId="1039" r:id="rId12" name="Button 15">
              <controlPr defaultSize="0" autoFill="0" autoPict="0" macro="[0]!Compro6">
                <anchor moveWithCells="1" sizeWithCells="1">
                  <from>
                    <xdr:col>2</xdr:col>
                    <xdr:colOff>7785100</xdr:colOff>
                    <xdr:row>397</xdr:row>
                    <xdr:rowOff>12700</xdr:rowOff>
                  </from>
                  <to>
                    <xdr:col>2</xdr:col>
                    <xdr:colOff>9093200</xdr:colOff>
                    <xdr:row>398</xdr:row>
                    <xdr:rowOff>0</xdr:rowOff>
                  </to>
                </anchor>
              </controlPr>
            </control>
          </mc:Choice>
          <mc:Fallback/>
        </mc:AlternateContent>
        <mc:AlternateContent xmlns:mc="http://schemas.openxmlformats.org/markup-compatibility/2006">
          <mc:Choice Requires="x14">
            <control shapeId="1040" r:id="rId13" name="Button 16">
              <controlPr defaultSize="0" autoFill="0" autoPict="0" macro="[0]!Compro5">
                <anchor moveWithCells="1" sizeWithCells="1">
                  <from>
                    <xdr:col>2</xdr:col>
                    <xdr:colOff>7988300</xdr:colOff>
                    <xdr:row>329</xdr:row>
                    <xdr:rowOff>63500</xdr:rowOff>
                  </from>
                  <to>
                    <xdr:col>2</xdr:col>
                    <xdr:colOff>9296400</xdr:colOff>
                    <xdr:row>330</xdr:row>
                    <xdr:rowOff>215900</xdr:rowOff>
                  </to>
                </anchor>
              </controlPr>
            </control>
          </mc:Choice>
          <mc:Fallback/>
        </mc:AlternateContent>
        <mc:AlternateContent xmlns:mc="http://schemas.openxmlformats.org/markup-compatibility/2006">
          <mc:Choice Requires="x14">
            <control shapeId="1041" r:id="rId14" name="Button 17">
              <controlPr defaultSize="0" autoFill="0" autoPict="0" macro="[0]!Compro4">
                <anchor moveWithCells="1" sizeWithCells="1">
                  <from>
                    <xdr:col>2</xdr:col>
                    <xdr:colOff>7785100</xdr:colOff>
                    <xdr:row>262</xdr:row>
                    <xdr:rowOff>190500</xdr:rowOff>
                  </from>
                  <to>
                    <xdr:col>2</xdr:col>
                    <xdr:colOff>9093200</xdr:colOff>
                    <xdr:row>264</xdr:row>
                    <xdr:rowOff>38100</xdr:rowOff>
                  </to>
                </anchor>
              </controlPr>
            </control>
          </mc:Choice>
          <mc:Fallback/>
        </mc:AlternateContent>
        <mc:AlternateContent xmlns:mc="http://schemas.openxmlformats.org/markup-compatibility/2006">
          <mc:Choice Requires="x14">
            <control shapeId="1042" r:id="rId15" name="Button 18">
              <controlPr defaultSize="0" autoFill="0" autoPict="0" macro="[0]!Compro3">
                <anchor moveWithCells="1" sizeWithCells="1">
                  <from>
                    <xdr:col>2</xdr:col>
                    <xdr:colOff>7785100</xdr:colOff>
                    <xdr:row>198</xdr:row>
                    <xdr:rowOff>25400</xdr:rowOff>
                  </from>
                  <to>
                    <xdr:col>2</xdr:col>
                    <xdr:colOff>9093200</xdr:colOff>
                    <xdr:row>198</xdr:row>
                    <xdr:rowOff>254000</xdr:rowOff>
                  </to>
                </anchor>
              </controlPr>
            </control>
          </mc:Choice>
          <mc:Fallback/>
        </mc:AlternateContent>
        <mc:AlternateContent xmlns:mc="http://schemas.openxmlformats.org/markup-compatibility/2006">
          <mc:Choice Requires="x14">
            <control shapeId="1043" r:id="rId16" name="Button 19">
              <controlPr defaultSize="0" autoFill="0" autoPict="0" macro="[0]!Compro2">
                <anchor moveWithCells="1" sizeWithCells="1">
                  <from>
                    <xdr:col>2</xdr:col>
                    <xdr:colOff>7785100</xdr:colOff>
                    <xdr:row>133</xdr:row>
                    <xdr:rowOff>38100</xdr:rowOff>
                  </from>
                  <to>
                    <xdr:col>2</xdr:col>
                    <xdr:colOff>9093200</xdr:colOff>
                    <xdr:row>134</xdr:row>
                    <xdr:rowOff>63500</xdr:rowOff>
                  </to>
                </anchor>
              </controlPr>
            </control>
          </mc:Choice>
          <mc:Fallback/>
        </mc:AlternateContent>
        <mc:AlternateContent xmlns:mc="http://schemas.openxmlformats.org/markup-compatibility/2006">
          <mc:Choice Requires="x14">
            <control shapeId="1044" r:id="rId17" name="Button 20">
              <controlPr defaultSize="0" autoFill="0" autoPict="0" macro="[0]!Compro1">
                <anchor moveWithCells="1" sizeWithCells="1">
                  <from>
                    <xdr:col>2</xdr:col>
                    <xdr:colOff>7785100</xdr:colOff>
                    <xdr:row>67</xdr:row>
                    <xdr:rowOff>177800</xdr:rowOff>
                  </from>
                  <to>
                    <xdr:col>2</xdr:col>
                    <xdr:colOff>9093200</xdr:colOff>
                    <xdr:row>68</xdr:row>
                    <xdr:rowOff>190500</xdr:rowOff>
                  </to>
                </anchor>
              </controlPr>
            </control>
          </mc:Choice>
          <mc:Fallback/>
        </mc:AlternateContent>
        <mc:AlternateContent xmlns:mc="http://schemas.openxmlformats.org/markup-compatibility/2006">
          <mc:Choice Requires="x14">
            <control shapeId="1155" r:id="rId18" name="Button 131">
              <controlPr defaultSize="0" autoFill="0" autoPict="0" macro="[0]!Tema8" altText="Borrar">
                <anchor moveWithCells="1" sizeWithCells="1">
                  <from>
                    <xdr:col>2</xdr:col>
                    <xdr:colOff>9956800</xdr:colOff>
                    <xdr:row>487</xdr:row>
                    <xdr:rowOff>76200</xdr:rowOff>
                  </from>
                  <to>
                    <xdr:col>2</xdr:col>
                    <xdr:colOff>10566400</xdr:colOff>
                    <xdr:row>488</xdr:row>
                    <xdr:rowOff>63500</xdr:rowOff>
                  </to>
                </anchor>
              </controlPr>
            </control>
          </mc:Choice>
          <mc:Fallback/>
        </mc:AlternateContent>
        <mc:AlternateContent xmlns:mc="http://schemas.openxmlformats.org/markup-compatibility/2006">
          <mc:Choice Requires="x14">
            <control shapeId="1156" r:id="rId19" name="Button 132">
              <controlPr defaultSize="0" autoFill="0" autoPict="0" macro="[0]!Compro8">
                <anchor moveWithCells="1" sizeWithCells="1">
                  <from>
                    <xdr:col>2</xdr:col>
                    <xdr:colOff>8572500</xdr:colOff>
                    <xdr:row>487</xdr:row>
                    <xdr:rowOff>76200</xdr:rowOff>
                  </from>
                  <to>
                    <xdr:col>2</xdr:col>
                    <xdr:colOff>9880600</xdr:colOff>
                    <xdr:row>488</xdr:row>
                    <xdr:rowOff>63500</xdr:rowOff>
                  </to>
                </anchor>
              </controlPr>
            </control>
          </mc:Choice>
          <mc:Fallback/>
        </mc:AlternateContent>
        <mc:AlternateContent xmlns:mc="http://schemas.openxmlformats.org/markup-compatibility/2006">
          <mc:Choice Requires="x14">
            <control shapeId="1158" r:id="rId20" name="Button 134">
              <controlPr defaultSize="0" autoFill="0" autoPict="0" macro="[0]!Tema6_1" altText="Borrar">
                <anchor moveWithCells="1" sizeWithCells="1">
                  <from>
                    <xdr:col>2</xdr:col>
                    <xdr:colOff>9956800</xdr:colOff>
                    <xdr:row>541</xdr:row>
                    <xdr:rowOff>76200</xdr:rowOff>
                  </from>
                  <to>
                    <xdr:col>2</xdr:col>
                    <xdr:colOff>10566400</xdr:colOff>
                    <xdr:row>542</xdr:row>
                    <xdr:rowOff>63500</xdr:rowOff>
                  </to>
                </anchor>
              </controlPr>
            </control>
          </mc:Choice>
          <mc:Fallback/>
        </mc:AlternateContent>
        <mc:AlternateContent xmlns:mc="http://schemas.openxmlformats.org/markup-compatibility/2006">
          <mc:Choice Requires="x14">
            <control shapeId="1159" r:id="rId21" name="Button 135">
              <controlPr defaultSize="0" autoFill="0" autoPict="0" macro="[0]!Compro6_1">
                <anchor moveWithCells="1" sizeWithCells="1">
                  <from>
                    <xdr:col>2</xdr:col>
                    <xdr:colOff>8572500</xdr:colOff>
                    <xdr:row>541</xdr:row>
                    <xdr:rowOff>76200</xdr:rowOff>
                  </from>
                  <to>
                    <xdr:col>2</xdr:col>
                    <xdr:colOff>9880600</xdr:colOff>
                    <xdr:row>542</xdr:row>
                    <xdr:rowOff>63500</xdr:rowOff>
                  </to>
                </anchor>
              </controlPr>
            </control>
          </mc:Choice>
          <mc:Fallback/>
        </mc:AlternateContent>
        <mc:AlternateContent xmlns:mc="http://schemas.openxmlformats.org/markup-compatibility/2006">
          <mc:Choice Requires="x14">
            <control shapeId="1164" r:id="rId22" name="Button 140">
              <controlPr defaultSize="0" autoFill="0" autoPict="0" macro="[0]!MacroPEC1_comprobar">
                <anchor moveWithCells="1" sizeWithCells="1">
                  <from>
                    <xdr:col>2</xdr:col>
                    <xdr:colOff>8572500</xdr:colOff>
                    <xdr:row>606</xdr:row>
                    <xdr:rowOff>76200</xdr:rowOff>
                  </from>
                  <to>
                    <xdr:col>2</xdr:col>
                    <xdr:colOff>9880600</xdr:colOff>
                    <xdr:row>607</xdr:row>
                    <xdr:rowOff>63500</xdr:rowOff>
                  </to>
                </anchor>
              </controlPr>
            </control>
          </mc:Choice>
          <mc:Fallback/>
        </mc:AlternateContent>
        <mc:AlternateContent xmlns:mc="http://schemas.openxmlformats.org/markup-compatibility/2006">
          <mc:Choice Requires="x14">
            <control shapeId="1165" r:id="rId23" name="Button 141">
              <controlPr defaultSize="0" autoFill="0" autoPict="0" macro="[0]!MacroPEC1_borrar" altText="Borrar">
                <anchor moveWithCells="1" sizeWithCells="1">
                  <from>
                    <xdr:col>2</xdr:col>
                    <xdr:colOff>9956800</xdr:colOff>
                    <xdr:row>606</xdr:row>
                    <xdr:rowOff>76200</xdr:rowOff>
                  </from>
                  <to>
                    <xdr:col>2</xdr:col>
                    <xdr:colOff>10566400</xdr:colOff>
                    <xdr:row>607</xdr:row>
                    <xdr:rowOff>63500</xdr:rowOff>
                  </to>
                </anchor>
              </controlPr>
            </control>
          </mc:Choice>
          <mc:Fallback/>
        </mc:AlternateContent>
        <mc:AlternateContent xmlns:mc="http://schemas.openxmlformats.org/markup-compatibility/2006">
          <mc:Choice Requires="x14">
            <control shapeId="1166" r:id="rId24" name="Button 142">
              <controlPr defaultSize="0" autoFill="0" autoPict="0" macro="[0]!MacroPEC2_comprobar">
                <anchor moveWithCells="1" sizeWithCells="1">
                  <from>
                    <xdr:col>2</xdr:col>
                    <xdr:colOff>8572500</xdr:colOff>
                    <xdr:row>671</xdr:row>
                    <xdr:rowOff>76200</xdr:rowOff>
                  </from>
                  <to>
                    <xdr:col>2</xdr:col>
                    <xdr:colOff>9880600</xdr:colOff>
                    <xdr:row>672</xdr:row>
                    <xdr:rowOff>63500</xdr:rowOff>
                  </to>
                </anchor>
              </controlPr>
            </control>
          </mc:Choice>
          <mc:Fallback/>
        </mc:AlternateContent>
        <mc:AlternateContent xmlns:mc="http://schemas.openxmlformats.org/markup-compatibility/2006">
          <mc:Choice Requires="x14">
            <control shapeId="1168" r:id="rId25" name="Button 144">
              <controlPr defaultSize="0" autoFill="0" autoPict="0" macro="[0]!MacroPEC2_borrar" altText="Borrar">
                <anchor moveWithCells="1" sizeWithCells="1">
                  <from>
                    <xdr:col>2</xdr:col>
                    <xdr:colOff>9956800</xdr:colOff>
                    <xdr:row>671</xdr:row>
                    <xdr:rowOff>76200</xdr:rowOff>
                  </from>
                  <to>
                    <xdr:col>2</xdr:col>
                    <xdr:colOff>10566400</xdr:colOff>
                    <xdr:row>672</xdr:row>
                    <xdr:rowOff>63500</xdr:rowOff>
                  </to>
                </anchor>
              </controlPr>
            </control>
          </mc:Choice>
          <mc:Fallback/>
        </mc:AlternateContent>
        <mc:AlternateContent xmlns:mc="http://schemas.openxmlformats.org/markup-compatibility/2006">
          <mc:Choice Requires="x14">
            <control shapeId="1172" r:id="rId26" name="Button 148">
              <controlPr defaultSize="0" autoFill="0" autoPict="0" macro="[0]!MacroPEC3_comprobar">
                <anchor moveWithCells="1" sizeWithCells="1">
                  <from>
                    <xdr:col>2</xdr:col>
                    <xdr:colOff>8572500</xdr:colOff>
                    <xdr:row>736</xdr:row>
                    <xdr:rowOff>76200</xdr:rowOff>
                  </from>
                  <to>
                    <xdr:col>2</xdr:col>
                    <xdr:colOff>9880600</xdr:colOff>
                    <xdr:row>737</xdr:row>
                    <xdr:rowOff>63500</xdr:rowOff>
                  </to>
                </anchor>
              </controlPr>
            </control>
          </mc:Choice>
          <mc:Fallback/>
        </mc:AlternateContent>
        <mc:AlternateContent xmlns:mc="http://schemas.openxmlformats.org/markup-compatibility/2006">
          <mc:Choice Requires="x14">
            <control shapeId="1173" r:id="rId27" name="Button 149">
              <controlPr defaultSize="0" autoFill="0" autoPict="0" macro="[0]!MacroPEC3_borrar" altText="Borrar">
                <anchor moveWithCells="1" sizeWithCells="1">
                  <from>
                    <xdr:col>2</xdr:col>
                    <xdr:colOff>10033000</xdr:colOff>
                    <xdr:row>736</xdr:row>
                    <xdr:rowOff>76200</xdr:rowOff>
                  </from>
                  <to>
                    <xdr:col>3</xdr:col>
                    <xdr:colOff>38100</xdr:colOff>
                    <xdr:row>737</xdr:row>
                    <xdr:rowOff>63500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LM</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Usuario de Microsoft Office</dc:creator>
  <cp:keywords/>
  <dc:description/>
  <cp:lastModifiedBy>Usuario de Microsoft Office</cp:lastModifiedBy>
  <cp:revision/>
  <dcterms:created xsi:type="dcterms:W3CDTF">2016-11-17T08:46:58Z</dcterms:created>
  <dcterms:modified xsi:type="dcterms:W3CDTF">2017-05-31T16:00:06Z</dcterms:modified>
  <cp:category/>
  <cp:contentStatus/>
</cp:coreProperties>
</file>